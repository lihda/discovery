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8c75f830ea74546" /></Relationships>
</file>

<file path=xl/workbook.xml><?xml version="1.0" encoding="utf-8"?>
<x:workbook xmlns:x="http://schemas.openxmlformats.org/spreadsheetml/2006/main">
  <x:sheets>
    <x:sheet xmlns:r="http://schemas.openxmlformats.org/officeDocument/2006/relationships" name="Summary" sheetId="1" r:id="R71dbfa04f7df4b8d"/>
    <x:sheet xmlns:r="http://schemas.openxmlformats.org/officeDocument/2006/relationships" name="Comparison" sheetId="2" r:id="Re297dd3953364123"/>
    <x:sheet xmlns:r="http://schemas.openxmlformats.org/officeDocument/2006/relationships" name="Evidence" sheetId="3" r:id="Ra1682f51d1df470a"/>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
  </x:numFmts>
  <x:fonts count="4">
    <x:font>
      <x:sz val="11"/>
      <x:name val="Carlito"/>
    </x:font>
    <x:font>
      <x:b/>
      <x:sz val="16"/>
      <x:color rgb="FFFFFFFF"/>
      <x:name val="Carlito"/>
    </x:font>
    <x:font>
      <x:b/>
      <x:sz val="11"/>
      <x:color rgb="FFFFFFFF"/>
      <x:name val="Carlito"/>
    </x:font>
    <x:font>
      <x:sz val="11"/>
      <x:color rgb="FF33444D"/>
      <x:name val="Carlito"/>
    </x:font>
  </x:fonts>
  <x:fills count="5">
    <x:fill>
      <x:patternFill patternType="none"/>
    </x:fill>
    <x:fill>
      <x:patternFill patternType="gray125"/>
    </x:fill>
    <x:fill>
      <x:patternFill patternType="solid">
        <x:fgColor rgb="FF25313C"/>
      </x:patternFill>
    </x:fill>
    <x:fill>
      <x:patternFill patternType="solid">
        <x:fgColor rgb="FF385568"/>
      </x:patternFill>
    </x:fill>
    <x:fill>
      <x:patternFill patternType="solid">
        <x:fgColor rgb="FFEEF3F5"/>
      </x:patternFill>
    </x:fill>
  </x:fills>
  <x:borders count="10">
    <x:border/>
    <x:border>
      <x:right style="thin">
        <x:color rgb="FFD6DEE3"/>
      </x:right>
      <x:bottom style="thin">
        <x:color rgb="FFD6DEE3"/>
      </x:bottom>
    </x:border>
    <x:border>
      <x:left style="thin">
        <x:color rgb="FFD6DEE3"/>
      </x:left>
      <x:right style="thin">
        <x:color rgb="FFD6DEE3"/>
      </x:right>
      <x:bottom style="thin">
        <x:color rgb="FFD6DEE3"/>
      </x:bottom>
    </x:border>
    <x:border>
      <x:left style="thin">
        <x:color rgb="FFD6DEE3"/>
      </x:left>
      <x:bottom style="thin">
        <x:color rgb="FFD6DEE3"/>
      </x:bottom>
    </x:border>
    <x:border>
      <x:right style="thin">
        <x:color rgb="FFD6DEE3"/>
      </x:right>
      <x:top style="thin">
        <x:color rgb="FFD6DEE3"/>
      </x:top>
      <x:bottom style="thin">
        <x:color rgb="FFD6DEE3"/>
      </x:bottom>
    </x:border>
    <x:border>
      <x:left style="thin">
        <x:color rgb="FFD6DEE3"/>
      </x:left>
      <x:right style="thin">
        <x:color rgb="FFD6DEE3"/>
      </x:right>
      <x:top style="thin">
        <x:color rgb="FFD6DEE3"/>
      </x:top>
      <x:bottom style="thin">
        <x:color rgb="FFD6DEE3"/>
      </x:bottom>
    </x:border>
    <x:border>
      <x:left style="thin">
        <x:color rgb="FFD6DEE3"/>
      </x:left>
      <x:top style="thin">
        <x:color rgb="FFD6DEE3"/>
      </x:top>
      <x:bottom style="thin">
        <x:color rgb="FFD6DEE3"/>
      </x:bottom>
    </x:border>
    <x:border>
      <x:right style="thin">
        <x:color rgb="FFD6DEE3"/>
      </x:right>
      <x:top style="thin">
        <x:color rgb="FFD6DEE3"/>
      </x:top>
    </x:border>
    <x:border>
      <x:left style="thin">
        <x:color rgb="FFD6DEE3"/>
      </x:left>
      <x:right style="thin">
        <x:color rgb="FFD6DEE3"/>
      </x:right>
      <x:top style="thin">
        <x:color rgb="FFD6DEE3"/>
      </x:top>
    </x:border>
    <x:border>
      <x:left style="thin">
        <x:color rgb="FFD6DEE3"/>
      </x:left>
      <x:top style="thin">
        <x:color rgb="FFD6DEE3"/>
      </x:top>
    </x:border>
  </x:borders>
  <x:cellStyleXfs count="1">
    <x:xf numFmtId="0" fontId="0" fillId="0" borderId="0"/>
  </x:cellStyleXfs>
  <x:cellXfs count="3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200" fontId="0" fillId="0" borderId="2" xfId="0" applyNumberFormat="1" applyFont="1" applyFill="1" applyBorder="1"/>
    <x:xf numFmtId="200" fontId="0" fillId="0" borderId="5" xfId="0" applyNumberFormat="1" applyFont="1" applyFill="1" applyBorder="1"/>
    <x:xf numFmtId="200" fontId="0" fillId="0" borderId="8"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201" fontId="0" fillId="0" borderId="0" xfId="0" applyNumberFormat="1" applyFont="1" applyFill="1" applyBorder="1"/>
    <x:xf numFmtId="201" fontId="0" fillId="0" borderId="0" xfId="0" applyNumberFormat="1" applyFont="1" applyFill="1" applyBorder="1" applyAlignment="1">
      <x:alignment vertical="center"/>
    </x:xf>
    <x:xf numFmtId="0" fontId="0" fillId="0" borderId="0" xfId="0" applyNumberFormat="1" applyFont="1" applyFill="1" applyBorder="1" applyAlignment="1">
      <x:alignment vertical="center"/>
    </x:xf>
    <x:xf numFmtId="201" fontId="0" fillId="0" borderId="0" xfId="0" applyNumberFormat="1" applyFont="1" applyFill="1" applyBorder="1" applyAlignment="1">
      <x:alignment vertical="top"/>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cellXfs>
  <x:cellStyles count="1">
    <x:cellStyle name="Normal" xfId="0"/>
  </x:cellStyles>
  <x:dxfs count="6">
    <x:dxf>
      <x:font>
        <x:b/>
        <x:color rgb="FF17623A"/>
      </x:font>
      <x:fill>
        <x:patternFill patternType="solid">
          <x:bgColor rgb="FFDDEFE5"/>
        </x:patternFill>
      </x:fill>
    </x:dxf>
    <x:dxf>
      <x:font>
        <x:b/>
        <x:color rgb="FF982C2C"/>
      </x:font>
      <x:fill>
        <x:patternFill patternType="solid">
          <x:bgColor rgb="FFF8DEDE"/>
        </x:patternFill>
      </x:fill>
    </x:dxf>
    <x:dxf>
      <x:font>
        <x:b/>
        <x:color rgb="FF17623A"/>
      </x:font>
      <x:fill>
        <x:patternFill patternType="solid">
          <x:bgColor rgb="FFDDEFE5"/>
        </x:patternFill>
      </x:fill>
    </x:dxf>
    <x:dxf>
      <x:font>
        <x:b/>
        <x:color rgb="FF982C2C"/>
      </x:font>
      <x:fill>
        <x:patternFill patternType="solid">
          <x:bgColor rgb="FFF8DEDE"/>
        </x:patternFill>
      </x:fill>
    </x:dxf>
    <x:dxf>
      <x:font>
        <x:b/>
        <x:color rgb="FF17623A"/>
      </x:font>
      <x:fill>
        <x:patternFill patternType="solid">
          <x:bgColor rgb="FFDDEFE5"/>
        </x:patternFill>
      </x:fill>
    </x:dxf>
    <x:dxf>
      <x:font>
        <x:b/>
        <x:color rgb="FF982C2C"/>
      </x:font>
      <x:fill>
        <x:patternFill patternType="solid">
          <x:bgColor rgb="FFF8DED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5ebcd552e0b4418" /><Relationship Type="http://schemas.openxmlformats.org/officeDocument/2006/relationships/theme" Target="/xl/theme/theme1.xml" Id="R862b82cf693b4673" /><Relationship Type="http://schemas.openxmlformats.org/officeDocument/2006/relationships/sharedStrings" Target="/xl/sharedStrings.xml" Id="R9b529ff101384a74" /><Relationship Type="http://schemas.openxmlformats.org/officeDocument/2006/relationships/worksheet" Target="/xl/worksheets/sheet1.xml" Id="R71dbfa04f7df4b8d" /><Relationship Type="http://schemas.openxmlformats.org/officeDocument/2006/relationships/worksheet" Target="/xl/worksheets/sheet2.xml" Id="Re297dd3953364123" /><Relationship Type="http://schemas.openxmlformats.org/officeDocument/2006/relationships/worksheet" Target="/xl/worksheets/sheet3.xml" Id="Ra1682f51d1df470a" /></Relationships>
</file>

<file path=xl/tables/table1.xml><?xml version="1.0" encoding="utf-8"?>
<x:table xmlns:x="http://schemas.openxmlformats.org/spreadsheetml/2006/main" id="1" name="AccuracyComparison" displayName="AccuracyComparison" ref="A1:O11" headerRowCount="1" totalsRowCount="0" totalsRowShown="0">
  <x:tableColumns count="15">
    <x:tableColumn id="1" name="RESULTNO"/>
    <x:tableColumn id="2" name="REFNO"/>
    <x:tableColumn id="3" name="ROCKNAME"/>
    <x:tableColumn id="4" name="R3_GOLD"/>
    <x:tableColumn id="5" name="R3_PRED"/>
    <x:tableColumn id="6" name="R3_CORRECT"/>
    <x:tableColumn id="7" name="R3_OUTCOME"/>
    <x:tableColumn id="8" name="R5_GOLD"/>
    <x:tableColumn id="9" name="R5_PRED"/>
    <x:tableColumn id="10" name="R5_CORRECT"/>
    <x:tableColumn id="11" name="R5_OUTCOME"/>
    <x:tableColumn id="12" name="R7_GOLD"/>
    <x:tableColumn id="13" name="R7_PRED"/>
    <x:tableColumn id="14" name="R7_CORRECT"/>
    <x:tableColumn id="15" name="R7_OUTCOME"/>
  </x:tableColumns>
  <x:tableStyleInfo name="TableStyleMedium2" showFirstColumn="0" showLastColumn="0" showRowStripes="1" showColumnStripes="0"/>
</x:table>
</file>

<file path=xl/tables/table2.xml><?xml version="1.0" encoding="utf-8"?>
<x:table xmlns:x="http://schemas.openxmlformats.org/spreadsheetml/2006/main" id="2" name="ApiEvidenceAudit" displayName="ApiEvidenceAudit" ref="A1:L31" headerRowCount="1" totalsRowCount="0" totalsRowShown="0">
  <x:tableColumns count="12">
    <x:tableColumn id="1" name="RESULTNO"/>
    <x:tableColumn id="2" name="REFNO"/>
    <x:tableColumn id="3" name="ROCKNAME"/>
    <x:tableColumn id="4" name="INDICATOR"/>
    <x:tableColumn id="5" name="GOLD"/>
    <x:tableColumn id="6" name="PRED"/>
    <x:tableColumn id="7" name="CORRECT"/>
    <x:tableColumn id="8" name="OUTCOME"/>
    <x:tableColumn id="9" name="STATUS"/>
    <x:tableColumn id="10" name="REASONING"/>
    <x:tableColumn id="11" name="EXACT_QUOTE"/>
    <x:tableColumn id="12" name="RESPONSE_ID"/>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99c5800f73549d6" /></Relationships>
</file>

<file path=xl/worksheets/_rels/sheet3.xml.rels>&#65279;<?xml version="1.0" encoding="utf-8"?><Relationships xmlns="http://schemas.openxmlformats.org/package/2006/relationships"><Relationship Type="http://schemas.openxmlformats.org/officeDocument/2006/relationships/table" Target="/xl/tables/table2.xml" Id="R366bcb33d44f4973" /></Relationships>
</file>

<file path=xl/worksheets/sheet1.xml><?xml version="1.0" encoding="utf-8"?>
<x:worksheet xmlns:x="http://schemas.openxmlformats.org/spreadsheetml/2006/main">
  <x:sheetViews>
    <x:sheetView showGridLines="0" workbookViewId="0"/>
  </x:sheetViews>
  <x:sheetFormatPr defaultRowHeight="15"/>
  <x:cols>
    <x:col min="1" max="1" width="15"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s>
  <x:sheetData>
    <x:row r="1" ht="34" customHeight="1">
      <x:c r="A1" s="3" t="str">
        <x:v>R3/R5/R7 LLM Accuracy - Native Unmapped Targets</x:v>
      </x:c>
      <x:c r="B1" s="3"/>
      <x:c r="C1" s="3"/>
      <x:c r="D1" s="3"/>
      <x:c r="E1" s="3"/>
      <x:c r="F1" s="3"/>
      <x:c r="G1" s="3"/>
      <x:c r="H1" s="3"/>
      <x:c r="I1" s="3"/>
      <x:c r="J1" s="3"/>
      <x:c r="K1" s="3"/>
      <x:c r="L1" s="3"/>
    </x:row>
    <x:row r="3">
      <x:c r="A3" s="8" t="str">
        <x:v>Indicator</x:v>
      </x:c>
      <x:c r="B3" s="8" t="str">
        <x:v>Total</x:v>
      </x:c>
      <x:c r="C3" s="8" t="str">
        <x:v>Correct</x:v>
      </x:c>
      <x:c r="D3" s="8" t="str">
        <x:v>Accuracy</x:v>
      </x:c>
      <x:c r="E3" s="8" t="str">
        <x:v>Unknown</x:v>
      </x:c>
      <x:c r="F3" s="8" t="str">
        <x:v>Decided</x:v>
      </x:c>
      <x:c r="G3" s="8" t="str">
        <x:v>Decided Correct</x:v>
      </x:c>
      <x:c r="H3" s="8" t="str">
        <x:v>Decided Accuracy</x:v>
      </x:c>
      <x:c r="I3" s="8" t="str">
        <x:v>TP</x:v>
      </x:c>
      <x:c r="J3" s="8" t="str">
        <x:v>TN</x:v>
      </x:c>
      <x:c r="K3" s="8" t="str">
        <x:v>FP</x:v>
      </x:c>
      <x:c r="L3" s="8" t="str">
        <x:v>FN</x:v>
      </x:c>
    </x:row>
    <x:row r="4">
      <x:c r="A4" s="9" t="str">
        <x:v>R3</x:v>
      </x:c>
      <x:c r="B4" s="10" t="n">
        <x:f>COUNTA('Comparison'!$A$2:$A$11)</x:f>
        <x:v>10</x:v>
      </x:c>
      <x:c r="C4" s="10" t="n">
        <x:f>SUM('Comparison'!$F$2:$F$11)</x:f>
        <x:v>7</x:v>
      </x:c>
      <x:c r="D4" s="18" t="n">
        <x:f>C4/B4</x:f>
        <x:v>0.7</x:v>
      </x:c>
      <x:c r="E4" s="10" t="n">
        <x:f>COUNTIF('Comparison'!$G$2:$G$11,"UNKNOWN")</x:f>
        <x:v>6</x:v>
      </x:c>
      <x:c r="F4" s="10" t="n">
        <x:f>B4-E4</x:f>
        <x:v>4</x:v>
      </x:c>
      <x:c r="G4" s="10" t="n">
        <x:f>COUNTIFS('Comparison'!$G$2:$G$11,"&lt;&gt;UNKNOWN",'Comparison'!$F$2:$F$11,1)</x:f>
        <x:v>4</x:v>
      </x:c>
      <x:c r="H4" s="18" t="n">
        <x:f>IF(F4=0,"",G4/F4)</x:f>
        <x:v>1</x:v>
      </x:c>
      <x:c r="I4" s="10" t="n">
        <x:f>COUNTIFS('Comparison'!$D$2:$D$11,1,'Comparison'!$E$2:$E$11,1)</x:f>
        <x:v>4</x:v>
      </x:c>
      <x:c r="J4" s="10" t="n">
        <x:f>COUNTIFS('Comparison'!$D$2:$D$11,0,'Comparison'!$E$2:$E$11,0)</x:f>
        <x:v>3</x:v>
      </x:c>
      <x:c r="K4" s="10" t="n">
        <x:f>COUNTIFS('Comparison'!$D$2:$D$11,0,'Comparison'!$E$2:$E$11,1)</x:f>
        <x:v>0</x:v>
      </x:c>
      <x:c r="L4" s="11" t="n">
        <x:f>COUNTIFS('Comparison'!$D$2:$D$11,1,'Comparison'!$E$2:$E$11,0)</x:f>
        <x:v>3</x:v>
      </x:c>
    </x:row>
    <x:row r="5">
      <x:c r="A5" s="12" t="str">
        <x:v>R5</x:v>
      </x:c>
      <x:c r="B5" s="13" t="n">
        <x:f>COUNTA('Comparison'!$A$2:$A$11)</x:f>
        <x:v>10</x:v>
      </x:c>
      <x:c r="C5" s="13" t="n">
        <x:f>SUM('Comparison'!$J$2:$J$11)</x:f>
        <x:v>6</x:v>
      </x:c>
      <x:c r="D5" s="19" t="n">
        <x:f>C5/B5</x:f>
        <x:v>0.6</x:v>
      </x:c>
      <x:c r="E5" s="13" t="n">
        <x:f>COUNTIF('Comparison'!$K$2:$K$11,"UNKNOWN")</x:f>
        <x:v>5</x:v>
      </x:c>
      <x:c r="F5" s="13" t="n">
        <x:f>B5-E5</x:f>
        <x:v>5</x:v>
      </x:c>
      <x:c r="G5" s="13" t="n">
        <x:f>COUNTIFS('Comparison'!$K$2:$K$11,"&lt;&gt;UNKNOWN",'Comparison'!$J$2:$J$11,1)</x:f>
        <x:v>2</x:v>
      </x:c>
      <x:c r="H5" s="19" t="n">
        <x:f>IF(F5=0,"",G5/F5)</x:f>
        <x:v>0.4</x:v>
      </x:c>
      <x:c r="I5" s="13" t="n">
        <x:f>COUNTIFS('Comparison'!$H$2:$H$11,1,'Comparison'!$I$2:$I$11,1)</x:f>
        <x:v>6</x:v>
      </x:c>
      <x:c r="J5" s="13" t="n">
        <x:f>COUNTIFS('Comparison'!$H$2:$H$11,0,'Comparison'!$I$2:$I$11,0)</x:f>
        <x:v>0</x:v>
      </x:c>
      <x:c r="K5" s="13" t="n">
        <x:f>COUNTIFS('Comparison'!$H$2:$H$11,0,'Comparison'!$I$2:$I$11,1)</x:f>
        <x:v>4</x:v>
      </x:c>
      <x:c r="L5" s="14" t="n">
        <x:f>COUNTIFS('Comparison'!$H$2:$H$11,1,'Comparison'!$I$2:$I$11,0)</x:f>
        <x:v>0</x:v>
      </x:c>
    </x:row>
    <x:row r="6">
      <x:c r="A6" s="15" t="str">
        <x:v>R7</x:v>
      </x:c>
      <x:c r="B6" s="16" t="n">
        <x:f>COUNTA('Comparison'!$A$2:$A$11)</x:f>
        <x:v>10</x:v>
      </x:c>
      <x:c r="C6" s="16" t="n">
        <x:f>SUM('Comparison'!$N$2:$N$11)</x:f>
        <x:v>7</x:v>
      </x:c>
      <x:c r="D6" s="20" t="n">
        <x:f>C6/B6</x:f>
        <x:v>0.7</x:v>
      </x:c>
      <x:c r="E6" s="16" t="n">
        <x:f>COUNTIF('Comparison'!$O$2:$O$11,"UNKNOWN")</x:f>
        <x:v>3</x:v>
      </x:c>
      <x:c r="F6" s="16" t="n">
        <x:f>B6-E6</x:f>
        <x:v>7</x:v>
      </x:c>
      <x:c r="G6" s="16" t="n">
        <x:f>COUNTIFS('Comparison'!$O$2:$O$11,"&lt;&gt;UNKNOWN",'Comparison'!$N$2:$N$11,1)</x:f>
        <x:v>6</x:v>
      </x:c>
      <x:c r="H6" s="20" t="n">
        <x:f>IF(F6=0,"",G6/F6)</x:f>
        <x:v>0.8571428571428571</x:v>
      </x:c>
      <x:c r="I6" s="16" t="n">
        <x:f>COUNTIFS('Comparison'!$L$2:$L$11,1,'Comparison'!$M$2:$M$11,1)</x:f>
        <x:v>5</x:v>
      </x:c>
      <x:c r="J6" s="16" t="n">
        <x:f>COUNTIFS('Comparison'!$L$2:$L$11,0,'Comparison'!$M$2:$M$11,0)</x:f>
        <x:v>2</x:v>
      </x:c>
      <x:c r="K6" s="16" t="n">
        <x:f>COUNTIFS('Comparison'!$L$2:$L$11,0,'Comparison'!$M$2:$M$11,1)</x:f>
        <x:v>3</x:v>
      </x:c>
      <x:c r="L6" s="17" t="n">
        <x:f>COUNTIFS('Comparison'!$L$2:$L$11,1,'Comparison'!$M$2:$M$11,0)</x:f>
        <x:v>0</x:v>
      </x:c>
    </x:row>
    <x:row r="8" ht="26" customHeight="1">
      <x:c r="A8" s="24" t="str">
        <x:v>Test design: 10 original RESULTNO values outside all three 2,800-entry maps; 30/30 API calls returned unique response IDs.</x:v>
      </x:c>
      <x:c r="B8" s="24"/>
      <x:c r="C8" s="24"/>
      <x:c r="D8" s="24"/>
      <x:c r="E8" s="24"/>
      <x:c r="F8" s="24"/>
      <x:c r="G8" s="24"/>
      <x:c r="H8" s="24"/>
      <x:c r="I8" s="24"/>
      <x:c r="J8" s="24"/>
      <x:c r="K8" s="24"/>
      <x:c r="L8" s="24"/>
    </x:row>
    <x:row r="9" ht="26" customHeight="1">
      <x:c r="A9" s="24" t="str">
        <x:v>Accuracy compares final compatibility scores with targets.xlsx; UNKNOWN maps to R3=0 and R5/R7=1.</x:v>
      </x:c>
      <x:c r="B9" s="24"/>
      <x:c r="C9" s="24"/>
      <x:c r="D9" s="24"/>
      <x:c r="E9" s="24"/>
      <x:c r="F9" s="24"/>
      <x:c r="G9" s="24"/>
      <x:c r="H9" s="24"/>
      <x:c r="I9" s="24"/>
      <x:c r="J9" s="24"/>
      <x:c r="K9" s="24"/>
      <x:c r="L9" s="24"/>
    </x:row>
  </x:sheetData>
  <x:mergeCells>
    <x:mergeCell ref="A1:L1"/>
    <x:mergeCell ref="A8:L8"/>
    <x:mergeCell ref="A9:L9"/>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3" hidden="0" customWidth="1"/>
    <x:col min="2" max="2" width="11" hidden="0" customWidth="1"/>
    <x:col min="3" max="3" width="34"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s>
  <x:sheetData>
    <x:row r="1" ht="34" customHeight="1">
      <x:c r="A1" s="28" t="str">
        <x:v>RESULTNO</x:v>
      </x:c>
      <x:c r="B1" s="28" t="str">
        <x:v>REFNO</x:v>
      </x:c>
      <x:c r="C1" s="28" t="str">
        <x:v>ROCKNAME</x:v>
      </x:c>
      <x:c r="D1" s="28" t="str">
        <x:v>R3_GOLD</x:v>
      </x:c>
      <x:c r="E1" s="28" t="str">
        <x:v>R3_PRED</x:v>
      </x:c>
      <x:c r="F1" s="28" t="str">
        <x:v>R3_CORRECT</x:v>
      </x:c>
      <x:c r="G1" s="28" t="str">
        <x:v>R3_OUTCOME</x:v>
      </x:c>
      <x:c r="H1" s="28" t="str">
        <x:v>R5_GOLD</x:v>
      </x:c>
      <x:c r="I1" s="28" t="str">
        <x:v>R5_PRED</x:v>
      </x:c>
      <x:c r="J1" s="28" t="str">
        <x:v>R5_CORRECT</x:v>
      </x:c>
      <x:c r="K1" s="28" t="str">
        <x:v>R5_OUTCOME</x:v>
      </x:c>
      <x:c r="L1" s="28" t="str">
        <x:v>R7_GOLD</x:v>
      </x:c>
      <x:c r="M1" s="28" t="str">
        <x:v>R7_PRED</x:v>
      </x:c>
      <x:c r="N1" s="28" t="str">
        <x:v>R7_CORRECT</x:v>
      </x:c>
      <x:c r="O1" s="28" t="str">
        <x:v>R7_OUTCOME</x:v>
      </x:c>
    </x:row>
    <x:row r="2">
      <x:c r="A2" s="30" t="str">
        <x:v>10052</x:v>
      </x:c>
      <x:c r="B2" s="30" t="str">
        <x:v>4194</x:v>
      </x:c>
      <x:c r="C2" s="30" t="str">
        <x:v>Huanchaca Sills</x:v>
      </x:c>
      <x:c r="D2" s="31" t="n">
        <x:v>1</x:v>
      </x:c>
      <x:c r="E2" s="31" t="n">
        <x:v>1</x:v>
      </x:c>
      <x:c r="F2" s="31" t="n">
        <x:f>--(D2=E2)</x:f>
        <x:v>1</x:v>
      </x:c>
      <x:c r="G2" s="31" t="str">
        <x:v>POSITIVE</x:v>
      </x:c>
      <x:c r="H2" s="31" t="n">
        <x:v>1</x:v>
      </x:c>
      <x:c r="I2" s="31" t="n">
        <x:v>1</x:v>
      </x:c>
      <x:c r="J2" s="31" t="n">
        <x:f>--(H2=I2)</x:f>
        <x:v>1</x:v>
      </x:c>
      <x:c r="K2" s="31" t="str">
        <x:v>UNKNOWN</x:v>
      </x:c>
      <x:c r="L2" s="31" t="n">
        <x:v>1</x:v>
      </x:c>
      <x:c r="M2" s="31" t="n">
        <x:v>1</x:v>
      </x:c>
      <x:c r="N2" s="31" t="n">
        <x:f>--(L2=M2)</x:f>
        <x:v>1</x:v>
      </x:c>
      <x:c r="O2" s="31" t="str">
        <x:v>POSITIVE</x:v>
      </x:c>
    </x:row>
    <x:row r="3">
      <x:c r="A3" s="30" t="str">
        <x:v>10058</x:v>
      </x:c>
      <x:c r="B3" s="30" t="str">
        <x:v>4198</x:v>
      </x:c>
      <x:c r="C3" s="30" t="str">
        <x:v>Hongshiya Formation (Reprint)</x:v>
      </x:c>
      <x:c r="D3" s="31" t="n">
        <x:v>1</x:v>
      </x:c>
      <x:c r="E3" s="31" t="n">
        <x:v>1</x:v>
      </x:c>
      <x:c r="F3" s="31" t="n">
        <x:f>--(D3=E3)</x:f>
        <x:v>1</x:v>
      </x:c>
      <x:c r="G3" s="31" t="str">
        <x:v>POSITIVE</x:v>
      </x:c>
      <x:c r="H3" s="31" t="n">
        <x:v>1</x:v>
      </x:c>
      <x:c r="I3" s="31" t="n">
        <x:v>1</x:v>
      </x:c>
      <x:c r="J3" s="31" t="n">
        <x:f>--(H3=I3)</x:f>
        <x:v>1</x:v>
      </x:c>
      <x:c r="K3" s="31" t="str">
        <x:v>POSITIVE</x:v>
      </x:c>
      <x:c r="L3" s="31" t="n">
        <x:v>0</x:v>
      </x:c>
      <x:c r="M3" s="31" t="n">
        <x:v>0</x:v>
      </x:c>
      <x:c r="N3" s="31" t="n">
        <x:f>--(L3=M3)</x:f>
        <x:v>1</x:v>
      </x:c>
      <x:c r="O3" s="31" t="str">
        <x:v>NEGATIVE</x:v>
      </x:c>
    </x:row>
    <x:row r="4">
      <x:c r="A4" s="30" t="str">
        <x:v>10063</x:v>
      </x:c>
      <x:c r="B4" s="30" t="str">
        <x:v>4202</x:v>
      </x:c>
      <x:c r="C4" s="30" t="str">
        <x:v>Dashizhai Formation Lavas</x:v>
      </x:c>
      <x:c r="D4" s="31" t="n">
        <x:v>1</x:v>
      </x:c>
      <x:c r="E4" s="31" t="n">
        <x:v>0</x:v>
      </x:c>
      <x:c r="F4" s="31" t="n">
        <x:f>--(D4=E4)</x:f>
        <x:v>0</x:v>
      </x:c>
      <x:c r="G4" s="31" t="str">
        <x:v>UNKNOWN</x:v>
      </x:c>
      <x:c r="H4" s="31" t="n">
        <x:v>0</x:v>
      </x:c>
      <x:c r="I4" s="31" t="n">
        <x:v>1</x:v>
      </x:c>
      <x:c r="J4" s="31" t="n">
        <x:f>--(H4=I4)</x:f>
        <x:v>0</x:v>
      </x:c>
      <x:c r="K4" s="31" t="str">
        <x:v>POSITIVE</x:v>
      </x:c>
      <x:c r="L4" s="31" t="n">
        <x:v>1</x:v>
      </x:c>
      <x:c r="M4" s="31" t="n">
        <x:v>1</x:v>
      </x:c>
      <x:c r="N4" s="31" t="n">
        <x:f>--(L4=M4)</x:f>
        <x:v>1</x:v>
      </x:c>
      <x:c r="O4" s="31" t="str">
        <x:v>POSITIVE</x:v>
      </x:c>
    </x:row>
    <x:row r="5">
      <x:c r="A5" s="30" t="str">
        <x:v>10082</x:v>
      </x:c>
      <x:c r="B5" s="30" t="str">
        <x:v>4216</x:v>
      </x:c>
      <x:c r="C5" s="30" t="str">
        <x:v>Panjal Traps</x:v>
      </x:c>
      <x:c r="D5" s="31" t="n">
        <x:v>0</x:v>
      </x:c>
      <x:c r="E5" s="31" t="n">
        <x:v>0</x:v>
      </x:c>
      <x:c r="F5" s="31" t="n">
        <x:f>--(D5=E5)</x:f>
        <x:v>1</x:v>
      </x:c>
      <x:c r="G5" s="31" t="str">
        <x:v>UNKNOWN</x:v>
      </x:c>
      <x:c r="H5" s="31" t="n">
        <x:v>0</x:v>
      </x:c>
      <x:c r="I5" s="31" t="n">
        <x:v>1</x:v>
      </x:c>
      <x:c r="J5" s="31" t="n">
        <x:f>--(H5=I5)</x:f>
        <x:v>0</x:v>
      </x:c>
      <x:c r="K5" s="31" t="str">
        <x:v>POSITIVE</x:v>
      </x:c>
      <x:c r="L5" s="31" t="n">
        <x:v>1</x:v>
      </x:c>
      <x:c r="M5" s="31" t="n">
        <x:v>1</x:v>
      </x:c>
      <x:c r="N5" s="31" t="n">
        <x:f>--(L5=M5)</x:f>
        <x:v>1</x:v>
      </x:c>
      <x:c r="O5" s="31" t="str">
        <x:v>POSITIVE</x:v>
      </x:c>
    </x:row>
    <x:row r="6">
      <x:c r="A6" s="30" t="str">
        <x:v>10086</x:v>
      </x:c>
      <x:c r="B6" s="30" t="str">
        <x:v>4219</x:v>
      </x:c>
      <x:c r="C6" s="30" t="str">
        <x:v>Keurusselkä Impact Structure</x:v>
      </x:c>
      <x:c r="D6" s="31" t="n">
        <x:v>1</x:v>
      </x:c>
      <x:c r="E6" s="31" t="n">
        <x:v>1</x:v>
      </x:c>
      <x:c r="F6" s="31" t="n">
        <x:f>--(D6=E6)</x:f>
        <x:v>1</x:v>
      </x:c>
      <x:c r="G6" s="31" t="str">
        <x:v>POSITIVE</x:v>
      </x:c>
      <x:c r="H6" s="31" t="n">
        <x:v>1</x:v>
      </x:c>
      <x:c r="I6" s="31" t="n">
        <x:v>1</x:v>
      </x:c>
      <x:c r="J6" s="31" t="n">
        <x:f>--(H6=I6)</x:f>
        <x:v>1</x:v>
      </x:c>
      <x:c r="K6" s="31" t="str">
        <x:v>UNKNOWN</x:v>
      </x:c>
      <x:c r="L6" s="31" t="n">
        <x:v>0</x:v>
      </x:c>
      <x:c r="M6" s="31" t="n">
        <x:v>0</x:v>
      </x:c>
      <x:c r="N6" s="31" t="n">
        <x:f>--(L6=M6)</x:f>
        <x:v>1</x:v>
      </x:c>
      <x:c r="O6" s="31" t="str">
        <x:v>NEGATIVE</x:v>
      </x:c>
    </x:row>
    <x:row r="7">
      <x:c r="A7" s="30" t="str">
        <x:v>10091</x:v>
      </x:c>
      <x:c r="B7" s="30" t="str">
        <x:v>4221</x:v>
      </x:c>
      <x:c r="C7" s="30" t="str">
        <x:v>Zapicán Dykes</x:v>
      </x:c>
      <x:c r="D7" s="31" t="n">
        <x:v>1</x:v>
      </x:c>
      <x:c r="E7" s="31" t="n">
        <x:v>0</x:v>
      </x:c>
      <x:c r="F7" s="31" t="n">
        <x:f>--(D7=E7)</x:f>
        <x:v>0</x:v>
      </x:c>
      <x:c r="G7" s="31" t="str">
        <x:v>UNKNOWN</x:v>
      </x:c>
      <x:c r="H7" s="31" t="n">
        <x:v>1</x:v>
      </x:c>
      <x:c r="I7" s="31" t="n">
        <x:v>1</x:v>
      </x:c>
      <x:c r="J7" s="31" t="n">
        <x:f>--(H7=I7)</x:f>
        <x:v>1</x:v>
      </x:c>
      <x:c r="K7" s="31" t="str">
        <x:v>UNKNOWN</x:v>
      </x:c>
      <x:c r="L7" s="31" t="n">
        <x:v>0</x:v>
      </x:c>
      <x:c r="M7" s="31" t="n">
        <x:v>1</x:v>
      </x:c>
      <x:c r="N7" s="31" t="n">
        <x:f>--(L7=M7)</x:f>
        <x:v>0</x:v>
      </x:c>
      <x:c r="O7" s="31" t="str">
        <x:v>UNKNOWN</x:v>
      </x:c>
    </x:row>
    <x:row r="8">
      <x:c r="A8" s="30" t="str">
        <x:v>10095</x:v>
      </x:c>
      <x:c r="B8" s="30" t="str">
        <x:v>4223</x:v>
      </x:c>
      <x:c r="C8" s="30" t="str">
        <x:v>Yanshiping Volcanics</x:v>
      </x:c>
      <x:c r="D8" s="31" t="n">
        <x:v>1</x:v>
      </x:c>
      <x:c r="E8" s="31" t="n">
        <x:v>1</x:v>
      </x:c>
      <x:c r="F8" s="31" t="n">
        <x:f>--(D8=E8)</x:f>
        <x:v>1</x:v>
      </x:c>
      <x:c r="G8" s="31" t="str">
        <x:v>POSITIVE</x:v>
      </x:c>
      <x:c r="H8" s="31" t="n">
        <x:v>1</x:v>
      </x:c>
      <x:c r="I8" s="31" t="n">
        <x:v>1</x:v>
      </x:c>
      <x:c r="J8" s="31" t="n">
        <x:f>--(H8=I8)</x:f>
        <x:v>1</x:v>
      </x:c>
      <x:c r="K8" s="31" t="str">
        <x:v>POSITIVE</x:v>
      </x:c>
      <x:c r="L8" s="31" t="n">
        <x:v>0</x:v>
      </x:c>
      <x:c r="M8" s="31" t="n">
        <x:v>1</x:v>
      </x:c>
      <x:c r="N8" s="31" t="n">
        <x:f>--(L8=M8)</x:f>
        <x:v>0</x:v>
      </x:c>
      <x:c r="O8" s="31" t="str">
        <x:v>POSITIVE</x:v>
      </x:c>
    </x:row>
    <x:row r="9">
      <x:c r="A9" s="30" t="str">
        <x:v>10096</x:v>
      </x:c>
      <x:c r="B9" s="30" t="str">
        <x:v>4224</x:v>
      </x:c>
      <x:c r="C9" s="30" t="str">
        <x:v>Zhepure Formation</x:v>
      </x:c>
      <x:c r="D9" s="31" t="n">
        <x:v>1</x:v>
      </x:c>
      <x:c r="E9" s="31" t="n">
        <x:v>0</x:v>
      </x:c>
      <x:c r="F9" s="31" t="n">
        <x:f>--(D9=E9)</x:f>
        <x:v>0</x:v>
      </x:c>
      <x:c r="G9" s="31" t="str">
        <x:v>UNKNOWN</x:v>
      </x:c>
      <x:c r="H9" s="31" t="n">
        <x:v>0</x:v>
      </x:c>
      <x:c r="I9" s="31" t="n">
        <x:v>1</x:v>
      </x:c>
      <x:c r="J9" s="31" t="n">
        <x:f>--(H9=I9)</x:f>
        <x:v>0</x:v>
      </x:c>
      <x:c r="K9" s="31" t="str">
        <x:v>POSITIVE</x:v>
      </x:c>
      <x:c r="L9" s="31" t="n">
        <x:v>1</x:v>
      </x:c>
      <x:c r="M9" s="31" t="n">
        <x:v>1</x:v>
      </x:c>
      <x:c r="N9" s="31" t="n">
        <x:f>--(L9=M9)</x:f>
        <x:v>1</x:v>
      </x:c>
      <x:c r="O9" s="31" t="str">
        <x:v>POSITIVE</x:v>
      </x:c>
    </x:row>
    <x:row r="10">
      <x:c r="A10" s="30" t="str">
        <x:v>10125</x:v>
      </x:c>
      <x:c r="B10" s="30" t="str">
        <x:v>4250</x:v>
      </x:c>
      <x:c r="C10" s="30" t="str">
        <x:v>Central Patagonian Batholith</x:v>
      </x:c>
      <x:c r="D10" s="31" t="n">
        <x:v>0</x:v>
      </x:c>
      <x:c r="E10" s="31" t="n">
        <x:v>0</x:v>
      </x:c>
      <x:c r="F10" s="31" t="n">
        <x:f>--(D10=E10)</x:f>
        <x:v>1</x:v>
      </x:c>
      <x:c r="G10" s="31" t="str">
        <x:v>UNKNOWN</x:v>
      </x:c>
      <x:c r="H10" s="31" t="n">
        <x:v>0</x:v>
      </x:c>
      <x:c r="I10" s="31" t="n">
        <x:v>1</x:v>
      </x:c>
      <x:c r="J10" s="31" t="n">
        <x:f>--(H10=I10)</x:f>
        <x:v>0</x:v>
      </x:c>
      <x:c r="K10" s="31" t="str">
        <x:v>UNKNOWN</x:v>
      </x:c>
      <x:c r="L10" s="31" t="n">
        <x:v>1</x:v>
      </x:c>
      <x:c r="M10" s="31" t="n">
        <x:v>1</x:v>
      </x:c>
      <x:c r="N10" s="31" t="n">
        <x:f>--(L10=M10)</x:f>
        <x:v>1</x:v>
      </x:c>
      <x:c r="O10" s="31" t="str">
        <x:v>UNKNOWN</x:v>
      </x:c>
    </x:row>
    <x:row r="11">
      <x:c r="A11" s="30" t="str">
        <x:v>10218</x:v>
      </x:c>
      <x:c r="B11" s="30" t="str">
        <x:v>4310</x:v>
      </x:c>
      <x:c r="C11" s="30" t="str">
        <x:v>Khorbusuonka Intrusions</x:v>
      </x:c>
      <x:c r="D11" s="31" t="n">
        <x:v>0</x:v>
      </x:c>
      <x:c r="E11" s="31" t="n">
        <x:v>0</x:v>
      </x:c>
      <x:c r="F11" s="31" t="n">
        <x:f>--(D11=E11)</x:f>
        <x:v>1</x:v>
      </x:c>
      <x:c r="G11" s="31" t="str">
        <x:v>UNKNOWN</x:v>
      </x:c>
      <x:c r="H11" s="31" t="n">
        <x:v>1</x:v>
      </x:c>
      <x:c r="I11" s="31" t="n">
        <x:v>1</x:v>
      </x:c>
      <x:c r="J11" s="31" t="n">
        <x:f>--(H11=I11)</x:f>
        <x:v>1</x:v>
      </x:c>
      <x:c r="K11" s="31" t="str">
        <x:v>UNKNOWN</x:v>
      </x:c>
      <x:c r="L11" s="31" t="n">
        <x:v>0</x:v>
      </x:c>
      <x:c r="M11" s="31" t="n">
        <x:v>1</x:v>
      </x:c>
      <x:c r="N11" s="31" t="n">
        <x:f>--(L11=M11)</x:f>
        <x:v>0</x:v>
      </x:c>
      <x:c r="O11" s="31" t="str">
        <x:v>UNKNOWN</x:v>
      </x:c>
    </x:row>
  </x:sheetData>
  <x:conditionalFormatting sqref="F2:F11">
    <x:cfRule type="cellIs" dxfId="0" priority="1" operator="equal">
      <x:formula>1</x:formula>
    </x:cfRule>
    <x:cfRule type="cellIs" dxfId="1" priority="2" operator="equal">
      <x:formula>0</x:formula>
    </x:cfRule>
  </x:conditionalFormatting>
  <x:conditionalFormatting sqref="J2:J11">
    <x:cfRule type="cellIs" dxfId="2" priority="3" operator="equal">
      <x:formula>1</x:formula>
    </x:cfRule>
    <x:cfRule type="cellIs" dxfId="3" priority="4" operator="equal">
      <x:formula>0</x:formula>
    </x:cfRule>
  </x:conditionalFormatting>
  <x:conditionalFormatting sqref="N2:N11">
    <x:cfRule type="cellIs" dxfId="4" priority="5" operator="equal">
      <x:formula>1</x:formula>
    </x:cfRule>
    <x:cfRule type="cellIs" dxfId="5" priority="6" operator="equal">
      <x:formula>0</x:formula>
    </x:cfRule>
  </x:conditionalFormatting>
  <x:pageMargins left="0.7" right="0.7" top="0.75" bottom="0.75" header="0.3" footer="0.3"/>
  <x:tableParts count="1">
    <x:tablePart xmlns:r="http://schemas.openxmlformats.org/officeDocument/2006/relationships" r:id="Ra99c5800f73549d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11" hidden="0" customWidth="1"/>
    <x:col min="3" max="3" width="30"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54" hidden="0" customWidth="1"/>
    <x:col min="11" max="11" width="54" hidden="0" customWidth="1"/>
    <x:col min="12" max="12" width="42" hidden="0" customWidth="1"/>
  </x:cols>
  <x:sheetData>
    <x:row r="1" ht="34" customHeight="1">
      <x:c r="A1" s="28" t="str">
        <x:v>RESULTNO</x:v>
      </x:c>
      <x:c r="B1" s="28" t="str">
        <x:v>REFNO</x:v>
      </x:c>
      <x:c r="C1" s="28" t="str">
        <x:v>ROCKNAME</x:v>
      </x:c>
      <x:c r="D1" s="28" t="str">
        <x:v>INDICATOR</x:v>
      </x:c>
      <x:c r="E1" s="28" t="str">
        <x:v>GOLD</x:v>
      </x:c>
      <x:c r="F1" s="28" t="str">
        <x:v>PRED</x:v>
      </x:c>
      <x:c r="G1" s="28" t="str">
        <x:v>CORRECT</x:v>
      </x:c>
      <x:c r="H1" s="28" t="str">
        <x:v>OUTCOME</x:v>
      </x:c>
      <x:c r="I1" s="28" t="str">
        <x:v>STATUS</x:v>
      </x:c>
      <x:c r="J1" s="28" t="str">
        <x:v>REASONING</x:v>
      </x:c>
      <x:c r="K1" s="28" t="str">
        <x:v>EXACT_QUOTE</x:v>
      </x:c>
      <x:c r="L1" s="28" t="str">
        <x:v>RESPONSE_ID</x:v>
      </x:c>
    </x:row>
    <x:row r="2" ht="54" customHeight="1">
      <x:c r="A2" s="32" t="str">
        <x:v>10052</x:v>
      </x:c>
      <x:c r="B2" s="32" t="str">
        <x:v>4194</x:v>
      </x:c>
      <x:c r="C2" s="32" t="str">
        <x:v>Huanchaca Sills</x:v>
      </x:c>
      <x:c r="D2" s="32" t="str">
        <x:v>R3</x:v>
      </x:c>
      <x:c r="E2" s="33" t="n">
        <x:v>1</x:v>
      </x:c>
      <x:c r="F2" s="33" t="n">
        <x:v>1</x:v>
      </x:c>
      <x:c r="G2" s="33" t="n">
        <x:v>1</x:v>
      </x:c>
      <x:c r="H2" s="33" t="str">
        <x:v>POSITIVE</x:v>
      </x:c>
      <x:c r="I2" s="33" t="str">
        <x:v>API_DECIDED</x:v>
      </x:c>
      <x:c r="J2" s="34" t="str">
        <x:v>The excerpt reports independent rock-magnetic experiments on the Huanchaca sill samples, including hysteresis/FORC behavior, names magnetite/titanomagnetite as the magnetic minerals, and links these minerals to NRM/stable remanence behavior in the sill samples.</x:v>
      </x:c>
      <x:c r="K2" s="34" t="str">
        <x:v>remanent magnetization (NRM) of these samples in fields up to 100 mT 500 ◦C) and 20 ◦C (from 500 ◦C up to 600 ◦C). For samples with natural showing that most of the investigated sills rocks carry magnetic grains remanent magnetization (NRM) intensity stronger than 22.0 A/m, a 2- with coercivities typical of magnetite/titanomagnetite.</x:v>
      </x:c>
      <x:c r="L2" s="33" t="str">
        <x:v>resp_03e952d3e71ca80d016a642e2ff2a88191a89abb2a8e90dcbf</x:v>
      </x:c>
    </x:row>
    <x:row r="3" ht="54" customHeight="1">
      <x:c r="A3" s="32" t="str">
        <x:v>10052</x:v>
      </x:c>
      <x:c r="B3" s="32" t="str">
        <x:v>4194</x:v>
      </x:c>
      <x:c r="C3" s="32" t="str">
        <x:v>Huanchaca Sills</x:v>
      </x:c>
      <x:c r="D3" s="32" t="str">
        <x:v>R5</x:v>
      </x:c>
      <x:c r="E3" s="33" t="n">
        <x:v>1</x:v>
      </x:c>
      <x:c r="F3" s="33" t="n">
        <x:v>1</x:v>
      </x:c>
      <x:c r="G3" s="33" t="n">
        <x:v>1</x:v>
      </x:c>
      <x:c r="H3" s="33" t="str">
        <x:v>UNKNOWN</x:v>
      </x:c>
      <x:c r="I3" s="33" t="str">
        <x:v>API_UNKNOWN</x:v>
      </x:c>
      <x:c r="J3" s="34" t="str">
        <x:v>The excerpt states that the Huanchaca sills are parallel to bedding, but it does not provide bedding/site attitudes, a structural or bedding correction, or an explicit statement that paleohorizontal control is adequate. It also does not establish inadequate control. Therefore the excerpt is insufficient to decide R5.</x:v>
      </x:c>
      <x:c r="K3" s="34" t="str">
        <x:v>parallel to the bedding plane</x:v>
      </x:c>
      <x:c r="L3" s="33" t="str">
        <x:v>resp_01ee6d94b7c2c961016a642e41851c8191a410110b8b29d0a9</x:v>
      </x:c>
    </x:row>
    <x:row r="4" ht="54" customHeight="1">
      <x:c r="A4" s="32" t="str">
        <x:v>10052</x:v>
      </x:c>
      <x:c r="B4" s="32" t="str">
        <x:v>4194</x:v>
      </x:c>
      <x:c r="C4" s="32" t="str">
        <x:v>Huanchaca Sills</x:v>
      </x:c>
      <x:c r="D4" s="32" t="str">
        <x:v>R7</x:v>
      </x:c>
      <x:c r="E4" s="33" t="n">
        <x:v>1</x:v>
      </x:c>
      <x:c r="F4" s="33" t="n">
        <x:v>1</x:v>
      </x:c>
      <x:c r="G4" s="33" t="n">
        <x:v>1</x:v>
      </x:c>
      <x:c r="H4" s="33" t="str">
        <x:v>POSITIVE</x:v>
      </x:c>
      <x:c r="I4" s="33" t="str">
        <x:v>API_DECIDED</x:v>
      </x:c>
      <x:c r="J4" s="34" t="str">
        <x:v>The excerpt affirmatively rules out a younger-pole match for the Huanchaca pole, which excludes the younger remagnetization/pole similarity invalidation targeted by this criterion.</x:v>
      </x:c>
      <x:c r="K4" s="34" t="str">
        <x:v>(7) The Huanchaca pole is not similar to any younger pole from the</x:v>
      </x:c>
      <x:c r="L4" s="33" t="str">
        <x:v>resp_0d7e0a2227e50522016a642e504b388191b1c682b65bcf7eef</x:v>
      </x:c>
    </x:row>
    <x:row r="5" ht="54" customHeight="1">
      <x:c r="A5" s="32" t="str">
        <x:v>10058</x:v>
      </x:c>
      <x:c r="B5" s="32" t="str">
        <x:v>4198</x:v>
      </x:c>
      <x:c r="C5" s="32" t="str">
        <x:v>Hongshiya Formation (Reprint)</x:v>
      </x:c>
      <x:c r="D5" s="32" t="str">
        <x:v>R3</x:v>
      </x:c>
      <x:c r="E5" s="33" t="n">
        <x:v>1</x:v>
      </x:c>
      <x:c r="F5" s="33" t="n">
        <x:v>1</x:v>
      </x:c>
      <x:c r="G5" s="33" t="n">
        <x:v>1</x:v>
      </x:c>
      <x:c r="H5" s="33" t="str">
        <x:v>POSITIVE</x:v>
      </x:c>
      <x:c r="I5" s="33" t="str">
        <x:v>API_DECIDED</x:v>
      </x:c>
      <x:c r="J5" s="34" t="str">
        <x:v>The excerpt reports independent mineralogical methods (photomicrography, FESEM, and EDS) performed on representative specimens, names hematite, and explicitly identifies it as the ChRM carrier.</x:v>
      </x:c>
      <x:c r="K5" s="34" t="str">
        <x:v>also performed on the representative specimens to investigate the</x:v>
      </x:c>
      <x:c r="L5" s="33" t="str">
        <x:v>resp_08ee85c8b8123757016a642e5bc07c81918a26160ad2e67956</x:v>
      </x:c>
    </x:row>
    <x:row r="6" ht="54" customHeight="1">
      <x:c r="A6" s="32" t="str">
        <x:v>10058</x:v>
      </x:c>
      <x:c r="B6" s="32" t="str">
        <x:v>4198</x:v>
      </x:c>
      <x:c r="C6" s="32" t="str">
        <x:v>Hongshiya Formation (Reprint)</x:v>
      </x:c>
      <x:c r="D6" s="32" t="str">
        <x:v>R5</x:v>
      </x:c>
      <x:c r="E6" s="33" t="n">
        <x:v>1</x:v>
      </x:c>
      <x:c r="F6" s="33" t="n">
        <x:v>1</x:v>
      </x:c>
      <x:c r="G6" s="33" t="n">
        <x:v>1</x:v>
      </x:c>
      <x:c r="H6" s="33" t="str">
        <x:v>POSITIVE</x:v>
      </x:c>
      <x:c r="I6" s="33" t="str">
        <x:v>API_DECIDED</x:v>
      </x:c>
      <x:c r="J6" s="34" t="str">
        <x:v>The excerpt affirmatively documents tilt-corrected directions and a statistically positive fold test, with improved precision after unfolding, establishing adequate structural/paleohorizontal control for this indicator.</x:v>
      </x:c>
      <x:c r="K6" s="34" t="str">
        <x:v>resulted in a positive result (DC slope=0.965 ± 0.094) at the 95% and samples were oriented using a magnetic compass. We cut each confidence level (Enkin, 2003). The precision parameter k increases</x:v>
      </x:c>
      <x:c r="L6" s="33" t="str">
        <x:v>resp_0e4b2c49813e9f55016a642e6a15708191a1a28bdadd51ff2a</x:v>
      </x:c>
    </x:row>
    <x:row r="7" ht="54" customHeight="1">
      <x:c r="A7" s="32" t="str">
        <x:v>10058</x:v>
      </x:c>
      <x:c r="B7" s="32" t="str">
        <x:v>4198</x:v>
      </x:c>
      <x:c r="C7" s="32" t="str">
        <x:v>Hongshiya Formation (Reprint)</x:v>
      </x:c>
      <x:c r="D7" s="32" t="str">
        <x:v>R7</x:v>
      </x:c>
      <x:c r="E7" s="33" t="n">
        <x:v>0</x:v>
      </x:c>
      <x:c r="F7" s="33" t="n">
        <x:v>0</x:v>
      </x:c>
      <x:c r="G7" s="33" t="n">
        <x:v>1</x:v>
      </x:c>
      <x:c r="H7" s="33" t="str">
        <x:v>NEGATIVE</x:v>
      </x:c>
      <x:c r="I7" s="33" t="str">
        <x:v>API_DECIDED</x:v>
      </x:c>
      <x:c r="J7" s="34" t="str">
        <x:v>The excerpt explicitly states that the Lower Ordovician Hongshiya Formation has a Jurassic overprint, which is a younger remagnetization invalidating the target paleomagnetic result under the criterion.</x:v>
      </x:c>
      <x:c r="K7" s="34" t="str">
        <x:v>HongshiyaFormationshowsanoverprintduringtheJurassic.</x:v>
      </x:c>
      <x:c r="L7" s="33" t="str">
        <x:v>resp_0388efbaf8b9d3d9016a642e7acabc8191a3fa7f3f5994e88f</x:v>
      </x:c>
    </x:row>
    <x:row r="8" ht="54" customHeight="1">
      <x:c r="A8" s="32" t="str">
        <x:v>10063</x:v>
      </x:c>
      <x:c r="B8" s="32" t="str">
        <x:v>4202</x:v>
      </x:c>
      <x:c r="C8" s="32" t="str">
        <x:v>Dashizhai Formation Lavas</x:v>
      </x:c>
      <x:c r="D8" s="32" t="str">
        <x:v>R3</x:v>
      </x:c>
      <x:c r="E8" s="33" t="n">
        <x:v>1</x:v>
      </x:c>
      <x:c r="F8" s="33" t="n">
        <x:v>0</x:v>
      </x:c>
      <x:c r="G8" s="33" t="n">
        <x:v>0</x:v>
      </x:c>
      <x:c r="H8" s="33" t="str">
        <x:v>UNKNOWN</x:v>
      </x:c>
      <x:c r="I8" s="33" t="str">
        <x:v>API_UNKNOWN</x:v>
      </x:c>
      <x:c r="J8" s="34" t="str">
        <x:v>The excerpt establishes independent rock-magnetic methods and names magnetic carriers for the Dashizhai Formation lavas, including magnetite and minor hematite. However, it does not explicitly connect a named carrier to the target characteristic remanent magnetization or paleomagnetic component; the carrier statement is tied to the lavas/rock-magnetic analyses rather than to ChRM acquisition or isolation.</x:v>
      </x:c>
      <x:c r="K8" s="34" t="str"/>
      <x:c r="L8" s="33" t="str">
        <x:v>resp_072f0e9f8659a708016a642e87c13c8191ac6863f51389ece2</x:v>
      </x:c>
    </x:row>
    <x:row r="9" ht="54" customHeight="1">
      <x:c r="A9" s="32" t="str">
        <x:v>10063</x:v>
      </x:c>
      <x:c r="B9" s="32" t="str">
        <x:v>4202</x:v>
      </x:c>
      <x:c r="C9" s="32" t="str">
        <x:v>Dashizhai Formation Lavas</x:v>
      </x:c>
      <x:c r="D9" s="32" t="str">
        <x:v>R5</x:v>
      </x:c>
      <x:c r="E9" s="33" t="n">
        <x:v>0</x:v>
      </x:c>
      <x:c r="F9" s="33" t="n">
        <x:v>1</x:v>
      </x:c>
      <x:c r="G9" s="33" t="n">
        <x:v>0</x:v>
      </x:c>
      <x:c r="H9" s="33" t="str">
        <x:v>POSITIVE</x:v>
      </x:c>
      <x:c r="I9" s="33" t="str">
        <x:v>API_DECIDED</x:v>
      </x:c>
      <x:c r="J9" s="34" t="str">
        <x:v>The excerpt affirmatively documents tilt-corrected directions and positive fold tests at 95% confidence, supporting adequate structural/paleohorizontal control rather than inadequate or unknown control.</x:v>
      </x:c>
      <x:c r="K9" s="34" t="str">
        <x:v>McElhinny (1964) fold test is positive at 95% confidence level: k/k = 11.66 &gt; F (13, 13) = 1.98. The optimal clustering is achieved at 88.3 ± 2.9% level in a stepwise fold test (Watson &amp; Enkin, 1993), s g indicating a positive fold test.</x:v>
      </x:c>
      <x:c r="L9" s="33" t="str">
        <x:v>resp_0e76cbc0fbe41f9f016a642eb1260881918a1d7317887bac6d</x:v>
      </x:c>
    </x:row>
    <x:row r="10" ht="54" customHeight="1">
      <x:c r="A10" s="32" t="str">
        <x:v>10063</x:v>
      </x:c>
      <x:c r="B10" s="32" t="str">
        <x:v>4202</x:v>
      </x:c>
      <x:c r="C10" s="32" t="str">
        <x:v>Dashizhai Formation Lavas</x:v>
      </x:c>
      <x:c r="D10" s="32" t="str">
        <x:v>R7</x:v>
      </x:c>
      <x:c r="E10" s="33" t="n">
        <x:v>1</x:v>
      </x:c>
      <x:c r="F10" s="33" t="n">
        <x:v>1</x:v>
      </x:c>
      <x:c r="G10" s="33" t="n">
        <x:v>1</x:v>
      </x:c>
      <x:c r="H10" s="33" t="str">
        <x:v>POSITIVE</x:v>
      </x:c>
      <x:c r="I10" s="33" t="str">
        <x:v>API_DECIDED</x:v>
      </x:c>
      <x:c r="J10" s="34" t="str">
        <x:v>The excerpt explicitly states that the new Dashizhai Formation lava pole satisfies R7 by having no resemblance to younger poles, so it affirmatively excludes a younger-pole invalidation for this target.</x:v>
      </x:c>
      <x:c r="K10" s="34" t="str">
        <x:v>(R7) no re- semblance to younger poles.</x:v>
      </x:c>
      <x:c r="L10" s="33" t="str">
        <x:v>resp_062d192bde015c6a016a642ec067e08191ac3f511ecaecd138</x:v>
      </x:c>
    </x:row>
    <x:row r="11" ht="54" customHeight="1">
      <x:c r="A11" s="32" t="str">
        <x:v>10082</x:v>
      </x:c>
      <x:c r="B11" s="32" t="str">
        <x:v>4216</x:v>
      </x:c>
      <x:c r="C11" s="32" t="str">
        <x:v>Panjal Traps</x:v>
      </x:c>
      <x:c r="D11" s="32" t="str">
        <x:v>R3</x:v>
      </x:c>
      <x:c r="E11" s="33" t="n">
        <x:v>0</x:v>
      </x:c>
      <x:c r="F11" s="33" t="n">
        <x:v>0</x:v>
      </x:c>
      <x:c r="G11" s="33" t="n">
        <x:v>1</x:v>
      </x:c>
      <x:c r="H11" s="33" t="str">
        <x:v>UNKNOWN</x:v>
      </x:c>
      <x:c r="I11" s="33" t="str">
        <x:v>API_UNKNOWN</x:v>
      </x:c>
      <x:c r="J11" s="34" t="str">
        <x:v>The excerpt names magnetic carriers and links them to remanence directions, but it does not establish an independent rock-magnetic or mineralogical method separate from demagnetization-based interpretation. Because the independent-method link is absent or unclear, the criterion is not satisfied.</x:v>
      </x:c>
      <x:c r="K11" s="34" t="str">
        <x:v>Thermal demagnetization indicates these directions are recorded either by magnetite (because they 251 ‘unblock’ ≤578°C, followed by a sharp decline in intensity) or magnetite plus variable 252 fractions of haematite (which unblocks ≤680°C).</x:v>
      </x:c>
      <x:c r="L11" s="33" t="str">
        <x:v>resp_03d4b24db72c98c7016a642ecd0f608191a5b1d878574aa4e6</x:v>
      </x:c>
    </x:row>
    <x:row r="12" ht="54" customHeight="1">
      <x:c r="A12" s="32" t="str">
        <x:v>10082</x:v>
      </x:c>
      <x:c r="B12" s="32" t="str">
        <x:v>4216</x:v>
      </x:c>
      <x:c r="C12" s="32" t="str">
        <x:v>Panjal Traps</x:v>
      </x:c>
      <x:c r="D12" s="32" t="str">
        <x:v>R5</x:v>
      </x:c>
      <x:c r="E12" s="33" t="n">
        <x:v>0</x:v>
      </x:c>
      <x:c r="F12" s="33" t="n">
        <x:v>1</x:v>
      </x:c>
      <x:c r="G12" s="33" t="n">
        <x:v>0</x:v>
      </x:c>
      <x:c r="H12" s="33" t="str">
        <x:v>POSITIVE</x:v>
      </x:c>
      <x:c r="I12" s="33" t="str">
        <x:v>API_DECIDED</x:v>
      </x:c>
      <x:c r="J12" s="34" t="str">
        <x:v>The excerpt affirmatively documents structural control through measured bedding attitudes at sampled outcrops and reports a tilt-corrected paleomagnetic mean, indicating paleohorizontal correction was applied for the study's data. Comments about possible problems with McElhinny et al. (1978) refer to the earlier dataset, not an established inadequacy in the submitted study.</x:v>
      </x:c>
      <x:c r="K12" s="34" t="str">
        <x:v>Bedding attitude is 37° to the SE and the characteristically 1-3 m thick cooling units 213 have tabular boundaries similar to those elsewhere.</x:v>
      </x:c>
      <x:c r="L12" s="33" t="str">
        <x:v>resp_0172cae6c955d40a016a642edb121481919336030ad9edf06c</x:v>
      </x:c>
    </x:row>
    <x:row r="13" ht="54" customHeight="1">
      <x:c r="A13" s="32" t="str">
        <x:v>10082</x:v>
      </x:c>
      <x:c r="B13" s="32" t="str">
        <x:v>4216</x:v>
      </x:c>
      <x:c r="C13" s="32" t="str">
        <x:v>Panjal Traps</x:v>
      </x:c>
      <x:c r="D13" s="32" t="str">
        <x:v>R7</x:v>
      </x:c>
      <x:c r="E13" s="33" t="n">
        <x:v>1</x:v>
      </x:c>
      <x:c r="F13" s="33" t="n">
        <x:v>1</x:v>
      </x:c>
      <x:c r="G13" s="33" t="n">
        <x:v>1</x:v>
      </x:c>
      <x:c r="H13" s="33" t="str">
        <x:v>POSITIVE</x:v>
      </x:c>
      <x:c r="I13" s="33" t="str">
        <x:v>API_DECIDED</x:v>
      </x:c>
      <x:c r="J13" s="34" t="str">
        <x:v>The excerpt characterizes the target magnetization as primary, and also states that the magnetite record is considered primary while any hematite alteration remanence was acquired shortly afterwards, not as a younger remagnetization invalidating the target. Although it discusses an earlier study that suggested a Tertiary overprint, the submitted excerpt frames the present study's result as primary rather than invalidated by a younger overprint.</x:v>
      </x:c>
      <x:c r="K13" s="34" t="str">
        <x:v>primary magnetization</x:v>
      </x:c>
      <x:c r="L13" s="33" t="str">
        <x:v>resp_0599187c7a616bf3016a642ee9238481918ad7f91a6740c586</x:v>
      </x:c>
    </x:row>
    <x:row r="14" ht="54" customHeight="1">
      <x:c r="A14" s="32" t="str">
        <x:v>10086</x:v>
      </x:c>
      <x:c r="B14" s="32" t="str">
        <x:v>4219</x:v>
      </x:c>
      <x:c r="C14" s="32" t="str">
        <x:v>Keurusselkä Impact Structure</x:v>
      </x:c>
      <x:c r="D14" s="32" t="str">
        <x:v>R3</x:v>
      </x:c>
      <x:c r="E14" s="33" t="n">
        <x:v>1</x:v>
      </x:c>
      <x:c r="F14" s="33" t="n">
        <x:v>1</x:v>
      </x:c>
      <x:c r="G14" s="33" t="n">
        <x:v>1</x:v>
      </x:c>
      <x:c r="H14" s="33" t="str">
        <x:v>POSITIVE</x:v>
      </x:c>
      <x:c r="I14" s="33" t="str">
        <x:v>API_DECIDED</x:v>
      </x:c>
      <x:c r="J14" s="34" t="str">
        <x:v>The excerpt reports independent petrophysical/rock magnetic results on shocked and unshocked target rocks, names magnetite and pyrrhotite, and explicitly states these minerals were observed as carriers of the remanent magnetization.</x:v>
      </x:c>
      <x:c r="K14" s="34" t="str">
        <x:v>New petrophysical and rock magnetic results of shocked and unshocked target rocks of various lithologies combined with paleomagnetic studies are presented. The suggested central uplift with shatter cones is characterized by increased magnetization and susceptibility. The presence of magnetite and pyrrhotite was observed as carriers for the remanent magnetization.</x:v>
      </x:c>
      <x:c r="L14" s="33" t="str">
        <x:v>resp_01ff92db1d41b9b3016a642f00f90481918862bdaffa660d9f</x:v>
      </x:c>
    </x:row>
    <x:row r="15" ht="54" customHeight="1">
      <x:c r="A15" s="32" t="str">
        <x:v>10086</x:v>
      </x:c>
      <x:c r="B15" s="32" t="str">
        <x:v>4219</x:v>
      </x:c>
      <x:c r="C15" s="32" t="str">
        <x:v>Keurusselkä Impact Structure</x:v>
      </x:c>
      <x:c r="D15" s="32" t="str">
        <x:v>R5</x:v>
      </x:c>
      <x:c r="E15" s="33" t="n">
        <x:v>1</x:v>
      </x:c>
      <x:c r="F15" s="33" t="n">
        <x:v>1</x:v>
      </x:c>
      <x:c r="G15" s="33" t="n">
        <x:v>1</x:v>
      </x:c>
      <x:c r="H15" s="33" t="str">
        <x:v>UNKNOWN</x:v>
      </x:c>
      <x:c r="I15" s="33" t="str">
        <x:v>API_UNKNOWN</x:v>
      </x:c>
      <x:c r="J15" s="34" t="str">
        <x:v>The excerpt mentions regional deformation, faults, and complex folding, but it does not affirmatively establish adequate structural or paleohorizontal control, nor does it explicitly establish that such control was inadequate for the paleomagnetic result.</x:v>
      </x:c>
      <x:c r="K15" s="34" t="str">
        <x:v>Continental deformation, metamorphism and also complex folding with several phases</x:v>
      </x:c>
      <x:c r="L15" s="33" t="str">
        <x:v>resp_0ba93596126f2b33016a642f0fb5c88191a158d0439f96c136</x:v>
      </x:c>
    </x:row>
    <x:row r="16" ht="54" customHeight="1">
      <x:c r="A16" s="32" t="str">
        <x:v>10086</x:v>
      </x:c>
      <x:c r="B16" s="32" t="str">
        <x:v>4219</x:v>
      </x:c>
      <x:c r="C16" s="32" t="str">
        <x:v>Keurusselkä Impact Structure</x:v>
      </x:c>
      <x:c r="D16" s="32" t="str">
        <x:v>R7</x:v>
      </x:c>
      <x:c r="E16" s="33" t="n">
        <x:v>0</x:v>
      </x:c>
      <x:c r="F16" s="33" t="n">
        <x:v>0</x:v>
      </x:c>
      <x:c r="G16" s="33" t="n">
        <x:v>1</x:v>
      </x:c>
      <x:c r="H16" s="33" t="str">
        <x:v>NEGATIVE</x:v>
      </x:c>
      <x:c r="I16" s="33" t="str">
        <x:v>API_DECIDED</x:v>
      </x:c>
      <x:c r="J16" s="34" t="str">
        <x:v>The excerpt identifies secondary/remagnetized components in the Keurusselkä rocks and relates them to younger geological events, with C and E considered too young for the impact event. This establishes a younger remagnetization/overprint risk for the target under the criterion.</x:v>
      </x:c>
      <x:c r="K16" s="34" t="str">
        <x:v>C and E are interpreted to represent remagnetizations, the central uplift, are proposed to be enhanced due to which are related to younger geological events on the impact</x:v>
      </x:c>
      <x:c r="L16" s="33" t="str">
        <x:v>resp_0661a561b356cc54016a642f1d43408191bcddf0ebef4a562a</x:v>
      </x:c>
    </x:row>
    <x:row r="17" ht="54" customHeight="1">
      <x:c r="A17" s="32" t="str">
        <x:v>10091</x:v>
      </x:c>
      <x:c r="B17" s="32" t="str">
        <x:v>4221</x:v>
      </x:c>
      <x:c r="C17" s="32" t="str">
        <x:v>Zapicán Dykes</x:v>
      </x:c>
      <x:c r="D17" s="32" t="str">
        <x:v>R3</x:v>
      </x:c>
      <x:c r="E17" s="33" t="n">
        <x:v>1</x:v>
      </x:c>
      <x:c r="F17" s="33" t="n">
        <x:v>0</x:v>
      </x:c>
      <x:c r="G17" s="33" t="n">
        <x:v>0</x:v>
      </x:c>
      <x:c r="H17" s="33" t="str">
        <x:v>UNKNOWN</x:v>
      </x:c>
      <x:c r="I17" s="33" t="str">
        <x:v>API_UNKNOWN</x:v>
      </x:c>
      <x:c r="J17" s="34" t="str">
        <x:v>The excerpt documents an independent rock-magnetic method and identifies possible magnetic carriers such as titanomagnetite and magnetite from thermomagnetic/Curie-temperature behavior, but it does not explicitly state that a named carrier carries the target ChRM or paleomagnetic component. The carrier-remanence link is therefore unclear.</x:v>
      </x:c>
      <x:c r="K17" s="34" t="str">
        <x:v>Another important group of samples (25%) presented a single ferromagnetic phase with a The mean paleodirection of the studied dikes is Dec =3.7◦, Inc = Curie temperature around 560–572 ◦C, compatible with titanomagnetite</x:v>
      </x:c>
      <x:c r="L17" s="33" t="str">
        <x:v>resp_0d610fb28e240ed4016a642f2bb2bc8191bdf181e0b573a387</x:v>
      </x:c>
    </x:row>
    <x:row r="18" ht="54" customHeight="1">
      <x:c r="A18" s="32" t="str">
        <x:v>10091</x:v>
      </x:c>
      <x:c r="B18" s="32" t="str">
        <x:v>4221</x:v>
      </x:c>
      <x:c r="C18" s="32" t="str">
        <x:v>Zapicán Dykes</x:v>
      </x:c>
      <x:c r="D18" s="32" t="str">
        <x:v>R5</x:v>
      </x:c>
      <x:c r="E18" s="33" t="n">
        <x:v>1</x:v>
      </x:c>
      <x:c r="F18" s="33" t="n">
        <x:v>1</x:v>
      </x:c>
      <x:c r="G18" s="33" t="n">
        <x:v>1</x:v>
      </x:c>
      <x:c r="H18" s="33" t="str">
        <x:v>UNKNOWN</x:v>
      </x:c>
      <x:c r="I18" s="33" t="str">
        <x:v>API_UNKNOWN</x:v>
      </x:c>
      <x:c r="J18" s="34" t="str">
        <x:v>The excerpt describes the Zapicán dike paleomagnetic study and reports paleomagnetic directions, but it does not affirmatively establish adequate structural or paleohorizontal control, nor does it establish inadequate control.</x:v>
      </x:c>
      <x:c r="K18" s="34" t="str">
        <x:v>Paleomagnetic directions revealed mostly normal polarity magnetizations Rock-magnetism with few intermediate and reverse polarity dikes.</x:v>
      </x:c>
      <x:c r="L18" s="33" t="str">
        <x:v>resp_0b3544346bbc6b01016a642f3bec0c81919770bc300ece6c2b</x:v>
      </x:c>
    </x:row>
    <x:row r="19" ht="54" customHeight="1">
      <x:c r="A19" s="32" t="str">
        <x:v>10091</x:v>
      </x:c>
      <x:c r="B19" s="32" t="str">
        <x:v>4221</x:v>
      </x:c>
      <x:c r="C19" s="32" t="str">
        <x:v>Zapicán Dykes</x:v>
      </x:c>
      <x:c r="D19" s="32" t="str">
        <x:v>R7</x:v>
      </x:c>
      <x:c r="E19" s="33" t="n">
        <x:v>0</x:v>
      </x:c>
      <x:c r="F19" s="33" t="n">
        <x:v>1</x:v>
      </x:c>
      <x:c r="G19" s="33" t="n">
        <x:v>0</x:v>
      </x:c>
      <x:c r="H19" s="33" t="str">
        <x:v>UNKNOWN</x:v>
      </x:c>
      <x:c r="I19" s="33" t="str">
        <x:v>API_UNKNOWN</x:v>
      </x:c>
      <x:c r="J19" s="34" t="str">
        <x:v>The excerpt reports paleomagnetic methods and site-mean ChRM results, and it mentions an overprint check as a reliability criterion, but it does not state that the Zapicán Dykes pole is invalidated by a younger pole/remagnetization/secondary overprint/age reset. It also does not affirmatively exclude such younger invalidation or provide an older-magnetization rescue.</x:v>
      </x:c>
      <x:c r="K19" s="34" t="str">
        <x:v>while the overprint check, the relative alteration error</x:v>
      </x:c>
      <x:c r="L19" s="33" t="str">
        <x:v>resp_0ba57746259cd3da016a642f4ac0f481918cbeb7bbe131757b</x:v>
      </x:c>
    </x:row>
    <x:row r="20" ht="54" customHeight="1">
      <x:c r="A20" s="32" t="str">
        <x:v>10095</x:v>
      </x:c>
      <x:c r="B20" s="32" t="str">
        <x:v>4223</x:v>
      </x:c>
      <x:c r="C20" s="32" t="str">
        <x:v>Yanshiping Volcanics</x:v>
      </x:c>
      <x:c r="D20" s="32" t="str">
        <x:v>R3</x:v>
      </x:c>
      <x:c r="E20" s="33" t="n">
        <x:v>1</x:v>
      </x:c>
      <x:c r="F20" s="33" t="n">
        <x:v>1</x:v>
      </x:c>
      <x:c r="G20" s="33" t="n">
        <x:v>1</x:v>
      </x:c>
      <x:c r="H20" s="33" t="str">
        <x:v>POSITIVE</x:v>
      </x:c>
      <x:c r="I20" s="33" t="str">
        <x:v>API_DECIDED</x:v>
      </x:c>
      <x:c r="J20" s="34" t="str">
        <x:v>The excerpt reports independent rock-magnetic/mineralogical work, including hysteresis, IRM/back-field measurements, susceptibility-temperature experiments, petrography, and EMPA/EDS observations. It names hematite and magnetite as magnetic carriers and explicitly links them to the natural remanent magnetization and high-temperature component directions.</x:v>
      </x:c>
      <x:c r="K20" s="34" t="str">
        <x:v>We conclude from these observations that hematite is a dominant contributor to the natural remanent magnetization(NRM)formostsamples,andthatmagnetitevaryinglycontributestotheNRM.</x:v>
      </x:c>
      <x:c r="L20" s="33" t="str">
        <x:v>resp_046341a5865509bf016a642f5878ac8191b19bf4709dd9a39d</x:v>
      </x:c>
    </x:row>
    <x:row r="21" ht="54" customHeight="1">
      <x:c r="A21" s="32" t="str">
        <x:v>10095</x:v>
      </x:c>
      <x:c r="B21" s="32" t="str">
        <x:v>4223</x:v>
      </x:c>
      <x:c r="C21" s="32" t="str">
        <x:v>Yanshiping Volcanics</x:v>
      </x:c>
      <x:c r="D21" s="32" t="str">
        <x:v>R5</x:v>
      </x:c>
      <x:c r="E21" s="33" t="n">
        <x:v>1</x:v>
      </x:c>
      <x:c r="F21" s="33" t="n">
        <x:v>1</x:v>
      </x:c>
      <x:c r="G21" s="33" t="n">
        <x:v>1</x:v>
      </x:c>
      <x:c r="H21" s="33" t="str">
        <x:v>POSITIVE</x:v>
      </x:c>
      <x:c r="I21" s="33" t="str">
        <x:v>API_DECIDED</x:v>
      </x:c>
      <x:c r="J21" s="34" t="str">
        <x:v>The excerpt affirmatively states that conformably interbedded sedimentary rocks provide excellent structural control on the original attitude of the lavas, which establishes adequate paleohorizontal/structural control. Later discussion of possible plunging fold or local rotations does not negate that adequacy within the submitted excerpt.</x:v>
      </x:c>
      <x:c r="K21" s="34" t="str">
        <x:v>excellent structural control on the original attitude of the lavas</x:v>
      </x:c>
      <x:c r="L21" s="33" t="str">
        <x:v>resp_0d5b0c8263934e0a016a642f66f8508191a8b414b4fab578c1</x:v>
      </x:c>
    </x:row>
    <x:row r="22" ht="54" customHeight="1">
      <x:c r="A22" s="32" t="str">
        <x:v>10095</x:v>
      </x:c>
      <x:c r="B22" s="32" t="str">
        <x:v>4223</x:v>
      </x:c>
      <x:c r="C22" s="32" t="str">
        <x:v>Yanshiping Volcanics</x:v>
      </x:c>
      <x:c r="D22" s="32" t="str">
        <x:v>R7</x:v>
      </x:c>
      <x:c r="E22" s="33" t="n">
        <x:v>0</x:v>
      </x:c>
      <x:c r="F22" s="33" t="n">
        <x:v>1</x:v>
      </x:c>
      <x:c r="G22" s="33" t="n">
        <x:v>0</x:v>
      </x:c>
      <x:c r="H22" s="33" t="str">
        <x:v>POSITIVE</x:v>
      </x:c>
      <x:c r="I22" s="33" t="str">
        <x:v>API_DECIDED</x:v>
      </x:c>
      <x:c r="J22" s="34" t="str">
        <x:v>The excerpt affirmatively argues that the characteristic remanent magnetization is primary and states there is no rock magnetic, petrographic, or paleomagnetic evidence that secondary or unremoved magnetizations bias the ChRM directions. This excludes the younger-remagnetization/secondary-overprint invalidation targeted by R7.</x:v>
      </x:c>
      <x:c r="K22" s="34" t="str">
        <x:v>(4)anabsenceofrockmagnetic,petrographic,orpaleomagneticevidence thatsuggeststhatunremovedorsecondarymagnetizationsbiastheChRMdirections</x:v>
      </x:c>
      <x:c r="L22" s="33" t="str">
        <x:v>resp_073958da544ffa80016a642f74656c819192d953a2a05f361c</x:v>
      </x:c>
    </x:row>
    <x:row r="23" ht="54" customHeight="1">
      <x:c r="A23" s="32" t="str">
        <x:v>10096</x:v>
      </x:c>
      <x:c r="B23" s="32" t="str">
        <x:v>4224</x:v>
      </x:c>
      <x:c r="C23" s="32" t="str">
        <x:v>Zhepure Formation</x:v>
      </x:c>
      <x:c r="D23" s="32" t="str">
        <x:v>R3</x:v>
      </x:c>
      <x:c r="E23" s="33" t="n">
        <x:v>1</x:v>
      </x:c>
      <x:c r="F23" s="33" t="n">
        <x:v>0</x:v>
      </x:c>
      <x:c r="G23" s="33" t="n">
        <x:v>0</x:v>
      </x:c>
      <x:c r="H23" s="33" t="str">
        <x:v>UNKNOWN</x:v>
      </x:c>
      <x:c r="I23" s="33" t="str">
        <x:v>API_UNKNOWN</x:v>
      </x:c>
      <x:c r="J23" s="34" t="str">
        <x:v>The excerpt provides independent rock-magnetic/mineralogical methods and identifies magnetic minerals in the Zhepure Fm. limestone, including hematite and fine-grained magnetite. However, it does not explicitly state that either named carrier carries the ChRM, HTC/HCC, or target remanence component; it only says the magnetic results support possible primary magnetization and separately defines the ChRM demagnetization behavior.</x:v>
      </x:c>
      <x:c r="K23" s="34" t="str">
        <x:v>indicated that the high- and low-coercivity magnetic minerals unblocked at 680°C and 450°C were he-
matite and fine-grained magnetite</x:v>
      </x:c>
      <x:c r="L23" s="33" t="str">
        <x:v>resp_0211c46d688d326a016a642f82286c8191afd7e9575a1dcbaa</x:v>
      </x:c>
    </x:row>
    <x:row r="24" ht="54" customHeight="1">
      <x:c r="A24" s="32" t="str">
        <x:v>10096</x:v>
      </x:c>
      <x:c r="B24" s="32" t="str">
        <x:v>4224</x:v>
      </x:c>
      <x:c r="C24" s="32" t="str">
        <x:v>Zhepure Formation</x:v>
      </x:c>
      <x:c r="D24" s="32" t="str">
        <x:v>R5</x:v>
      </x:c>
      <x:c r="E24" s="33" t="n">
        <x:v>0</x:v>
      </x:c>
      <x:c r="F24" s="33" t="n">
        <x:v>1</x:v>
      </x:c>
      <x:c r="G24" s="33" t="n">
        <x:v>0</x:v>
      </x:c>
      <x:c r="H24" s="33" t="str">
        <x:v>POSITIVE</x:v>
      </x:c>
      <x:c r="I24" s="33" t="str">
        <x:v>API_DECIDED</x:v>
      </x:c>
      <x:c r="J24" s="34" t="str">
        <x:v>The excerpt affirmatively documents structural control: bedding attitudes were observed, the data were tilt corrected, and fold tests were positive, supporting primary magnetization acquired before folding.</x:v>
      </x:c>
      <x:c r="K24" s="34" t="str">
        <x:v>The new paleomagnetic data pass both fold and reversal tests, indicating that the ChRM directions are primary magnetizations acquired before folding.</x:v>
      </x:c>
      <x:c r="L24" s="33" t="str">
        <x:v>resp_092268975ec52a72016a642f93fe308191a76f90716c96245d</x:v>
      </x:c>
    </x:row>
    <x:row r="25" ht="54" customHeight="1">
      <x:c r="A25" s="32" t="str">
        <x:v>10096</x:v>
      </x:c>
      <x:c r="B25" s="32" t="str">
        <x:v>4224</x:v>
      </x:c>
      <x:c r="C25" s="32" t="str">
        <x:v>Zhepure Formation</x:v>
      </x:c>
      <x:c r="D25" s="32" t="str">
        <x:v>R7</x:v>
      </x:c>
      <x:c r="E25" s="33" t="n">
        <x:v>1</x:v>
      </x:c>
      <x:c r="F25" s="33" t="n">
        <x:v>1</x:v>
      </x:c>
      <x:c r="G25" s="33" t="n">
        <x:v>1</x:v>
      </x:c>
      <x:c r="H25" s="33" t="str">
        <x:v>POSITIVE</x:v>
      </x:c>
      <x:c r="I25" s="33" t="str">
        <x:v>API_DECIDED</x:v>
      </x:c>
      <x:c r="J25" s="34" t="str">
        <x:v>The excerpt affirmatively supports the target paleomagnetic result as primary rather than a younger remagnetization/overprint, citing positive fold and reversal tests. Remagnetization concerns are discussed for other formations and those paleopoles are excluded, while the Zhepure Formation Eocene pole is the new DN result.</x:v>
      </x:c>
      <x:c r="K25" s="34" t="str">
        <x:v>These results, combined with the positive reversal test (McFadden &amp; McElhinny, 1990), indicate that the ChRM directions preserve a primary origin.</x:v>
      </x:c>
      <x:c r="L25" s="33" t="str">
        <x:v>resp_0d8941cee9c631e3016a642fa321208191aae450f23f0ef0d9</x:v>
      </x:c>
    </x:row>
    <x:row r="26" ht="54" customHeight="1">
      <x:c r="A26" s="32" t="str">
        <x:v>10125</x:v>
      </x:c>
      <x:c r="B26" s="32" t="str">
        <x:v>4250</x:v>
      </x:c>
      <x:c r="C26" s="32" t="str">
        <x:v>Central Patagonian Batholith</x:v>
      </x:c>
      <x:c r="D26" s="32" t="str">
        <x:v>R3</x:v>
      </x:c>
      <x:c r="E26" s="33" t="n">
        <x:v>0</x:v>
      </x:c>
      <x:c r="F26" s="33" t="n">
        <x:v>0</x:v>
      </x:c>
      <x:c r="G26" s="33" t="n">
        <x:v>1</x:v>
      </x:c>
      <x:c r="H26" s="33" t="str">
        <x:v>UNKNOWN</x:v>
      </x:c>
      <x:c r="I26" s="33" t="str">
        <x:v>API_UNKNOWN</x:v>
      </x:c>
      <x:c r="J26" s="34" t="str">
        <x:v>The excerpt names magnetic carriers and refers to rock magnetism, but it does not clearly establish an explicit connection between a named carrier and the target ChRM, primary remanence, or accepted paleomagnetic component. The only direct carrier-remanence style statement concerns unstable samples probably dominated by multi-domain magnetite, not the accepted target component.</x:v>
      </x:c>
      <x:c r="K26" s="34" t="str">
        <x:v>Thepresence theseresults,areversaltestwascarriedoutwiththeChRMdirections of titanomagnetite and low titanium magnetite is deduced in the dif- correspondingtotheVGPsinsidethecutoffangle.</x:v>
      </x:c>
      <x:c r="L26" s="33" t="str">
        <x:v>resp_00e969a35515195c016a642fb2506c8191b4a6f273c971700b</x:v>
      </x:c>
    </x:row>
    <x:row r="27" ht="54" customHeight="1">
      <x:c r="A27" s="32" t="str">
        <x:v>10125</x:v>
      </x:c>
      <x:c r="B27" s="32" t="str">
        <x:v>4250</x:v>
      </x:c>
      <x:c r="C27" s="32" t="str">
        <x:v>Central Patagonian Batholith</x:v>
      </x:c>
      <x:c r="D27" s="32" t="str">
        <x:v>R5</x:v>
      </x:c>
      <x:c r="E27" s="33" t="n">
        <x:v>0</x:v>
      </x:c>
      <x:c r="F27" s="33" t="n">
        <x:v>1</x:v>
      </x:c>
      <x:c r="G27" s="33" t="n">
        <x:v>0</x:v>
      </x:c>
      <x:c r="H27" s="33" t="str">
        <x:v>UNKNOWN</x:v>
      </x:c>
      <x:c r="I27" s="33" t="str">
        <x:v>API_UNKNOWN</x:v>
      </x:c>
      <x:c r="J27" s="34" t="str">
        <x:v>The excerpt provides general geological and tectonic context for the Central Patagonian Batholith, including mention of subvertical fabrics and tectonic interpretations, but it does not affirm adequate paleohorizontal/structural control or establish inadequate control such as missing bedding attitudes, absent correction, or unresolved tilting.</x:v>
      </x:c>
      <x:c r="K27" s="34" t="str">
        <x:v>anditregistersNW-SEsubverticalmagmaticandsolid-statefabrics.</x:v>
      </x:c>
      <x:c r="L27" s="33" t="str">
        <x:v>resp_0e7a6f913d5177be016a642fc0c800819184790e1214e209ee</x:v>
      </x:c>
    </x:row>
    <x:row r="28" ht="54" customHeight="1">
      <x:c r="A28" s="32" t="str">
        <x:v>10125</x:v>
      </x:c>
      <x:c r="B28" s="32" t="str">
        <x:v>4250</x:v>
      </x:c>
      <x:c r="C28" s="32" t="str">
        <x:v>Central Patagonian Batholith</x:v>
      </x:c>
      <x:c r="D28" s="32" t="str">
        <x:v>R7</x:v>
      </x:c>
      <x:c r="E28" s="33" t="n">
        <x:v>1</x:v>
      </x:c>
      <x:c r="F28" s="33" t="n">
        <x:v>1</x:v>
      </x:c>
      <x:c r="G28" s="33" t="n">
        <x:v>1</x:v>
      </x:c>
      <x:c r="H28" s="33" t="str">
        <x:v>UNKNOWN</x:v>
      </x:c>
      <x:c r="I28" s="33" t="str">
        <x:v>API_UNKNOWN</x:v>
      </x:c>
      <x:c r="J28" s="34" t="str">
        <x:v>The excerpt mentions remagnetization only in a truncated sentence, so it does not clearly establish either a younger remagnetization invalidating the target or an affirmative exclusion of younger invalidation. The remaining text discusses comparison with Late Triassic poles and deformation/rotation, but is insufficient to decide the R7 criterion.</x:v>
      </x:c>
      <x:c r="K28" s="34" t="str"/>
      <x:c r="L28" s="33" t="str">
        <x:v>resp_0270cbe58a983dcf016a642fcf830c8191bab8c182aa14a399</x:v>
      </x:c>
    </x:row>
    <x:row r="29" ht="54" customHeight="1">
      <x:c r="A29" s="32" t="str">
        <x:v>10218</x:v>
      </x:c>
      <x:c r="B29" s="32" t="str">
        <x:v>4310</x:v>
      </x:c>
      <x:c r="C29" s="32" t="str">
        <x:v>Khorbusuonka Intrusions</x:v>
      </x:c>
      <x:c r="D29" s="32" t="str">
        <x:v>R3</x:v>
      </x:c>
      <x:c r="E29" s="33" t="n">
        <x:v>0</x:v>
      </x:c>
      <x:c r="F29" s="33" t="n">
        <x:v>0</x:v>
      </x:c>
      <x:c r="G29" s="33" t="n">
        <x:v>1</x:v>
      </x:c>
      <x:c r="H29" s="33" t="str">
        <x:v>UNKNOWN</x:v>
      </x:c>
      <x:c r="I29" s="33" t="str">
        <x:v>API_UNKNOWN</x:v>
      </x:c>
      <x:c r="J29" s="34" t="str">
        <x:v>The excerpt reports independent rock-magnetic/mineralogical observations and names titanomagnetite, and it also reports a characteristic paleomagnetic component. However, it does not explicitly state that titanomagnetite, or any named magnetic carrier, carries that target remanence/component. Because the carrier-to-remanence link is absent or unclear, the criterion is not fully established.</x:v>
      </x:c>
      <x:c r="K29" s="34" t="str">
        <x:v>For almost all samples, thermal stepwise demagne- ysis of the domain structure according to the thermo- tization in the range 300–450°C yielded a characteris- magnetic criterion [16] indicate that the rock is over-</x:v>
      </x:c>
      <x:c r="L29" s="33" t="str">
        <x:v>resp_0d7066eb0d152c57016a642fde2f7c8191a9a2a7c971021e42</x:v>
      </x:c>
    </x:row>
    <x:row r="30" ht="54" customHeight="1">
      <x:c r="A30" s="32" t="str">
        <x:v>10218</x:v>
      </x:c>
      <x:c r="B30" s="32" t="str">
        <x:v>4310</x:v>
      </x:c>
      <x:c r="C30" s="32" t="str">
        <x:v>Khorbusuonka Intrusions</x:v>
      </x:c>
      <x:c r="D30" s="32" t="str">
        <x:v>R5</x:v>
      </x:c>
      <x:c r="E30" s="33" t="n">
        <x:v>1</x:v>
      </x:c>
      <x:c r="F30" s="33" t="n">
        <x:v>1</x:v>
      </x:c>
      <x:c r="G30" s="33" t="n">
        <x:v>1</x:v>
      </x:c>
      <x:c r="H30" s="33" t="str">
        <x:v>UNKNOWN</x:v>
      </x:c>
      <x:c r="I30" s="33" t="str">
        <x:v>API_UNKNOWN</x:v>
      </x:c>
      <x:c r="J30" s="34" t="str">
        <x:v>The excerpt identifies the sampled intrusions and summarizes paleomagnetic results, but it does not state bedding or site attitudes, structural correction, paleohorizontal control, tilting, rotation, or lack thereof. Therefore structural/paleohorizontal control cannot be decided from this excerpt alone.</x:v>
      </x:c>
      <x:c r="K30" s="34" t="str">
        <x:v>We report results of paleomagnetic studies of mafic dikes and sills from the Tas-Yuryakh magmatic complex on the Olenek uplift in the northeast of the Siberian platform.</x:v>
      </x:c>
      <x:c r="L30" s="33" t="str">
        <x:v>resp_053a543630789611016a642ff602d08191a8c699f90bc782b4</x:v>
      </x:c>
    </x:row>
    <x:row r="31" ht="54" customHeight="1">
      <x:c r="A31" s="32" t="str">
        <x:v>10218</x:v>
      </x:c>
      <x:c r="B31" s="32" t="str">
        <x:v>4310</x:v>
      </x:c>
      <x:c r="C31" s="32" t="str">
        <x:v>Khorbusuonka Intrusions</x:v>
      </x:c>
      <x:c r="D31" s="32" t="str">
        <x:v>R7</x:v>
      </x:c>
      <x:c r="E31" s="33" t="n">
        <x:v>0</x:v>
      </x:c>
      <x:c r="F31" s="33" t="n">
        <x:v>1</x:v>
      </x:c>
      <x:c r="G31" s="33" t="n">
        <x:v>0</x:v>
      </x:c>
      <x:c r="H31" s="33" t="str">
        <x:v>UNKNOWN</x:v>
      </x:c>
      <x:c r="I31" s="33" t="str">
        <x:v>API_UNKNOWN</x:v>
      </x:c>
      <x:c r="J31" s="34" t="str">
        <x:v>The excerpt gives the intrusion age and paleomagnetic context for the Khorbusuonka dikes and sills, but it does not state that the target was affected by a younger pole, younger remagnetization, secondary overprint, or age reset. It also does not affirmatively exclude such younger invalidation. Under the supplied criterion, this is insufficient to decide positive or negative.</x:v>
      </x:c>
      <x:c r="K31" s="34" t="str">
        <x:v>Therefore, the time range of intrusion of the Khorbusuonka dikes and sills can be narrowed to the Fortunian age, approximately 530 Ma.</x:v>
      </x:c>
      <x:c r="L31" s="33" t="str">
        <x:v>resp_0ed50a29b4358c64016a6430043b24819192477b2e6c624c95</x:v>
      </x:c>
    </x:row>
  </x:sheetData>
  <x:pageMargins left="0.7" right="0.7" top="0.75" bottom="0.75" header="0.3" footer="0.3"/>
  <x:tableParts count="1">
    <x:tablePart xmlns:r="http://schemas.openxmlformats.org/officeDocument/2006/relationships" r:id="R366bcb33d44f4973"/>
  </x:tableParts>
</x:worksheet>
</file>