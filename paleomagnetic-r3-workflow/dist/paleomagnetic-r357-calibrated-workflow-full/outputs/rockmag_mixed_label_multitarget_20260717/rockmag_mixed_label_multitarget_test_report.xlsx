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0a526984374678" /></Relationships>
</file>

<file path=xl/workbook.xml><?xml version="1.0" encoding="utf-8"?>
<x:workbook xmlns:x="http://schemas.openxmlformats.org/spreadsheetml/2006/main">
  <x:sheets>
    <x:sheet xmlns:r="http://schemas.openxmlformats.org/officeDocument/2006/relationships" name="结果摘要" sheetId="1" r:id="Rc77c32d14dd84138"/>
    <x:sheet xmlns:r="http://schemas.openxmlformats.org/officeDocument/2006/relationships" name="目标明细" sheetId="2" r:id="Rdf9e06e75cd64c09"/>
    <x:sheet xmlns:r="http://schemas.openxmlformats.org/officeDocument/2006/relationships" name="论文汇总" sheetId="3" r:id="R23a49d7f571e4811"/>
    <x:sheet xmlns:r="http://schemas.openxmlformats.org/officeDocument/2006/relationships" name="ROCKMAG-R3不一致" sheetId="4" r:id="R92cf2a3914934510"/>
    <x:sheet xmlns:r="http://schemas.openxmlformats.org/officeDocument/2006/relationships" name="口径与溯源" sheetId="5" r:id="Reb8443522ca8459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
  </x:numFmts>
  <x:fonts count="12">
    <x:font>
      <x:sz val="11"/>
      <x:name val="Carlito"/>
    </x:font>
    <x:font>
      <x:b/>
      <x:sz val="18"/>
      <x:color rgb="FFFFFFFF"/>
      <x:name val="Carlito"/>
    </x:font>
    <x:font>
      <x:i/>
      <x:sz val="11"/>
      <x:color rgb="FF52606D"/>
      <x:name val="Carlito"/>
    </x:font>
    <x:font>
      <x:b/>
      <x:sz val="11"/>
      <x:color rgb="FFFFFFFF"/>
      <x:name val="Carlito"/>
    </x:font>
    <x:font>
      <x:b/>
      <x:sz val="11"/>
      <x:color rgb="FFC84B31"/>
      <x:name val="Carlito"/>
    </x:font>
    <x:font>
      <x:b/>
      <x:sz val="18"/>
      <x:color rgb="FFFFFFFF"/>
      <x:name val="Arial"/>
    </x:font>
    <x:font>
      <x:i/>
      <x:sz val="11"/>
      <x:color rgb="FF52606D"/>
      <x:name val="Arial"/>
    </x:font>
    <x:font>
      <x:sz val="11"/>
      <x:name val="Arial"/>
    </x:font>
    <x:font>
      <x:b/>
      <x:sz val="11"/>
      <x:color rgb="FFFFFFFF"/>
      <x:name val="Arial"/>
    </x:font>
    <x:font>
      <x:b/>
      <x:sz val="11"/>
      <x:color rgb="FFC84B31"/>
      <x:name val="Arial"/>
    </x:font>
    <x:font>
      <x:sz val="9"/>
      <x:name val="Arial"/>
    </x:font>
    <x:font>
      <x:sz val="10"/>
      <x:name val="Arial"/>
    </x:font>
  </x:fonts>
  <x:fills count="6">
    <x:fill>
      <x:patternFill patternType="none"/>
    </x:fill>
    <x:fill>
      <x:patternFill patternType="gray125"/>
    </x:fill>
    <x:fill>
      <x:patternFill patternType="solid">
        <x:fgColor rgb="FF17212B"/>
      </x:patternFill>
    </x:fill>
    <x:fill>
      <x:patternFill patternType="solid">
        <x:fgColor rgb="FF087E8B"/>
      </x:patternFill>
    </x:fill>
    <x:fill>
      <x:patternFill patternType="solid">
        <x:fgColor rgb="FFFFF1CC"/>
      </x:patternFill>
    </x:fill>
    <x:fill>
      <x:patternFill patternType="solid">
        <x:fgColor rgb="FFFCE8E3"/>
      </x:patternFill>
    </x:fill>
  </x:fills>
  <x:borders count="10">
    <x:border/>
    <x:border>
      <x:right style="thin">
        <x:color rgb="FFE5E9ED"/>
      </x:right>
      <x:bottom style="thin">
        <x:color rgb="FFE5E9ED"/>
      </x:bottom>
    </x:border>
    <x:border>
      <x:left style="thin">
        <x:color rgb="FFE5E9ED"/>
      </x:left>
      <x:bottom style="thin">
        <x:color rgb="FFE5E9ED"/>
      </x:bottom>
    </x:border>
    <x:border>
      <x:right style="thin">
        <x:color rgb="FFE5E9ED"/>
      </x:right>
      <x:top style="thin">
        <x:color rgb="FFE5E9ED"/>
      </x:top>
      <x:bottom style="thin">
        <x:color rgb="FFE5E9ED"/>
      </x:bottom>
    </x:border>
    <x:border>
      <x:left style="thin">
        <x:color rgb="FFE5E9ED"/>
      </x:left>
      <x:top style="thin">
        <x:color rgb="FFE5E9ED"/>
      </x:top>
      <x:bottom style="thin">
        <x:color rgb="FFE5E9ED"/>
      </x:bottom>
    </x:border>
    <x:border>
      <x:right style="thin">
        <x:color rgb="FFE5E9ED"/>
      </x:right>
      <x:top style="thin">
        <x:color rgb="FFE5E9ED"/>
      </x:top>
    </x:border>
    <x:border>
      <x:left style="thin">
        <x:color rgb="FFE5E9ED"/>
      </x:left>
      <x:top style="thin">
        <x:color rgb="FFE5E9ED"/>
      </x:top>
    </x:border>
    <x:border>
      <x:left style="thin">
        <x:color rgb="FFE5E9ED"/>
      </x:left>
      <x:right style="thin">
        <x:color rgb="FFE5E9ED"/>
      </x:right>
      <x:bottom style="thin">
        <x:color rgb="FFE5E9ED"/>
      </x:bottom>
    </x:border>
    <x:border>
      <x:left style="thin">
        <x:color rgb="FFE5E9ED"/>
      </x:left>
      <x:right style="thin">
        <x:color rgb="FFE5E9ED"/>
      </x:right>
      <x:top style="thin">
        <x:color rgb="FFE5E9ED"/>
      </x:top>
      <x:bottom style="thin">
        <x:color rgb="FFE5E9ED"/>
      </x:bottom>
    </x:border>
    <x:border>
      <x:left style="thin">
        <x:color rgb="FFE5E9ED"/>
      </x:left>
      <x:right style="thin">
        <x:color rgb="FFE5E9ED"/>
      </x:right>
      <x:top style="thin">
        <x:color rgb="FFE5E9ED"/>
      </x:top>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200" fontId="0" fillId="0" borderId="0" xfId="0" applyNumberFormat="1" applyFont="1" applyFill="1" applyBorder="1"/>
    <x:xf numFmtId="0" fontId="0" fillId="4" borderId="0" xfId="0" applyNumberFormat="1" applyFont="1" applyFill="1" applyBorder="1"/>
    <x:xf numFmtId="200" fontId="0" fillId="4"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3" fillId="3" borderId="1" xfId="0" applyNumberFormat="1" applyFont="1" applyFill="1" applyBorder="1" applyAlignment="1">
      <x:alignment vertical="center"/>
    </x:xf>
    <x:xf numFmtId="0" fontId="3" fillId="3" borderId="2" xfId="0" applyNumberFormat="1" applyFont="1" applyFill="1" applyBorder="1" applyAlignment="1">
      <x:alignment vertical="center"/>
    </x:xf>
    <x:xf numFmtId="0" fontId="0" fillId="0" borderId="3" xfId="0" applyNumberFormat="1" applyFont="1" applyFill="1" applyBorder="1"/>
    <x:xf numFmtId="0" fontId="0" fillId="0" borderId="4" xfId="0" applyNumberFormat="1" applyFont="1" applyFill="1" applyBorder="1"/>
    <x:xf numFmtId="200" fontId="0" fillId="0" borderId="4" xfId="0" applyNumberFormat="1" applyFont="1" applyFill="1" applyBorder="1"/>
    <x:xf numFmtId="0" fontId="0" fillId="0" borderId="5" xfId="0" applyNumberFormat="1" applyFont="1" applyFill="1" applyBorder="1"/>
    <x:xf numFmtId="200" fontId="0" fillId="0" borderId="6" xfId="0" applyNumberFormat="1" applyFont="1" applyFill="1" applyBorder="1"/>
    <x:xf numFmtId="0" fontId="3" fillId="3" borderId="7" xfId="0" applyNumberFormat="1" applyFont="1" applyFill="1" applyBorder="1" applyAlignment="1">
      <x:alignment vertical="center"/>
    </x:xf>
    <x:xf numFmtId="200" fontId="0" fillId="0" borderId="8" xfId="0" applyNumberFormat="1" applyFont="1" applyFill="1" applyBorder="1"/>
    <x:xf numFmtId="0" fontId="0" fillId="4" borderId="5" xfId="0" applyNumberFormat="1" applyFont="1" applyFill="1" applyBorder="1"/>
    <x:xf numFmtId="200" fontId="0" fillId="4" borderId="9" xfId="0" applyNumberFormat="1" applyFont="1" applyFill="1" applyBorder="1"/>
    <x:xf numFmtId="200" fontId="0" fillId="4" borderId="6" xfId="0" applyNumberFormat="1" applyFont="1" applyFill="1" applyBorder="1"/>
    <x:xf numFmtId="0" fontId="0" fillId="0" borderId="4" xfId="0" applyNumberFormat="1" applyFont="1" applyFill="1" applyBorder="1" applyAlignment="1">
      <x:alignment wrapText="1"/>
    </x:xf>
    <x:xf numFmtId="200" fontId="0" fillId="0" borderId="9" xfId="0" applyNumberFormat="1" applyFont="1" applyFill="1" applyBorder="1"/>
    <x:xf numFmtId="0" fontId="0" fillId="0" borderId="6" xfId="0" applyNumberFormat="1" applyFont="1" applyFill="1" applyBorder="1" applyAlignment="1">
      <x:alignment wrapText="1"/>
    </x:xf>
    <x:xf numFmtId="0" fontId="5" fillId="2" borderId="0" xfId="0" applyNumberFormat="1" applyFont="1" applyFill="1" applyBorder="1" applyAlignment="1">
      <x:alignment vertical="center"/>
    </x:xf>
    <x:xf numFmtId="0" fontId="6" fillId="0" borderId="0" xfId="0" applyNumberFormat="1" applyFont="1" applyFill="1" applyBorder="1" applyAlignment="1">
      <x:alignment wrapText="1"/>
    </x:xf>
    <x:xf numFmtId="0" fontId="7" fillId="0" borderId="0" xfId="0" applyNumberFormat="1" applyFont="1" applyFill="1" applyBorder="1"/>
    <x:xf numFmtId="0" fontId="8" fillId="3" borderId="1" xfId="0" applyNumberFormat="1" applyFont="1" applyFill="1" applyBorder="1" applyAlignment="1">
      <x:alignment vertical="center"/>
    </x:xf>
    <x:xf numFmtId="0" fontId="8" fillId="3" borderId="2" xfId="0" applyNumberFormat="1" applyFont="1" applyFill="1" applyBorder="1" applyAlignment="1">
      <x:alignment vertical="center"/>
    </x:xf>
    <x:xf numFmtId="0" fontId="7" fillId="0" borderId="3" xfId="0" applyNumberFormat="1" applyFont="1" applyFill="1" applyBorder="1"/>
    <x:xf numFmtId="0" fontId="7" fillId="0" borderId="4" xfId="0" applyNumberFormat="1" applyFont="1" applyFill="1" applyBorder="1"/>
    <x:xf numFmtId="200" fontId="7" fillId="0" borderId="4" xfId="0" applyNumberFormat="1" applyFont="1" applyFill="1" applyBorder="1"/>
    <x:xf numFmtId="0" fontId="7" fillId="0" borderId="5" xfId="0" applyNumberFormat="1" applyFont="1" applyFill="1" applyBorder="1"/>
    <x:xf numFmtId="200" fontId="7" fillId="0" borderId="6" xfId="0" applyNumberFormat="1" applyFont="1" applyFill="1" applyBorder="1"/>
    <x:xf numFmtId="0" fontId="8" fillId="3" borderId="7" xfId="0" applyNumberFormat="1" applyFont="1" applyFill="1" applyBorder="1" applyAlignment="1">
      <x:alignment vertical="center"/>
    </x:xf>
    <x:xf numFmtId="200" fontId="7" fillId="0" borderId="8" xfId="0" applyNumberFormat="1" applyFont="1" applyFill="1" applyBorder="1"/>
    <x:xf numFmtId="0" fontId="7" fillId="4" borderId="5" xfId="0" applyNumberFormat="1" applyFont="1" applyFill="1" applyBorder="1"/>
    <x:xf numFmtId="200" fontId="7" fillId="4" borderId="9" xfId="0" applyNumberFormat="1" applyFont="1" applyFill="1" applyBorder="1"/>
    <x:xf numFmtId="200" fontId="7" fillId="4" borderId="6" xfId="0" applyNumberFormat="1" applyFont="1" applyFill="1" applyBorder="1"/>
    <x:xf numFmtId="0" fontId="7" fillId="0" borderId="4" xfId="0" applyNumberFormat="1" applyFont="1" applyFill="1" applyBorder="1" applyAlignment="1">
      <x:alignment wrapText="1"/>
    </x:xf>
    <x:xf numFmtId="200" fontId="7" fillId="0" borderId="9" xfId="0" applyNumberFormat="1" applyFont="1" applyFill="1" applyBorder="1"/>
    <x:xf numFmtId="0" fontId="7" fillId="0" borderId="6" xfId="0" applyNumberFormat="1" applyFont="1" applyFill="1" applyBorder="1" applyAlignment="1">
      <x:alignment wrapText="1"/>
    </x:xf>
    <x:xf numFmtId="0" fontId="9" fillId="5"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201" fontId="0" fillId="0" borderId="0" xfId="0" applyNumberFormat="1" applyFont="1" applyFill="1" applyBorder="1"/>
    <x:xf numFmtId="0" fontId="10" fillId="0" borderId="0" xfId="0" applyNumberFormat="1" applyFont="1" applyFill="1" applyBorder="1"/>
    <x:xf numFmtId="0" fontId="10" fillId="0" borderId="0" xfId="0" applyNumberFormat="1" applyFont="1" applyFill="1" applyBorder="1">
      <x:extLst>
        <x:ext uri="{C7286773-470A-42A8-94C5-96B5CB345126}">
          <xfpb:xfComplement xmlns:xfpb="http://schemas.microsoft.com/office/spreadsheetml/2022/featurepropertybag" i="0"/>
        </x:ext>
      </x:extLst>
    </x:xf>
    <x:xf numFmtId="201" fontId="10" fillId="0" borderId="0" xfId="0" applyNumberFormat="1" applyFont="1" applyFill="1" applyBorder="1"/>
    <x:xf numFmtId="0" fontId="10" fillId="0" borderId="0"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3" xfId="0" applyNumberFormat="1" applyFont="1" applyFill="1" applyBorder="1" applyAlignment="1">
      <x:alignment vertical="top" wrapText="1"/>
    </x:xf>
    <x:xf numFmtId="0" fontId="11" fillId="0" borderId="8" xfId="0" applyNumberFormat="1" applyFont="1" applyFill="1" applyBorder="1" applyAlignment="1">
      <x:alignment vertical="top" wrapText="1"/>
    </x:xf>
    <x:xf numFmtId="0" fontId="11" fillId="0" borderId="4" xfId="0" applyNumberFormat="1" applyFont="1" applyFill="1" applyBorder="1" applyAlignment="1">
      <x:alignment vertical="top" wrapText="1"/>
    </x:xf>
    <x:xf numFmtId="0" fontId="11" fillId="0" borderId="5" xfId="0" applyNumberFormat="1" applyFont="1" applyFill="1" applyBorder="1" applyAlignment="1">
      <x:alignment vertical="top" wrapText="1"/>
    </x:xf>
    <x:xf numFmtId="0" fontId="11" fillId="0" borderId="9" xfId="0" applyNumberFormat="1" applyFont="1" applyFill="1" applyBorder="1" applyAlignment="1">
      <x:alignment vertical="top" wrapText="1"/>
    </x:xf>
    <x:xf numFmtId="0" fontId="11" fillId="0" borderId="6" xfId="0" applyNumberFormat="1" applyFont="1" applyFill="1" applyBorder="1" applyAlignment="1">
      <x:alignment vertical="top" wrapText="1"/>
    </x:xf>
  </x:cellXfs>
  <x:cellStyles count="1">
    <x:cellStyle name="Normal" xfId="0"/>
  </x:cellStyles>
  <x:dxfs count="4">
    <x:dxf>
      <x:font>
        <x:b/>
        <x:color rgb="FF2F855A"/>
      </x:font>
      <x:fill>
        <x:patternFill patternType="solid">
          <x:bgColor rgb="FFE5F4EA"/>
        </x:patternFill>
      </x:fill>
    </x:dxf>
    <x:dxf>
      <x:font>
        <x:color rgb="FFA46400"/>
      </x:font>
      <x:fill>
        <x:patternFill patternType="solid">
          <x:bgColor rgb="FFFFF1CC"/>
        </x:patternFill>
      </x:fill>
    </x:dxf>
    <x:dxf>
      <x:font>
        <x:color rgb="FFC84B31"/>
      </x:font>
      <x:fill>
        <x:patternFill patternType="solid">
          <x:bgColor rgb="FFFCE8E3"/>
        </x:patternFill>
      </x:fill>
    </x:dxf>
    <x:dxf>
      <x:font>
        <x:color rgb="FF2F855A"/>
      </x:font>
      <x:fill>
        <x:patternFill patternType="solid">
          <x:bgColor rgb="FFE5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ca59bcec81405c" /><Relationship Type="http://schemas.openxmlformats.org/officeDocument/2006/relationships/theme" Target="/xl/theme/theme1.xml" Id="R3956cecb20b3427a" /><Relationship Type="http://schemas.microsoft.com/office/2022/11/relationships/FeaturePropertyBag" Target="/xl/featurePropertyBag/featurePropertyBag.xml" Id="R98866b678ae447b4" /><Relationship Type="http://schemas.openxmlformats.org/officeDocument/2006/relationships/sharedStrings" Target="/xl/sharedStrings.xml" Id="R5d4ecd7380904629" /><Relationship Type="http://schemas.openxmlformats.org/officeDocument/2006/relationships/worksheet" Target="/xl/worksheets/sheet1.xml" Id="Rc77c32d14dd84138" /><Relationship Type="http://schemas.openxmlformats.org/officeDocument/2006/relationships/worksheet" Target="/xl/worksheets/sheet2.xml" Id="Rdf9e06e75cd64c09" /><Relationship Type="http://schemas.openxmlformats.org/officeDocument/2006/relationships/worksheet" Target="/xl/worksheets/sheet3.xml" Id="R23a49d7f571e4811" /><Relationship Type="http://schemas.openxmlformats.org/officeDocument/2006/relationships/worksheet" Target="/xl/worksheets/sheet4.xml" Id="R92cf2a3914934510" /><Relationship Type="http://schemas.openxmlformats.org/officeDocument/2006/relationships/worksheet" Target="/xl/worksheets/sheet5.xml" Id="Reb8443522ca8459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ixedLabelTargets" displayName="MixedLabelTargets" ref="A1:AM279" headerRowCount="1" totalsRowCount="0" totalsRowShown="0">
  <x:tableColumns count="39">
    <x:tableColumn id="1" name="REFNO"/>
    <x:tableColumn id="2" name="RESULTNO"/>
    <x:tableColumn id="3" name="ROCKUNITNO"/>
    <x:tableColumn id="4" name="ROCKNAME"/>
    <x:tableColumn id="5" name="RLAT"/>
    <x:tableColumn id="6" name="RLONG"/>
    <x:tableColumn id="7" name="COMPONENT"/>
    <x:tableColumn id="8" name="DEC"/>
    <x:tableColumn id="9" name="INC"/>
    <x:tableColumn id="10" name="PLAT"/>
    <x:tableColumn id="11" name="PLONG"/>
    <x:tableColumn id="12" name="PTYPE"/>
    <x:tableColumn id="13" name="历史 ROCKMAG"/>
    <x:tableColumn id="14" name="历史 ROCKMAG 非空"/>
    <x:tableColumn id="15" name="历史 R3"/>
    <x:tableColumn id="16" name="ROCKMAG存在=R3"/>
    <x:tableColumn id="17" name="预测状态"/>
    <x:tableColumn id="18" name="预测 ROCKMAG"/>
    <x:tableColumn id="19" name="候选 ROCKMAG"/>
    <x:tableColumn id="20" name="直接派生 R3"/>
    <x:tableColumn id="21" name="ROCKMAG存在判断正确"/>
    <x:tableColumn id="22" name="R3正确"/>
    <x:tableColumn id="23" name="明确判定"/>
    <x:tableColumn id="24" name="置信度"/>
    <x:tableColumn id="25" name="定位结果"/>
    <x:tableColumn id="26" name="元数据唯一"/>
    <x:tableColumn id="27" name="Component唯一"/>
    <x:tableColumn id="28" name="同篇同名重复"/>
    <x:tableColumn id="29" name="方法"/>
    <x:tableColumn id="30" name="载磁矿物"/>
    <x:tableColumn id="31" name="磁性域"/>
    <x:tableColumn id="32" name="证据页"/>
    <x:tableColumn id="33" name="证据摘录"/>
    <x:tableColumn id="34" name="原基线概率"/>
    <x:tableColumn id="35" name="原基线预测"/>
    <x:tableColumn id="36" name="原基线正确"/>
    <x:tableColumn id="37" name="成对排序概率"/>
    <x:tableColumn id="38" name="成对排序预测"/>
    <x:tableColumn id="39" name="成对排序正确"/>
  </x:tableColumns>
  <x:tableStyleInfo name="TableStyleMedium2" showFirstColumn="0" showLastColumn="0" showRowStripes="1" showColumnStripes="0"/>
</x:table>
</file>

<file path=xl/tables/table2.xml><?xml version="1.0" encoding="utf-8"?>
<x:table xmlns:x="http://schemas.openxmlformats.org/spreadsheetml/2006/main" id="2" name="MixedLabelPapers" displayName="MixedLabelPapers" ref="A1:N62" headerRowCount="1" totalsRowCount="0" totalsRowShown="0">
  <x:tableColumns count="14">
    <x:tableColumn id="1" name="REFNO"/>
    <x:tableColumn id="2" name="目标数"/>
    <x:tableColumn id="3" name="历史R3=0"/>
    <x:tableColumn id="4" name="历史R3=1"/>
    <x:tableColumn id="5" name="历史ROCKMAG非空"/>
    <x:tableColumn id="6" name="预测非空"/>
    <x:tableColumn id="7" name="明确判定"/>
    <x:tableColumn id="8" name="拒判"/>
    <x:tableColumn id="9" name="ROCKMAG存在正确"/>
    <x:tableColumn id="10" name="直接R3正确"/>
    <x:tableColumn id="11" name="原基线正确"/>
    <x:tableColumn id="12" name="成对排序正确"/>
    <x:tableColumn id="13" name="全目标R3正确"/>
    <x:tableColumn id="14" name="恒定预测"/>
  </x:tableColumns>
  <x:tableStyleInfo name="TableStyleMedium2" showFirstColumn="0" showLastColumn="0" showRowStripes="1" showColumnStripes="0"/>
</x:table>
</file>

<file path=xl/tables/table3.xml><?xml version="1.0" encoding="utf-8"?>
<x:table xmlns:x="http://schemas.openxmlformats.org/spreadsheetml/2006/main" id="3" name="RockmagR3Mismatches" displayName="RockmagR3Mismatches" ref="A1:F19" headerRowCount="1" totalsRowCount="0" totalsRowShown="0">
  <x:tableColumns count="6">
    <x:tableColumn id="1" name="REFNO"/>
    <x:tableColumn id="2" name="RESULTNO"/>
    <x:tableColumn id="3" name="ROCKNAME"/>
    <x:tableColumn id="4" name="历史 ROCKMAG"/>
    <x:tableColumn id="5" name="ROCKMAG 非空"/>
    <x:tableColumn id="6" name="历史 R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373b512e7f44c8d" /></Relationships>
</file>

<file path=xl/worksheets/_rels/sheet3.xml.rels>&#65279;<?xml version="1.0" encoding="utf-8"?><Relationships xmlns="http://schemas.openxmlformats.org/package/2006/relationships"><Relationship Type="http://schemas.openxmlformats.org/officeDocument/2006/relationships/table" Target="/xl/tables/table2.xml" Id="Ra9cd5a48d4944882" /></Relationships>
</file>

<file path=xl/worksheets/_rels/sheet4.xml.rels>&#65279;<?xml version="1.0" encoding="utf-8"?><Relationships xmlns="http://schemas.openxmlformats.org/package/2006/relationships"><Relationship Type="http://schemas.openxmlformats.org/officeDocument/2006/relationships/table" Target="/xl/tables/table3.xml" Id="R9c753f36785543c4" /></Relationships>
</file>

<file path=xl/worksheets/sheet1.xml><?xml version="1.0" encoding="utf-8"?>
<x:worksheet xmlns:x="http://schemas.openxmlformats.org/spreadsheetml/2006/main">
  <x:sheetViews>
    <x:sheetView showGridLines="0" workbookViewId="0"/>
  </x:sheetViews>
  <x:sheetFormatPr defaultRowHeight="15"/>
  <x:cols>
    <x:col min="1" max="1" width="43" hidden="0" customWidth="1"/>
    <x:col min="2" max="2" width="18" hidden="0" customWidth="1"/>
    <x:col min="3" max="3" width="18" hidden="0" customWidth="1"/>
    <x:col min="4" max="4" width="58" hidden="0" customWidth="1"/>
  </x:cols>
  <x:sheetData>
    <x:row r="1" ht="32" customHeight="1">
      <x:c r="A1" s="32" t="str">
        <x:v>混合标签多目标样本：ROCKMAG-first 盲测</x:v>
      </x:c>
      <x:c r="B1" s="32" t="str">
        <x:v>混合标签多目标样本：ROCKMAG-first 盲测</x:v>
      </x:c>
      <x:c r="C1" s="32" t="str">
        <x:v>混合标签多目标样本：ROCKMAG-first 盲测</x:v>
      </x:c>
      <x:c r="D1" s="32" t="str">
        <x:v>混合标签多目标样本：ROCKMAG-first 盲测</x:v>
      </x:c>
    </x:row>
    <x:row r="2">
      <x:c r="A2" s="33" t="str">
        <x:v>同一篇论文内至少两个目标，且历史 R3 同时包含 0 和 1；测试日期 2026-07-17</x:v>
      </x:c>
      <x:c r="B2" s="33"/>
      <x:c r="C2" s="33"/>
      <x:c r="D2" s="33"/>
    </x:row>
    <x:row r="3">
      <x:c r="A3" s="34"/>
      <x:c r="B3" s="34"/>
      <x:c r="C3" s="34"/>
      <x:c r="D3" s="34"/>
    </x:row>
    <x:row r="4" ht="23" customHeight="1">
      <x:c r="A4" s="35" t="str">
        <x:v>测试范围</x:v>
      </x:c>
      <x:c r="B4" s="36" t="str">
        <x:v>值</x:v>
      </x:c>
      <x:c r="C4" s="34"/>
      <x:c r="D4" s="34"/>
    </x:row>
    <x:row r="5">
      <x:c r="A5" s="37" t="str">
        <x:v>目标数</x:v>
      </x:c>
      <x:c r="B5" s="38" t="n">
        <x:f>COUNTA('目标明细'!$A$2:$A$279)</x:f>
        <x:v>278</x:v>
      </x:c>
      <x:c r="C5" s="34"/>
      <x:c r="D5" s="34"/>
    </x:row>
    <x:row r="6">
      <x:c r="A6" s="37" t="str">
        <x:v>论文数</x:v>
      </x:c>
      <x:c r="B6" s="38" t="n">
        <x:f>COUNTA('论文汇总'!$A$2:$A$62)</x:f>
        <x:v>61</x:v>
      </x:c>
      <x:c r="C6" s="34"/>
      <x:c r="D6" s="34"/>
    </x:row>
    <x:row r="7">
      <x:c r="A7" s="37" t="str">
        <x:v>正文覆盖率</x:v>
      </x:c>
      <x:c r="B7" s="39" t="n">
        <x:f>1</x:f>
        <x:v>1</x:v>
      </x:c>
      <x:c r="C7" s="34"/>
      <x:c r="D7" s="34"/>
    </x:row>
    <x:row r="8">
      <x:c r="A8" s="37" t="str">
        <x:v>抽取为非空 ROCKMAG</x:v>
      </x:c>
      <x:c r="B8" s="38" t="n">
        <x:f>COUNTIF('目标明细'!$Q$2:$Q$279,"PRESENT")</x:f>
        <x:v>122</x:v>
      </x:c>
      <x:c r="C8" s="34"/>
      <x:c r="D8" s="34"/>
    </x:row>
    <x:row r="9">
      <x:c r="A9" s="37" t="str">
        <x:v>明确判定数（PRESENT 或 ABSENT）</x:v>
      </x:c>
      <x:c r="B9" s="38" t="n">
        <x:f>SUM('目标明细'!$W$2:$W$279)</x:f>
        <x:v>134</x:v>
      </x:c>
      <x:c r="C9" s="34"/>
      <x:c r="D9" s="34"/>
    </x:row>
    <x:row r="10">
      <x:c r="A10" s="37" t="str">
        <x:v>明确判定覆盖率</x:v>
      </x:c>
      <x:c r="B10" s="39" t="n">
        <x:f>B9/B5</x:f>
        <x:v>0.48201438848920863</x:v>
      </x:c>
      <x:c r="C10" s="34"/>
      <x:c r="D10" s="34"/>
    </x:row>
    <x:row r="11">
      <x:c r="A11" s="37" t="str">
        <x:v>历史 R3=1</x:v>
      </x:c>
      <x:c r="B11" s="38" t="n">
        <x:f>COUNTIF('目标明细'!$O$2:$O$279,1)</x:f>
        <x:v>137</x:v>
      </x:c>
      <x:c r="C11" s="34"/>
      <x:c r="D11" s="34"/>
    </x:row>
    <x:row r="12">
      <x:c r="A12" s="37" t="str">
        <x:v>历史 ROCKMAG 非空</x:v>
      </x:c>
      <x:c r="B12" s="38" t="n">
        <x:f>SUM('目标明细'!$N$2:$N$279)</x:f>
        <x:v>135</x:v>
      </x:c>
      <x:c r="C12" s="34"/>
      <x:c r="D12" s="34"/>
    </x:row>
    <x:row r="13">
      <x:c r="A13" s="40" t="str">
        <x:v>历史 ROCKMAG 非空直接派生 R3 的一致率</x:v>
      </x:c>
      <x:c r="B13" s="41" t="n">
        <x:f>AVERAGE('目标明细'!$P$2:$P$279)</x:f>
        <x:v>0.935251798561151</x:v>
      </x:c>
      <x:c r="C13" s="34"/>
      <x:c r="D13" s="34"/>
    </x:row>
    <x:row r="14">
      <x:c r="A14" s="34"/>
      <x:c r="B14" s="34"/>
      <x:c r="C14" s="34"/>
      <x:c r="D14" s="34"/>
    </x:row>
    <x:row r="15" ht="23" customHeight="1">
      <x:c r="A15" s="35" t="str">
        <x:v>方法比较</x:v>
      </x:c>
      <x:c r="B15" s="42" t="str">
        <x:v>R3 准确率</x:v>
      </x:c>
      <x:c r="C15" s="42" t="str">
        <x:v>相对原基线</x:v>
      </x:c>
      <x:c r="D15" s="36" t="str">
        <x:v>相对成对排序</x:v>
      </x:c>
    </x:row>
    <x:row r="16">
      <x:c r="A16" s="37" t="str">
        <x:v>原扩展基线（表格 48.56%）</x:v>
      </x:c>
      <x:c r="B16" s="43" t="n">
        <x:f>AVERAGE('目标明细'!$AJ$2:$AJ$279)</x:f>
        <x:v>0.4856115107913669</x:v>
      </x:c>
      <x:c r="C16" s="43" t="n">
        <x:f>0</x:f>
        <x:v>0</x:v>
      </x:c>
      <x:c r="D16" s="39" t="n">
        <x:f>B16-B17</x:f>
        <x:v>-0.07553956834532372</x:v>
      </x:c>
    </x:row>
    <x:row r="17">
      <x:c r="A17" s="37" t="str">
        <x:v>原成对排序（表格 56.12%）</x:v>
      </x:c>
      <x:c r="B17" s="43" t="n">
        <x:f>AVERAGE('目标明细'!$AM$2:$AM$279)</x:f>
        <x:v>0.5611510791366906</x:v>
      </x:c>
      <x:c r="C17" s="43" t="n">
        <x:f>B17-B16</x:f>
        <x:v>0.07553956834532372</x:v>
      </x:c>
      <x:c r="D17" s="39" t="n">
        <x:f>0</x:f>
        <x:v>0</x:v>
      </x:c>
    </x:row>
    <x:row r="18">
      <x:c r="A18" s="44" t="str">
        <x:v>ROCKMAG-first 强制二分类（拒判记为 0）</x:v>
      </x:c>
      <x:c r="B18" s="45" t="n">
        <x:f>AVERAGE('目标明细'!$V$2:$V$279)</x:f>
        <x:v>0.6294964028776978</x:v>
      </x:c>
      <x:c r="C18" s="45" t="n">
        <x:f>B18-B16</x:f>
        <x:v>0.14388489208633093</x:v>
      </x:c>
      <x:c r="D18" s="46" t="n">
        <x:f>B18-B17</x:f>
        <x:v>0.06834532374100721</x:v>
      </x:c>
    </x:row>
    <x:row r="19">
      <x:c r="A19" s="34"/>
      <x:c r="B19" s="34"/>
      <x:c r="C19" s="34"/>
      <x:c r="D19" s="34"/>
    </x:row>
    <x:row r="20" ht="23" customHeight="1">
      <x:c r="A20" s="35" t="str">
        <x:v>评测对象</x:v>
      </x:c>
      <x:c r="B20" s="42" t="str">
        <x:v>全量准确率</x:v>
      </x:c>
      <x:c r="C20" s="42" t="str">
        <x:v>明确判定准确率</x:v>
      </x:c>
      <x:c r="D20" s="36" t="str">
        <x:v>说明</x:v>
      </x:c>
    </x:row>
    <x:row r="21">
      <x:c r="A21" s="37" t="str">
        <x:v>ROCKMAG 是否非空</x:v>
      </x:c>
      <x:c r="B21" s="43" t="n">
        <x:v>0.6366906474820144</x:v>
      </x:c>
      <x:c r="C21" s="43" t="n">
        <x:v>0.6194029850746269</x:v>
      </x:c>
      <x:c r="D21" s="47" t="str">
        <x:v>全量口径把所有拒判按空值处理；明确判定口径只含 PRESENT/ABSENT</x:v>
      </x:c>
    </x:row>
    <x:row r="22">
      <x:c r="A22" s="40" t="str">
        <x:v>由预测 ROCKMAG 直接派生 R3</x:v>
      </x:c>
      <x:c r="B22" s="48" t="n">
        <x:v>0.6294964028776978</x:v>
      </x:c>
      <x:c r="C22" s="48" t="n">
        <x:v>0.6194029850746269</x:v>
      </x:c>
      <x:c r="D22" s="49" t="str">
        <x:v>历史 ROCKMAG 是否非空与 R3 有 18/278 行不一致</x:v>
      </x:c>
    </x:row>
    <x:row r="23">
      <x:c r="A23" s="34"/>
      <x:c r="B23" s="34"/>
      <x:c r="C23" s="34"/>
      <x:c r="D23" s="34"/>
    </x:row>
    <x:row r="24" ht="58" customHeight="1">
      <x:c r="A24" s="50" t="str">
        <x:v>结论：强制二分类准确率为 62.95%，比表格中的 48.56% 和 56.12% 分别高 14.39 与 6.83 个百分点；但真正明确得到 ROCKMAG 存在/不存在的覆盖率仅 48.20%，且非空字段的精确字符串一致率很低，因此当前版本尚不能替代原工作流。</x:v>
      </x:c>
      <x:c r="B24" s="50"/>
      <x:c r="C24" s="50"/>
      <x:c r="D24" s="50"/>
    </x:row>
  </x:sheetData>
  <x:mergeCells>
    <x:mergeCell ref="A1:D1"/>
    <x:mergeCell ref="A2:D2"/>
    <x:mergeCell ref="A24:D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12" hidden="0" customWidth="1"/>
    <x:col min="4" max="4" width="36" hidden="0" customWidth="1"/>
    <x:col min="5" max="5" width="10" hidden="0" customWidth="1"/>
    <x:col min="6" max="6" width="10" hidden="0" customWidth="1"/>
    <x:col min="7" max="7" width="20" hidden="0" customWidth="1"/>
    <x:col min="8" max="8" width="9" hidden="0" customWidth="1"/>
    <x:col min="9" max="9" width="9" hidden="0" customWidth="1"/>
    <x:col min="10" max="10" width="9" hidden="0" customWidth="1"/>
    <x:col min="11" max="11" width="9" hidden="0" customWidth="1"/>
    <x:col min="12" max="12" width="8" hidden="0" customWidth="1"/>
    <x:col min="13" max="13" width="32" hidden="0" customWidth="1"/>
    <x:col min="14" max="14" width="14" hidden="0" customWidth="1"/>
    <x:col min="15" max="15" width="10" hidden="0" customWidth="1"/>
    <x:col min="16" max="16" width="14" hidden="0" customWidth="1"/>
    <x:col min="17" max="17" width="22" hidden="0" customWidth="1"/>
    <x:col min="18" max="18" width="26" hidden="0" customWidth="1"/>
    <x:col min="19" max="19" width="26" hidden="0" customWidth="1"/>
    <x:col min="20" max="20" width="12" hidden="0" customWidth="1"/>
    <x:col min="21" max="21" width="16" hidden="0" customWidth="1"/>
    <x:col min="22" max="22" width="10" hidden="0" customWidth="1"/>
    <x:col min="23" max="23" width="10" hidden="0" customWidth="1"/>
    <x:col min="24" max="24" width="10" hidden="0" customWidth="1"/>
    <x:col min="25" max="25" width="20" hidden="0" customWidth="1"/>
    <x:col min="26" max="26" width="12" hidden="0" customWidth="1"/>
    <x:col min="27" max="27" width="13" hidden="0" customWidth="1"/>
    <x:col min="28" max="28" width="14" hidden="0" customWidth="1"/>
    <x:col min="29" max="29" width="18" hidden="0" customWidth="1"/>
    <x:col min="30" max="30" width="18" hidden="0" customWidth="1"/>
    <x:col min="31" max="31" width="14" hidden="0" customWidth="1"/>
    <x:col min="32" max="32" width="14" hidden="0" customWidth="1"/>
    <x:col min="33" max="33" width="62" hidden="0" customWidth="1"/>
    <x:col min="34" max="34" width="13" hidden="0" customWidth="1"/>
    <x:col min="35" max="35" width="13" hidden="0" customWidth="1"/>
    <x:col min="36" max="36" width="13" hidden="0" customWidth="1"/>
    <x:col min="37" max="37" width="15" hidden="0" customWidth="1"/>
    <x:col min="38" max="38" width="15" hidden="0" customWidth="1"/>
    <x:col min="39" max="39" width="15" hidden="0" customWidth="1"/>
  </x:cols>
  <x:sheetData>
    <x:row r="1" ht="34" customHeight="1">
      <x:c r="A1" s="53" t="str">
        <x:v>REFNO</x:v>
      </x:c>
      <x:c r="B1" s="53" t="str">
        <x:v>RESULTNO</x:v>
      </x:c>
      <x:c r="C1" s="53" t="str">
        <x:v>ROCKUNITNO</x:v>
      </x:c>
      <x:c r="D1" s="53" t="str">
        <x:v>ROCKNAME</x:v>
      </x:c>
      <x:c r="E1" s="53" t="str">
        <x:v>RLAT</x:v>
      </x:c>
      <x:c r="F1" s="53" t="str">
        <x:v>RLONG</x:v>
      </x:c>
      <x:c r="G1" s="53" t="str">
        <x:v>COMPONENT</x:v>
      </x:c>
      <x:c r="H1" s="53" t="str">
        <x:v>DEC</x:v>
      </x:c>
      <x:c r="I1" s="53" t="str">
        <x:v>INC</x:v>
      </x:c>
      <x:c r="J1" s="53" t="str">
        <x:v>PLAT</x:v>
      </x:c>
      <x:c r="K1" s="53" t="str">
        <x:v>PLONG</x:v>
      </x:c>
      <x:c r="L1" s="53" t="str">
        <x:v>PTYPE</x:v>
      </x:c>
      <x:c r="M1" s="53" t="str">
        <x:v>历史 ROCKMAG</x:v>
      </x:c>
      <x:c r="N1" s="53" t="str">
        <x:v>历史 ROCKMAG 非空</x:v>
      </x:c>
      <x:c r="O1" s="53" t="str">
        <x:v>历史 R3</x:v>
      </x:c>
      <x:c r="P1" s="53" t="str">
        <x:v>ROCKMAG存在=R3</x:v>
      </x:c>
      <x:c r="Q1" s="53" t="str">
        <x:v>预测状态</x:v>
      </x:c>
      <x:c r="R1" s="53" t="str">
        <x:v>预测 ROCKMAG</x:v>
      </x:c>
      <x:c r="S1" s="53" t="str">
        <x:v>候选 ROCKMAG</x:v>
      </x:c>
      <x:c r="T1" s="53" t="str">
        <x:v>直接派生 R3</x:v>
      </x:c>
      <x:c r="U1" s="53" t="str">
        <x:v>ROCKMAG存在判断正确</x:v>
      </x:c>
      <x:c r="V1" s="53" t="str">
        <x:v>R3正确</x:v>
      </x:c>
      <x:c r="W1" s="53" t="str">
        <x:v>明确判定</x:v>
      </x:c>
      <x:c r="X1" s="53" t="str">
        <x:v>置信度</x:v>
      </x:c>
      <x:c r="Y1" s="53" t="str">
        <x:v>定位结果</x:v>
      </x:c>
      <x:c r="Z1" s="53" t="str">
        <x:v>元数据唯一</x:v>
      </x:c>
      <x:c r="AA1" s="53" t="str">
        <x:v>Component唯一</x:v>
      </x:c>
      <x:c r="AB1" s="53" t="str">
        <x:v>同篇同名重复</x:v>
      </x:c>
      <x:c r="AC1" s="53" t="str">
        <x:v>方法</x:v>
      </x:c>
      <x:c r="AD1" s="53" t="str">
        <x:v>载磁矿物</x:v>
      </x:c>
      <x:c r="AE1" s="53" t="str">
        <x:v>磁性域</x:v>
      </x:c>
      <x:c r="AF1" s="53" t="str">
        <x:v>证据页</x:v>
      </x:c>
      <x:c r="AG1" s="53" t="str">
        <x:v>证据摘录</x:v>
      </x:c>
      <x:c r="AH1" s="53" t="str">
        <x:v>原基线概率</x:v>
      </x:c>
      <x:c r="AI1" s="53" t="str">
        <x:v>原基线预测</x:v>
      </x:c>
      <x:c r="AJ1" s="53" t="str">
        <x:v>原基线正确</x:v>
      </x:c>
      <x:c r="AK1" s="53" t="str">
        <x:v>成对排序概率</x:v>
      </x:c>
      <x:c r="AL1" s="53" t="str">
        <x:v>成对排序预测</x:v>
      </x:c>
      <x:c r="AM1" s="53" t="str">
        <x:v>成对排序正确</x:v>
      </x:c>
    </x:row>
    <x:row r="2" ht="32" customHeight="1">
      <x:c r="A2" s="56" t="str">
        <x:v>1152</x:v>
      </x:c>
      <x:c r="B2" s="56" t="str">
        <x:v>29</x:v>
      </x:c>
      <x:c r="C2" s="56" t="str">
        <x:v>22</x:v>
      </x:c>
      <x:c r="D2" s="56" t="str">
        <x:v>Armorican redbeds</x:v>
      </x:c>
      <x:c r="E2" s="56" t="str">
        <x:v>49</x:v>
      </x:c>
      <x:c r="F2" s="56" t="str">
        <x:v>-2</x:v>
      </x:c>
      <x:c r="G2" s="56" t="str">
        <x:v>C component</x:v>
      </x:c>
      <x:c r="H2" s="56" t="str">
        <x:v>228</x:v>
      </x:c>
      <x:c r="I2" s="56" t="str">
        <x:v>63</x:v>
      </x:c>
      <x:c r="J2" s="56" t="str">
        <x:v>11</x:v>
      </x:c>
      <x:c r="K2" s="56" t="str">
        <x:v>325</x:v>
      </x:c>
      <x:c r="L2" s="56" t="str">
        <x:v>D</x:v>
      </x:c>
      <x:c r="M2" s="59" t="str">
        <x:v>IRM(compar.of leached &amp; unleached:mag.in insol.specularite).</x:v>
      </x:c>
      <x:c r="N2" s="56" t="n">
        <x:f>--(LEN(M2)&gt;0)</x:f>
        <x:v>1</x:v>
      </x:c>
      <x:c r="O2" s="56" t="n">
        <x:v>1</x:v>
      </x:c>
      <x:c r="P2" s="56" t="n">
        <x:f>--(N2=O2)</x:f>
        <x:v>1</x:v>
      </x:c>
      <x:c r="Q2" s="56" t="str">
        <x:v>PRESENT</x:v>
      </x:c>
      <x:c r="R2" s="59" t="str">
        <x:v>IRM,SUSC-T(HEM)</x:v>
      </x:c>
      <x:c r="S2" s="59" t="str">
        <x:v>IRM,SUSC-T(HEM)</x:v>
      </x:c>
      <x:c r="T2" s="56" t="n">
        <x:f>--(Q2="PRESENT")</x:f>
        <x:v>1</x:v>
      </x:c>
      <x:c r="U2" s="56" t="n">
        <x:f>--(T2=N2)</x:f>
        <x:v>1</x:v>
      </x:c>
      <x:c r="V2" s="56" t="n">
        <x:f>--(T2=O2)</x:f>
        <x:v>1</x:v>
      </x:c>
      <x:c r="W2" s="56" t="n">
        <x:f>--(OR(Q2="PRESENT",Q2="ABSENT"))</x:f>
        <x:v>1</x:v>
      </x:c>
      <x:c r="X2" s="56" t="str">
        <x:v>HIGH</x:v>
      </x:c>
      <x:c r="Y2" s="56" t="str">
        <x:v>PAPER_ROW_MATCH</x:v>
      </x:c>
      <x:c r="Z2" s="57" t="b">
        <x:v>1</x:v>
      </x:c>
      <x:c r="AA2" s="57" t="b">
        <x:v>1</x:v>
      </x:c>
      <x:c r="AB2" s="56" t="n">
        <x:v>1</x:v>
      </x:c>
      <x:c r="AC2" s="56" t="str">
        <x:v>IRM,SUSC-T</x:v>
      </x:c>
      <x:c r="AD2" s="56" t="str">
        <x:v>HEM</x:v>
      </x:c>
      <x:c r="AE2" s="56" t="str"/>
      <x:c r="AF2" s="56" t="str">
        <x:v>7, 8, 9, 10, 11, 13, 14, 15</x:v>
      </x:c>
      <x:c r="AG2" s="59" t="str">
        <x:v>p.7: eaning temperatures suggested by Briden's (1972) stability index (100-200°C) removes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 | p.7: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 | p.10: the vector subtraction (B1 + B2) - B2 (Table 4). 1.5 ORIGINS OF THE VARIOUS COMPONENTS 1.5.1 Component A The theoretical blocking temperature curves for hematite (Pullaiah et al. 1975) suggest that magnetizations with blocking temperatures less than 15OoC can be unblocked and remag- netized in less than a day at room temperature. Component A is probably therefore of recent viscous origin, and this is consistent with a storage test which showed that many specimens changed their direction and inte</x:v>
      </x:c>
      <x:c r="AH2" s="58" t="n">
        <x:v>0.8144414248865209</x:v>
      </x:c>
      <x:c r="AI2" s="56" t="n">
        <x:f>--(AH2&gt;=0.5)</x:f>
        <x:v>1</x:v>
      </x:c>
      <x:c r="AJ2" s="56" t="n">
        <x:f>--(AI2=O2)</x:f>
        <x:v>1</x:v>
      </x:c>
      <x:c r="AK2" s="58" t="n">
        <x:v>0.8144414248865208</x:v>
      </x:c>
      <x:c r="AL2" s="56" t="n">
        <x:f>--(AK2&gt;=0.5)</x:f>
        <x:v>1</x:v>
      </x:c>
      <x:c r="AM2" s="56" t="n">
        <x:f>--(AL2=O2)</x:f>
        <x:v>1</x:v>
      </x:c>
    </x:row>
    <x:row r="3" ht="32" customHeight="1">
      <x:c r="A3" s="56" t="str">
        <x:v>1152</x:v>
      </x:c>
      <x:c r="B3" s="56" t="str">
        <x:v>30</x:v>
      </x:c>
      <x:c r="C3" s="56" t="str">
        <x:v>22</x:v>
      </x:c>
      <x:c r="D3" s="56" t="str">
        <x:v>Armorican redbeds</x:v>
      </x:c>
      <x:c r="E3" s="56" t="str">
        <x:v>49</x:v>
      </x:c>
      <x:c r="F3" s="56" t="str">
        <x:v>-2</x:v>
      </x:c>
      <x:c r="G3" s="56" t="str">
        <x:v>B3 component</x:v>
      </x:c>
      <x:c r="H3" s="56" t="str">
        <x:v>216</x:v>
      </x:c>
      <x:c r="I3" s="56" t="str">
        <x:v>41</x:v>
      </x:c>
      <x:c r="J3" s="56" t="str">
        <x:v>11</x:v>
      </x:c>
      <x:c r="K3" s="56" t="str">
        <x:v>144</x:v>
      </x:c>
      <x:c r="L3" s="56" t="str">
        <x:v>D</x:v>
      </x:c>
      <x:c r="M3" s="59" t="str">
        <x:v>IRM(leached &amp; unleached:B3 comp.in soluble HEM pigment)</x:v>
      </x:c>
      <x:c r="N3" s="56" t="n">
        <x:f>--(LEN(M3)&gt;0)</x:f>
        <x:v>1</x:v>
      </x:c>
      <x:c r="O3" s="56" t="n">
        <x:v>1</x:v>
      </x:c>
      <x:c r="P3" s="56" t="n">
        <x:f>--(N3=O3)</x:f>
        <x:v>1</x:v>
      </x:c>
      <x:c r="Q3" s="56" t="str">
        <x:v>PRESENT</x:v>
      </x:c>
      <x:c r="R3" s="59" t="str">
        <x:v>IRM,SUSC-T(HEM)</x:v>
      </x:c>
      <x:c r="S3" s="59" t="str">
        <x:v>IRM,SUSC-T(HEM)</x:v>
      </x:c>
      <x:c r="T3" s="56" t="n">
        <x:f>--(Q3="PRESENT")</x:f>
        <x:v>1</x:v>
      </x:c>
      <x:c r="U3" s="56" t="n">
        <x:f>--(T3=N3)</x:f>
        <x:v>1</x:v>
      </x:c>
      <x:c r="V3" s="56" t="n">
        <x:f>--(T3=O3)</x:f>
        <x:v>1</x:v>
      </x:c>
      <x:c r="W3" s="56" t="n">
        <x:f>--(OR(Q3="PRESENT",Q3="ABSENT"))</x:f>
        <x:v>1</x:v>
      </x:c>
      <x:c r="X3" s="56" t="str">
        <x:v>HIGH</x:v>
      </x:c>
      <x:c r="Y3" s="56" t="str">
        <x:v>PAPER_ROW_MATCH</x:v>
      </x:c>
      <x:c r="Z3" s="57" t="b">
        <x:v>1</x:v>
      </x:c>
      <x:c r="AA3" s="57" t="b">
        <x:v>1</x:v>
      </x:c>
      <x:c r="AB3" s="56" t="n">
        <x:v>1</x:v>
      </x:c>
      <x:c r="AC3" s="56" t="str">
        <x:v>IRM,SUSC-T</x:v>
      </x:c>
      <x:c r="AD3" s="56" t="str">
        <x:v>HEM</x:v>
      </x:c>
      <x:c r="AE3" s="56" t="str"/>
      <x:c r="AF3" s="56" t="str">
        <x:v>1, 7, 8, 10, 11, 14, 15</x:v>
      </x:c>
      <x:c r="AG3" s="59" t="str">
        <x:v>p.1: ambro- Ordovician redbeds, the Erquy Spilite Series and the Trt5gasteLPloumanac'h granite complex, Armorican Massif (France and the Channel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 | p.7: eaning temperatures suggested by Briden's (1972) stability index (100-200°C) removes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 | p.7: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x:v>
      </x:c>
      <x:c r="AH3" s="58" t="n">
        <x:v>0.8144414248865209</x:v>
      </x:c>
      <x:c r="AI3" s="56" t="n">
        <x:f>--(AH3&gt;=0.5)</x:f>
        <x:v>1</x:v>
      </x:c>
      <x:c r="AJ3" s="56" t="n">
        <x:f>--(AI3=O3)</x:f>
        <x:v>1</x:v>
      </x:c>
      <x:c r="AK3" s="58" t="n">
        <x:v>0.8144414248865208</x:v>
      </x:c>
      <x:c r="AL3" s="56" t="n">
        <x:f>--(AK3&gt;=0.5)</x:f>
        <x:v>1</x:v>
      </x:c>
      <x:c r="AM3" s="56" t="n">
        <x:f>--(AL3=O3)</x:f>
        <x:v>1</x:v>
      </x:c>
    </x:row>
    <x:row r="4" ht="32" customHeight="1">
      <x:c r="A4" s="56" t="str">
        <x:v>1152</x:v>
      </x:c>
      <x:c r="B4" s="56" t="str">
        <x:v>31</x:v>
      </x:c>
      <x:c r="C4" s="56" t="str">
        <x:v>23</x:v>
      </x:c>
      <x:c r="D4" s="56" t="str">
        <x:v>Erquy spillite series</x:v>
      </x:c>
      <x:c r="E4" s="56" t="str">
        <x:v>49</x:v>
      </x:c>
      <x:c r="F4" s="56" t="str">
        <x:v>-2</x:v>
      </x:c>
      <x:c r="G4" s="56" t="str"/>
      <x:c r="H4" s="56" t="str">
        <x:v>221</x:v>
      </x:c>
      <x:c r="I4" s="56" t="str">
        <x:v>82</x:v>
      </x:c>
      <x:c r="J4" s="56" t="str">
        <x:v>35</x:v>
      </x:c>
      <x:c r="K4" s="56" t="str">
        <x:v>344</x:v>
      </x:c>
      <x:c r="L4" s="56" t="str">
        <x:v>D</x:v>
      </x:c>
      <x:c r="M4" s="59" t="str"/>
      <x:c r="N4" s="56" t="n">
        <x:f>--(LEN(M4)&gt;0)</x:f>
        <x:v>0</x:v>
      </x:c>
      <x:c r="O4" s="56" t="n">
        <x:v>1</x:v>
      </x:c>
      <x:c r="P4" s="56" t="n">
        <x:f>--(N4=O4)</x:f>
        <x:v>0</x:v>
      </x:c>
      <x:c r="Q4" s="56" t="str">
        <x:v>ABSTAIN_INSUFFICIENT</x:v>
      </x:c>
      <x:c r="R4" s="59" t="str"/>
      <x:c r="S4" s="59" t="str"/>
      <x:c r="T4" s="56" t="n">
        <x:f>--(Q4="PRESENT")</x:f>
        <x:v>0</x:v>
      </x:c>
      <x:c r="U4" s="56" t="n">
        <x:f>--(T4=N4)</x:f>
        <x:v>1</x:v>
      </x:c>
      <x:c r="V4" s="56" t="n">
        <x:f>--(T4=O4)</x:f>
        <x:v>0</x:v>
      </x:c>
      <x:c r="W4" s="56" t="n">
        <x:f>--(OR(Q4="PRESENT",Q4="ABSENT"))</x:f>
        <x:v>0</x:v>
      </x:c>
      <x:c r="X4" s="56" t="str">
        <x:v>LOW</x:v>
      </x:c>
      <x:c r="Y4" s="56" t="str">
        <x:v>PAPER_ROW_MATCH</x:v>
      </x:c>
      <x:c r="Z4" s="57" t="b">
        <x:v>1</x:v>
      </x:c>
      <x:c r="AA4" s="57" t="b">
        <x:v>1</x:v>
      </x:c>
      <x:c r="AB4" s="56" t="n">
        <x:v>0</x:v>
      </x:c>
      <x:c r="AC4" s="56" t="str"/>
      <x:c r="AD4" s="56" t="str"/>
      <x:c r="AE4" s="56" t="str"/>
      <x:c r="AF4" s="56" t="str">
        <x:v>1, 12, 18</x:v>
      </x:c>
      <x:c r="AG4" s="59" t="str">
        <x:v>p.1: 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 p.12: 356 B. A. Duff Table 5. Mean directions of NRM and palaeomagnetic pole positions of components B3 and C in the Armorican redbeds, the Erquy Spilite Series and the TrBgastel-Ploumanac’h granite. Component/rock unit N D I R k u95 Long. Lat. dp dm Redbed component B3 7sites 216 41 6.83 35.6 10 324 E 11 S 8 12 (dip-correc ted) 10spec. 214 43 9.72 31.7 9 326E 11s 7 11 Redbed component C 7 sites 228 63 6.91 70.6 7 325 E 11 N 9 1 I (dip-corrected) 16spec. 226 65 15.71 52.4 5 328E 13 N 7 8 Erquy Spilite | p.12: 356 B. A. Duff Table 5. Mean directions of NRM and palaeomagnetic pole positions of components B3 and C in the Armorican redbeds, the Erquy Spilite Series and the TrBgastel-Ploumanac’h granite. Component/rock unit N D I R k u95 Long. Lat. dp dm Redbed component B3 7sites 216 41 6.83 35.6 10 324 E 11 S 8 12 (dip-correc ted) 10spec. 214 43 9.72 31.7 9 326E 11s 7 11 Redbed component C 7 sites 228 63 6.91 70.6 7 325 E 11 N 9 1 I (dip-corrected) 16spec. 226 65 15.71 52.4 5 328E 13 N 7 8 Erquy Spilite</x:v>
      </x:c>
      <x:c r="AH4" s="58" t="n">
        <x:v>0.6441471166391761</x:v>
      </x:c>
      <x:c r="AI4" s="56" t="n">
        <x:f>--(AH4&gt;=0.5)</x:f>
        <x:v>1</x:v>
      </x:c>
      <x:c r="AJ4" s="56" t="n">
        <x:f>--(AI4=O4)</x:f>
        <x:v>1</x:v>
      </x:c>
      <x:c r="AK4" s="58" t="n">
        <x:v>0.6441471166391761</x:v>
      </x:c>
      <x:c r="AL4" s="56" t="n">
        <x:f>--(AK4&gt;=0.5)</x:f>
        <x:v>1</x:v>
      </x:c>
      <x:c r="AM4" s="56" t="n">
        <x:f>--(AL4=O4)</x:f>
        <x:v>1</x:v>
      </x:c>
    </x:row>
    <x:row r="5" ht="32" customHeight="1">
      <x:c r="A5" s="56" t="str">
        <x:v>1152</x:v>
      </x:c>
      <x:c r="B5" s="56" t="str">
        <x:v>32</x:v>
      </x:c>
      <x:c r="C5" s="56" t="str">
        <x:v>24</x:v>
      </x:c>
      <x:c r="D5" s="56" t="str">
        <x:v>Tregastel Ploumanac'h granite</x:v>
      </x:c>
      <x:c r="E5" s="56" t="str">
        <x:v>49</x:v>
      </x:c>
      <x:c r="F5" s="56" t="str">
        <x:v>-2</x:v>
      </x:c>
      <x:c r="G5" s="56" t="str"/>
      <x:c r="H5" s="56" t="str">
        <x:v>200</x:v>
      </x:c>
      <x:c r="I5" s="56" t="str">
        <x:v>9</x:v>
      </x:c>
      <x:c r="J5" s="56" t="str">
        <x:v>34</x:v>
      </x:c>
      <x:c r="K5" s="56" t="str">
        <x:v>152</x:v>
      </x:c>
      <x:c r="L5" s="56" t="str">
        <x:v>D</x:v>
      </x:c>
      <x:c r="M5" s="59" t="str"/>
      <x:c r="N5" s="56" t="n">
        <x:f>--(LEN(M5)&gt;0)</x:f>
        <x:v>0</x:v>
      </x:c>
      <x:c r="O5" s="56" t="n">
        <x:v>0</x:v>
      </x:c>
      <x:c r="P5" s="56" t="n">
        <x:f>--(N5=O5)</x:f>
        <x:v>1</x:v>
      </x:c>
      <x:c r="Q5" s="56" t="str">
        <x:v>ABSTAIN_INSUFFICIENT</x:v>
      </x:c>
      <x:c r="R5" s="59" t="str"/>
      <x:c r="S5" s="59" t="str"/>
      <x:c r="T5" s="56" t="n">
        <x:f>--(Q5="PRESENT")</x:f>
        <x:v>0</x:v>
      </x:c>
      <x:c r="U5" s="56" t="n">
        <x:f>--(T5=N5)</x:f>
        <x:v>1</x:v>
      </x:c>
      <x:c r="V5" s="56" t="n">
        <x:f>--(T5=O5)</x:f>
        <x:v>1</x:v>
      </x:c>
      <x:c r="W5" s="56" t="n">
        <x:f>--(OR(Q5="PRESENT",Q5="ABSENT"))</x:f>
        <x:v>0</x:v>
      </x:c>
      <x:c r="X5" s="56" t="str">
        <x:v>LOW</x:v>
      </x:c>
      <x:c r="Y5" s="56" t="str">
        <x:v>METADATA_UNIQUE</x:v>
      </x:c>
      <x:c r="Z5" s="57" t="b">
        <x:v>1</x:v>
      </x:c>
      <x:c r="AA5" s="57" t="b">
        <x:v>1</x:v>
      </x:c>
      <x:c r="AB5" s="56" t="n">
        <x:v>0</x:v>
      </x:c>
      <x:c r="AC5" s="56" t="str"/>
      <x:c r="AD5" s="56" t="str"/>
      <x:c r="AE5" s="56" t="str"/>
      <x:c r="AF5" s="56" t="str"/>
      <x:c r="AG5" s="59" t="str"/>
      <x:c r="AH5" s="58" t="n">
        <x:v>0.6528745343613604</x:v>
      </x:c>
      <x:c r="AI5" s="56" t="n">
        <x:f>--(AH5&gt;=0.5)</x:f>
        <x:v>1</x:v>
      </x:c>
      <x:c r="AJ5" s="56" t="n">
        <x:f>--(AI5=O5)</x:f>
        <x:v>0</x:v>
      </x:c>
      <x:c r="AK5" s="58" t="n">
        <x:v>0.6528745343613604</x:v>
      </x:c>
      <x:c r="AL5" s="56" t="n">
        <x:f>--(AK5&gt;=0.5)</x:f>
        <x:v>1</x:v>
      </x:c>
      <x:c r="AM5" s="56" t="n">
        <x:f>--(AL5=O5)</x:f>
        <x:v>0</x:v>
      </x:c>
    </x:row>
    <x:row r="6" ht="32" customHeight="1">
      <x:c r="A6" s="56" t="str">
        <x:v>1161</x:v>
      </x:c>
      <x:c r="B6" s="56" t="str">
        <x:v>50</x:v>
      </x:c>
      <x:c r="C6" s="56" t="str">
        <x:v>42</x:v>
      </x:c>
      <x:c r="D6" s="56" t="str">
        <x:v>Arqueros Formation</x:v>
      </x:c>
      <x:c r="E6" s="56" t="str">
        <x:v>-29.799999</x:v>
      </x:c>
      <x:c r="F6" s="56" t="str">
        <x:v>-70.900002</x:v>
      </x:c>
      <x:c r="G6" s="56" t="str"/>
      <x:c r="H6" s="56" t="str">
        <x:v>8</x:v>
      </x:c>
      <x:c r="I6" s="56" t="str">
        <x:v>-41.5</x:v>
      </x:c>
      <x:c r="J6" s="56" t="str">
        <x:v>80.5</x:v>
      </x:c>
      <x:c r="K6" s="56" t="str">
        <x:v>341</x:v>
      </x:c>
      <x:c r="L6" s="56" t="str">
        <x:v>D</x:v>
      </x:c>
      <x:c r="M6" s="59" t="str">
        <x:v>OP(complete range of oxidation)</x:v>
      </x:c>
      <x:c r="N6" s="56" t="n">
        <x:f>--(LEN(M6)&gt;0)</x:f>
        <x:v>1</x:v>
      </x:c>
      <x:c r="O6" s="56" t="n">
        <x:v>0</x:v>
      </x:c>
      <x:c r="P6" s="56" t="n">
        <x:f>--(N6=O6)</x:f>
        <x:v>0</x:v>
      </x:c>
      <x:c r="Q6" s="56" t="str">
        <x:v>ABSTAIN_INSUFFICIENT</x:v>
      </x:c>
      <x:c r="R6" s="59" t="str"/>
      <x:c r="S6" s="59" t="str"/>
      <x:c r="T6" s="56" t="n">
        <x:f>--(Q6="PRESENT")</x:f>
        <x:v>0</x:v>
      </x:c>
      <x:c r="U6" s="56" t="n">
        <x:f>--(T6=N6)</x:f>
        <x:v>0</x:v>
      </x:c>
      <x:c r="V6" s="56" t="n">
        <x:f>--(T6=O6)</x:f>
        <x:v>1</x:v>
      </x:c>
      <x:c r="W6" s="56" t="n">
        <x:f>--(OR(Q6="PRESENT",Q6="ABSENT"))</x:f>
        <x:v>0</x:v>
      </x:c>
      <x:c r="X6" s="56" t="str">
        <x:v>LOW</x:v>
      </x:c>
      <x:c r="Y6" s="56" t="str">
        <x:v>PAPER_ROW_MATCH</x:v>
      </x:c>
      <x:c r="Z6" s="57" t="b">
        <x:v>1</x:v>
      </x:c>
      <x:c r="AA6" s="57" t="b">
        <x:v>1</x:v>
      </x:c>
      <x:c r="AB6" s="56" t="n">
        <x:v>0</x:v>
      </x:c>
      <x:c r="AC6" s="56" t="str"/>
      <x:c r="AD6" s="56" t="str"/>
      <x:c r="AE6" s="56" t="str"/>
      <x:c r="AF6" s="56" t="str">
        <x:v>5</x:v>
      </x:c>
      <x:c r="AG6" s="59" t="str">
        <x:v>p.5: Table I. I'alaeornagnetic directional data - Arqueros I'ormation. Sitc/ N af/T R k D sample (") LS 17 3 LS 18 3 LS 19* 3 LS 20 3 LS 21 3 LS 21 3 LS 22 3 OM 6 5 OM 6 5 Mean 6 Mean 6 Mean 6 10 rnT 80 mT 60 mT 50 mT 20 rnT 50 rnT 60 mT 625°C 600°C 2.915 2.994 2.994 2.99 1 2.999 2.995 2.998 4.985 4.982 5.844 5.874 5.877 81.0 354.0 336.0 211.0 3578.0 397.0 1001.0 262.0 220.0 32.0 40.0 41.0 014% 000% 114% 337 35 2 34 7 005% 01 4 01 1 35 8% I (") - 54 - 28% + 66% -43% - 37 - 42 - 55% -47% - 49 - 46 D I</x:v>
      </x:c>
      <x:c r="AH6" s="58" t="n">
        <x:v>0.5402828181279014</x:v>
      </x:c>
      <x:c r="AI6" s="56" t="n">
        <x:f>--(AH6&gt;=0.5)</x:f>
        <x:v>1</x:v>
      </x:c>
      <x:c r="AJ6" s="56" t="n">
        <x:f>--(AI6=O6)</x:f>
        <x:v>0</x:v>
      </x:c>
      <x:c r="AK6" s="58" t="n">
        <x:v>0.4795561538006739</x:v>
      </x:c>
      <x:c r="AL6" s="56" t="n">
        <x:f>--(AK6&gt;=0.5)</x:f>
        <x:v>0</x:v>
      </x:c>
      <x:c r="AM6" s="56" t="n">
        <x:f>--(AL6=O6)</x:f>
        <x:v>1</x:v>
      </x:c>
    </x:row>
    <x:row r="7" ht="32" customHeight="1">
      <x:c r="A7" s="56" t="str">
        <x:v>1161</x:v>
      </x:c>
      <x:c r="B7" s="56" t="str">
        <x:v>51</x:v>
      </x:c>
      <x:c r="C7" s="56" t="str">
        <x:v>43</x:v>
      </x:c>
      <x:c r="D7" s="56" t="str">
        <x:v>Quebrada Marquesa Formation</x:v>
      </x:c>
      <x:c r="E7" s="56" t="str">
        <x:v>-29.799999</x:v>
      </x:c>
      <x:c r="F7" s="56" t="str">
        <x:v>-70.900002</x:v>
      </x:c>
      <x:c r="G7" s="56" t="str"/>
      <x:c r="H7" s="56" t="str">
        <x:v>14.5</x:v>
      </x:c>
      <x:c r="I7" s="56" t="str">
        <x:v>-45.900002</x:v>
      </x:c>
      <x:c r="J7" s="56" t="str">
        <x:v>77</x:v>
      </x:c>
      <x:c r="K7" s="56" t="str">
        <x:v>11.5</x:v>
      </x:c>
      <x:c r="L7" s="56" t="str">
        <x:v>D</x:v>
      </x:c>
      <x:c r="M7" s="59" t="str">
        <x:v>OP(complete range of oxidation).</x:v>
      </x:c>
      <x:c r="N7" s="56" t="n">
        <x:f>--(LEN(M7)&gt;0)</x:f>
        <x:v>1</x:v>
      </x:c>
      <x:c r="O7" s="56" t="n">
        <x:v>1</x:v>
      </x:c>
      <x:c r="P7" s="56" t="n">
        <x:f>--(N7=O7)</x:f>
        <x:v>1</x:v>
      </x:c>
      <x:c r="Q7" s="56" t="str">
        <x:v>ABSTAIN_INSUFFICIENT</x:v>
      </x:c>
      <x:c r="R7" s="59" t="str"/>
      <x:c r="S7" s="59" t="str"/>
      <x:c r="T7" s="56" t="n">
        <x:f>--(Q7="PRESENT")</x:f>
        <x:v>0</x:v>
      </x:c>
      <x:c r="U7" s="56" t="n">
        <x:f>--(T7=N7)</x:f>
        <x:v>0</x:v>
      </x:c>
      <x:c r="V7" s="56" t="n">
        <x:f>--(T7=O7)</x:f>
        <x:v>0</x:v>
      </x:c>
      <x:c r="W7" s="56" t="n">
        <x:f>--(OR(Q7="PRESENT",Q7="ABSENT"))</x:f>
        <x:v>0</x:v>
      </x:c>
      <x:c r="X7" s="56" t="str">
        <x:v>LOW</x:v>
      </x:c>
      <x:c r="Y7" s="56" t="str">
        <x:v>METADATA_UNIQUE</x:v>
      </x:c>
      <x:c r="Z7" s="57" t="b">
        <x:v>1</x:v>
      </x:c>
      <x:c r="AA7" s="57" t="b">
        <x:v>1</x:v>
      </x:c>
      <x:c r="AB7" s="56" t="n">
        <x:v>0</x:v>
      </x:c>
      <x:c r="AC7" s="56" t="str"/>
      <x:c r="AD7" s="56" t="str"/>
      <x:c r="AE7" s="56" t="str"/>
      <x:c r="AF7" s="56" t="str"/>
      <x:c r="AG7" s="59" t="str"/>
      <x:c r="AH7" s="58" t="n">
        <x:v>0.5664471072356776</x:v>
      </x:c>
      <x:c r="AI7" s="56" t="n">
        <x:f>--(AH7&gt;=0.5)</x:f>
        <x:v>1</x:v>
      </x:c>
      <x:c r="AJ7" s="56" t="n">
        <x:f>--(AI7=O7)</x:f>
        <x:v>1</x:v>
      </x:c>
      <x:c r="AK7" s="58" t="n">
        <x:v>0.30793766632477526</x:v>
      </x:c>
      <x:c r="AL7" s="56" t="n">
        <x:f>--(AK7&gt;=0.5)</x:f>
        <x:v>0</x:v>
      </x:c>
      <x:c r="AM7" s="56" t="n">
        <x:f>--(AL7=O7)</x:f>
        <x:v>0</x:v>
      </x:c>
    </x:row>
    <x:row r="8" ht="32" customHeight="1">
      <x:c r="A8" s="56" t="str">
        <x:v>1161</x:v>
      </x:c>
      <x:c r="B8" s="56" t="str">
        <x:v>52</x:v>
      </x:c>
      <x:c r="C8" s="56" t="str">
        <x:v>44</x:v>
      </x:c>
      <x:c r="D8" s="56" t="str">
        <x:v>Vinita Formation</x:v>
      </x:c>
      <x:c r="E8" s="56" t="str">
        <x:v>-29.799999</x:v>
      </x:c>
      <x:c r="F8" s="56" t="str">
        <x:v>-70.900002</x:v>
      </x:c>
      <x:c r="G8" s="56" t="str"/>
      <x:c r="H8" s="56" t="str">
        <x:v>6.5</x:v>
      </x:c>
      <x:c r="I8" s="56" t="str">
        <x:v>-55.299999</x:v>
      </x:c>
      <x:c r="J8" s="56" t="str">
        <x:v>81.900002</x:v>
      </x:c>
      <x:c r="K8" s="56" t="str">
        <x:v>68.699997</x:v>
      </x:c>
      <x:c r="L8" s="56" t="str">
        <x:v>D</x:v>
      </x:c>
      <x:c r="M8" s="59" t="str">
        <x:v>OP(complete range of oxidation),Js-T curves.</x:v>
      </x:c>
      <x:c r="N8" s="56" t="n">
        <x:f>--(LEN(M8)&gt;0)</x:f>
        <x:v>1</x:v>
      </x:c>
      <x:c r="O8" s="56" t="n">
        <x:v>1</x:v>
      </x:c>
      <x:c r="P8" s="56" t="n">
        <x:f>--(N8=O8)</x:f>
        <x:v>1</x:v>
      </x:c>
      <x:c r="Q8" s="56" t="str">
        <x:v>ABSENT</x:v>
      </x:c>
      <x:c r="R8" s="59" t="str"/>
      <x:c r="S8" s="59" t="str"/>
      <x:c r="T8" s="56" t="n">
        <x:f>--(Q8="PRESENT")</x:f>
        <x:v>0</x:v>
      </x:c>
      <x:c r="U8" s="56" t="n">
        <x:f>--(T8=N8)</x:f>
        <x:v>0</x:v>
      </x:c>
      <x:c r="V8" s="56" t="n">
        <x:f>--(T8=O8)</x:f>
        <x:v>0</x:v>
      </x:c>
      <x:c r="W8" s="56" t="n">
        <x:f>--(OR(Q8="PRESENT",Q8="ABSENT"))</x:f>
        <x:v>1</x:v>
      </x:c>
      <x:c r="X8" s="56" t="str">
        <x:v>MEDIUM</x:v>
      </x:c>
      <x:c r="Y8" s="56" t="str">
        <x:v>METADATA_UNIQUE</x:v>
      </x:c>
      <x:c r="Z8" s="57" t="b">
        <x:v>1</x:v>
      </x:c>
      <x:c r="AA8" s="57" t="b">
        <x:v>1</x:v>
      </x:c>
      <x:c r="AB8" s="56" t="n">
        <x:v>0</x:v>
      </x:c>
      <x:c r="AC8" s="56" t="str"/>
      <x:c r="AD8" s="56" t="str"/>
      <x:c r="AE8" s="56" t="str"/>
      <x:c r="AF8" s="56" t="str"/>
      <x:c r="AG8" s="59" t="str"/>
      <x:c r="AH8" s="58" t="n">
        <x:v>0.5630982582135299</x:v>
      </x:c>
      <x:c r="AI8" s="56" t="n">
        <x:f>--(AH8&gt;=0.5)</x:f>
        <x:v>1</x:v>
      </x:c>
      <x:c r="AJ8" s="56" t="n">
        <x:f>--(AI8=O8)</x:f>
        <x:v>1</x:v>
      </x:c>
      <x:c r="AK8" s="58" t="n">
        <x:v>0.7677617410463085</x:v>
      </x:c>
      <x:c r="AL8" s="56" t="n">
        <x:f>--(AK8&gt;=0.5)</x:f>
        <x:v>1</x:v>
      </x:c>
      <x:c r="AM8" s="56" t="n">
        <x:f>--(AL8=O8)</x:f>
        <x:v>1</x:v>
      </x:c>
    </x:row>
    <x:row r="9" ht="32" customHeight="1">
      <x:c r="A9" s="56" t="str">
        <x:v>1161</x:v>
      </x:c>
      <x:c r="B9" s="56" t="str">
        <x:v>53</x:v>
      </x:c>
      <x:c r="C9" s="56" t="str">
        <x:v>45</x:v>
      </x:c>
      <x:c r="D9" s="56" t="str">
        <x:v>Elquinos Formation</x:v>
      </x:c>
      <x:c r="E9" s="56" t="str">
        <x:v>-29.799999</x:v>
      </x:c>
      <x:c r="F9" s="56" t="str">
        <x:v>-70.900002</x:v>
      </x:c>
      <x:c r="G9" s="56" t="str"/>
      <x:c r="H9" s="56" t="str">
        <x:v>356</x:v>
      </x:c>
      <x:c r="I9" s="56" t="str">
        <x:v>-41.700001</x:v>
      </x:c>
      <x:c r="J9" s="56" t="str">
        <x:v>83</x:v>
      </x:c>
      <x:c r="K9" s="56" t="str">
        <x:v>256</x:v>
      </x:c>
      <x:c r="L9" s="56" t="str">
        <x:v>D</x:v>
      </x:c>
      <x:c r="M9" s="59" t="str">
        <x:v>OP(complete range of oxidation),Js-T curves.</x:v>
      </x:c>
      <x:c r="N9" s="56" t="n">
        <x:f>--(LEN(M9)&gt;0)</x:f>
        <x:v>1</x:v>
      </x:c>
      <x:c r="O9" s="56" t="n">
        <x:v>1</x:v>
      </x:c>
      <x:c r="P9" s="56" t="n">
        <x:f>--(N9=O9)</x:f>
        <x:v>1</x:v>
      </x:c>
      <x:c r="Q9" s="56" t="str">
        <x:v>PRESENT</x:v>
      </x:c>
      <x:c r="R9" s="59" t="str">
        <x:v>OP(HEM)</x:v>
      </x:c>
      <x:c r="S9" s="59" t="str">
        <x:v>OP(HEM)</x:v>
      </x:c>
      <x:c r="T9" s="56" t="n">
        <x:f>--(Q9="PRESENT")</x:f>
        <x:v>1</x:v>
      </x:c>
      <x:c r="U9" s="56" t="n">
        <x:f>--(T9=N9)</x:f>
        <x:v>1</x:v>
      </x:c>
      <x:c r="V9" s="56" t="n">
        <x:f>--(T9=O9)</x:f>
        <x:v>1</x:v>
      </x:c>
      <x:c r="W9" s="56" t="n">
        <x:f>--(OR(Q9="PRESENT",Q9="ABSENT"))</x:f>
        <x:v>1</x:v>
      </x:c>
      <x:c r="X9" s="56" t="str">
        <x:v>MEDIUM</x:v>
      </x:c>
      <x:c r="Y9" s="56" t="str">
        <x:v>METADATA_UNIQUE</x:v>
      </x:c>
      <x:c r="Z9" s="57" t="b">
        <x:v>1</x:v>
      </x:c>
      <x:c r="AA9" s="57" t="b">
        <x:v>1</x:v>
      </x:c>
      <x:c r="AB9" s="56" t="n">
        <x:v>0</x:v>
      </x:c>
      <x:c r="AC9" s="56" t="str">
        <x:v>OP</x:v>
      </x:c>
      <x:c r="AD9" s="56" t="str">
        <x:v>HEM</x:v>
      </x:c>
      <x:c r="AE9" s="56" t="str"/>
      <x:c r="AF9" s="56" t="str">
        <x:v>3</x:v>
      </x:c>
      <x:c r="AG9" s="59" t="str">
        <x:v>p.3: thin section | p.3: haematite</x:v>
      </x:c>
      <x:c r="AH9" s="58" t="n">
        <x:v>0.5635706344260139</x:v>
      </x:c>
      <x:c r="AI9" s="56" t="n">
        <x:f>--(AH9&gt;=0.5)</x:f>
        <x:v>1</x:v>
      </x:c>
      <x:c r="AJ9" s="56" t="n">
        <x:f>--(AI9=O9)</x:f>
        <x:v>1</x:v>
      </x:c>
      <x:c r="AK9" s="58" t="n">
        <x:v>0.6534292175059591</x:v>
      </x:c>
      <x:c r="AL9" s="56" t="n">
        <x:f>--(AK9&gt;=0.5)</x:f>
        <x:v>1</x:v>
      </x:c>
      <x:c r="AM9" s="56" t="n">
        <x:f>--(AL9=O9)</x:f>
        <x:v>1</x:v>
      </x:c>
    </x:row>
    <x:row r="10" ht="32" customHeight="1">
      <x:c r="A10" s="56" t="str">
        <x:v>1162</x:v>
      </x:c>
      <x:c r="B10" s="56" t="str">
        <x:v>54</x:v>
      </x:c>
      <x:c r="C10" s="56" t="str">
        <x:v>46</x:v>
      </x:c>
      <x:c r="D10" s="56" t="str">
        <x:v>Spilites de Paimpol</x:v>
      </x:c>
      <x:c r="E10" s="56" t="str">
        <x:v>48.799999</x:v>
      </x:c>
      <x:c r="F10" s="56" t="str">
        <x:v>-3</x:v>
      </x:c>
      <x:c r="G10" s="56" t="str"/>
      <x:c r="H10" s="56" t="str">
        <x:v>226.39999</x:v>
      </x:c>
      <x:c r="I10" s="56" t="str">
        <x:v>-15.7</x:v>
      </x:c>
      <x:c r="J10" s="56" t="str">
        <x:v>33.799999</x:v>
      </x:c>
      <x:c r="K10" s="56" t="str">
        <x:v>117.2</x:v>
      </x:c>
      <x:c r="L10" s="56" t="str">
        <x:v>D</x:v>
      </x:c>
      <x:c r="M10" s="59" t="str"/>
      <x:c r="N10" s="56" t="n">
        <x:f>--(LEN(M10)&gt;0)</x:f>
        <x:v>0</x:v>
      </x:c>
      <x:c r="O10" s="56" t="n">
        <x:v>0</x:v>
      </x:c>
      <x:c r="P10" s="56" t="n">
        <x:f>--(N10=O10)</x:f>
        <x:v>1</x:v>
      </x:c>
      <x:c r="Q10" s="56" t="str">
        <x:v>PRESENT</x:v>
      </x:c>
      <x:c r="R10" s="59" t="str">
        <x:v>OP(MAGN,HEM)</x:v>
      </x:c>
      <x:c r="S10" s="59" t="str">
        <x:v>OP(MAGN,HEM)</x:v>
      </x:c>
      <x:c r="T10" s="56" t="n">
        <x:f>--(Q10="PRESENT")</x:f>
        <x:v>1</x:v>
      </x:c>
      <x:c r="U10" s="56" t="n">
        <x:f>--(T10=N10)</x:f>
        <x:v>0</x:v>
      </x:c>
      <x:c r="V10" s="56" t="n">
        <x:f>--(T10=O10)</x:f>
        <x:v>0</x:v>
      </x:c>
      <x:c r="W10" s="56" t="n">
        <x:f>--(OR(Q10="PRESENT",Q10="ABSENT"))</x:f>
        <x:v>1</x:v>
      </x:c>
      <x:c r="X10" s="56" t="str">
        <x:v>MEDIUM</x:v>
      </x:c>
      <x:c r="Y10" s="56" t="str">
        <x:v>METADATA_UNIQUE</x:v>
      </x:c>
      <x:c r="Z10" s="57" t="b">
        <x:v>1</x:v>
      </x:c>
      <x:c r="AA10" s="57" t="b">
        <x:v>1</x:v>
      </x:c>
      <x:c r="AB10" s="56" t="n">
        <x:v>0</x:v>
      </x:c>
      <x:c r="AC10" s="56" t="str">
        <x:v>OP</x:v>
      </x:c>
      <x:c r="AD10" s="56" t="str">
        <x:v>MAGN,HEM</x:v>
      </x:c>
      <x:c r="AE10" s="56" t="str"/>
      <x:c r="AF10" s="56" t="str">
        <x:v>8, 21</x:v>
      </x:c>
      <x:c r="AG10" s="59" t="str">
        <x:v>p.8: thin section | p.21: thin section | p.8: magnetite</x:v>
      </x:c>
      <x:c r="AH10" s="58" t="n">
        <x:v>0.4272462958774146</x:v>
      </x:c>
      <x:c r="AI10" s="56" t="n">
        <x:f>--(AH10&gt;=0.5)</x:f>
        <x:v>0</x:v>
      </x:c>
      <x:c r="AJ10" s="56" t="n">
        <x:f>--(AI10=O10)</x:f>
        <x:v>1</x:v>
      </x:c>
      <x:c r="AK10" s="58" t="n">
        <x:v>0.12156485597369365</x:v>
      </x:c>
      <x:c r="AL10" s="56" t="n">
        <x:f>--(AK10&gt;=0.5)</x:f>
        <x:v>0</x:v>
      </x:c>
      <x:c r="AM10" s="56" t="n">
        <x:f>--(AL10=O10)</x:f>
        <x:v>1</x:v>
      </x:c>
    </x:row>
    <x:row r="11" ht="32" customHeight="1">
      <x:c r="A11" s="56" t="str">
        <x:v>1162</x:v>
      </x:c>
      <x:c r="B11" s="56" t="str">
        <x:v>55</x:v>
      </x:c>
      <x:c r="C11" s="56" t="str">
        <x:v>47</x:v>
      </x:c>
      <x:c r="D11" s="56" t="str">
        <x:v>Microgranite dykes</x:v>
      </x:c>
      <x:c r="E11" s="56" t="str">
        <x:v>48.799999</x:v>
      </x:c>
      <x:c r="F11" s="56" t="str">
        <x:v>-3</x:v>
      </x:c>
      <x:c r="G11" s="56" t="str"/>
      <x:c r="H11" s="56" t="str">
        <x:v>235.10001</x:v>
      </x:c>
      <x:c r="I11" s="56" t="str">
        <x:v>63.400002</x:v>
      </x:c>
      <x:c r="J11" s="56" t="str">
        <x:v>15.4</x:v>
      </x:c>
      <x:c r="K11" s="56" t="str">
        <x:v>320</x:v>
      </x:c>
      <x:c r="L11" s="56" t="str">
        <x:v>D</x:v>
      </x:c>
      <x:c r="M11" s="59" t="str"/>
      <x:c r="N11" s="56" t="n">
        <x:f>--(LEN(M11)&gt;0)</x:f>
        <x:v>0</x:v>
      </x:c>
      <x:c r="O11" s="56" t="n">
        <x:v>0</x:v>
      </x:c>
      <x:c r="P11" s="56" t="n">
        <x:f>--(N11=O11)</x:f>
        <x:v>1</x:v>
      </x:c>
      <x:c r="Q11" s="56" t="str">
        <x:v>PRESENT</x:v>
      </x:c>
      <x:c r="R11" s="59" t="str">
        <x:v>OP(MAGN,HEM)</x:v>
      </x:c>
      <x:c r="S11" s="59" t="str">
        <x:v>OP(MAGN,HEM)</x:v>
      </x:c>
      <x:c r="T11" s="56" t="n">
        <x:f>--(Q11="PRESENT")</x:f>
        <x:v>1</x:v>
      </x:c>
      <x:c r="U11" s="56" t="n">
        <x:f>--(T11=N11)</x:f>
        <x:v>0</x:v>
      </x:c>
      <x:c r="V11" s="56" t="n">
        <x:f>--(T11=O11)</x:f>
        <x:v>0</x:v>
      </x:c>
      <x:c r="W11" s="56" t="n">
        <x:f>--(OR(Q11="PRESENT",Q11="ABSENT"))</x:f>
        <x:v>1</x:v>
      </x:c>
      <x:c r="X11" s="56" t="str">
        <x:v>MEDIUM</x:v>
      </x:c>
      <x:c r="Y11" s="56" t="str">
        <x:v>METADATA_UNIQUE</x:v>
      </x:c>
      <x:c r="Z11" s="57" t="b">
        <x:v>1</x:v>
      </x:c>
      <x:c r="AA11" s="57" t="b">
        <x:v>1</x:v>
      </x:c>
      <x:c r="AB11" s="56" t="n">
        <x:v>0</x:v>
      </x:c>
      <x:c r="AC11" s="56" t="str">
        <x:v>OP</x:v>
      </x:c>
      <x:c r="AD11" s="56" t="str">
        <x:v>MAGN,HEM</x:v>
      </x:c>
      <x:c r="AE11" s="56" t="str"/>
      <x:c r="AF11" s="56" t="str">
        <x:v>8, 21</x:v>
      </x:c>
      <x:c r="AG11" s="59" t="str">
        <x:v>p.8: thin section | p.21: thin section | p.21: Magnetite</x:v>
      </x:c>
      <x:c r="AH11" s="58" t="n">
        <x:v>0.45989240603259524</x:v>
      </x:c>
      <x:c r="AI11" s="56" t="n">
        <x:f>--(AH11&gt;=0.5)</x:f>
        <x:v>0</x:v>
      </x:c>
      <x:c r="AJ11" s="56" t="n">
        <x:f>--(AI11=O11)</x:f>
        <x:v>1</x:v>
      </x:c>
      <x:c r="AK11" s="58" t="n">
        <x:v>0.2578684816165216</x:v>
      </x:c>
      <x:c r="AL11" s="56" t="n">
        <x:f>--(AK11&gt;=0.5)</x:f>
        <x:v>0</x:v>
      </x:c>
      <x:c r="AM11" s="56" t="n">
        <x:f>--(AL11=O11)</x:f>
        <x:v>1</x:v>
      </x:c>
    </x:row>
    <x:row r="12" ht="32" customHeight="1">
      <x:c r="A12" s="56" t="str">
        <x:v>1162</x:v>
      </x:c>
      <x:c r="B12" s="56" t="str">
        <x:v>56</x:v>
      </x:c>
      <x:c r="C12" s="56" t="str">
        <x:v>48</x:v>
      </x:c>
      <x:c r="D12" s="56" t="str">
        <x:v>Diorite de St.Quay</x:v>
      </x:c>
      <x:c r="E12" s="56" t="str">
        <x:v>48.799999</x:v>
      </x:c>
      <x:c r="F12" s="56" t="str">
        <x:v>-3</x:v>
      </x:c>
      <x:c r="G12" s="56" t="str">
        <x:v>Characteristic</x:v>
      </x:c>
      <x:c r="H12" s="56" t="str">
        <x:v>31.200001</x:v>
      </x:c>
      <x:c r="I12" s="56" t="str">
        <x:v>-2.3</x:v>
      </x:c>
      <x:c r="J12" s="56" t="str">
        <x:v>33.700001</x:v>
      </x:c>
      <x:c r="K12" s="56" t="str">
        <x:v>138.60001</x:v>
      </x:c>
      <x:c r="L12" s="56" t="str">
        <x:v>D</x:v>
      </x:c>
      <x:c r="M12" s="59" t="str">
        <x:v>OP(Lge mag.oxid,minor HEM. Fine grain MAGN in plag,feldspar)</x:v>
      </x:c>
      <x:c r="N12" s="56" t="n">
        <x:f>--(LEN(M12)&gt;0)</x:f>
        <x:v>1</x:v>
      </x:c>
      <x:c r="O12" s="56" t="n">
        <x:v>1</x:v>
      </x:c>
      <x:c r="P12" s="56" t="n">
        <x:f>--(N12=O12)</x:f>
        <x:v>1</x:v>
      </x:c>
      <x:c r="Q12" s="56" t="str">
        <x:v>PRESENT</x:v>
      </x:c>
      <x:c r="R12" s="59" t="str">
        <x:v>OP(MAGN)</x:v>
      </x:c>
      <x:c r="S12" s="59" t="str">
        <x:v>OP(MAGN)</x:v>
      </x:c>
      <x:c r="T12" s="56" t="n">
        <x:f>--(Q12="PRESENT")</x:f>
        <x:v>1</x:v>
      </x:c>
      <x:c r="U12" s="56" t="n">
        <x:f>--(T12=N12)</x:f>
        <x:v>1</x:v>
      </x:c>
      <x:c r="V12" s="56" t="n">
        <x:f>--(T12=O12)</x:f>
        <x:v>1</x:v>
      </x:c>
      <x:c r="W12" s="56" t="n">
        <x:f>--(OR(Q12="PRESENT",Q12="ABSENT"))</x:f>
        <x:v>1</x:v>
      </x:c>
      <x:c r="X12" s="56" t="str">
        <x:v>HIGH</x:v>
      </x:c>
      <x:c r="Y12" s="56" t="str">
        <x:v>PAPER_ROW_MATCH</x:v>
      </x:c>
      <x:c r="Z12" s="57" t="b">
        <x:v>1</x:v>
      </x:c>
      <x:c r="AA12" s="57" t="b">
        <x:v>1</x:v>
      </x:c>
      <x:c r="AB12" s="56" t="n">
        <x:v>1</x:v>
      </x:c>
      <x:c r="AC12" s="56" t="str">
        <x:v>OP</x:v>
      </x:c>
      <x:c r="AD12" s="56" t="str">
        <x:v>MAGN</x:v>
      </x:c>
      <x:c r="AE12" s="56" t="str"/>
      <x:c r="AF12" s="56" t="str">
        <x:v>1, 4, 8, 21</x:v>
      </x:c>
      <x:c r="AG12" s="59" t="str">
        <x:v>p.21: thin section | p.21: Magnetite | p.21: magnetite</x:v>
      </x:c>
      <x:c r="AH12" s="58" t="n">
        <x:v>0.4280278429119253</x:v>
      </x:c>
      <x:c r="AI12" s="56" t="n">
        <x:f>--(AH12&gt;=0.5)</x:f>
        <x:v>0</x:v>
      </x:c>
      <x:c r="AJ12" s="56" t="n">
        <x:f>--(AI12=O12)</x:f>
        <x:v>0</x:v>
      </x:c>
      <x:c r="AK12" s="58" t="n">
        <x:v>0.3631680732867799</x:v>
      </x:c>
      <x:c r="AL12" s="56" t="n">
        <x:f>--(AK12&gt;=0.5)</x:f>
        <x:v>0</x:v>
      </x:c>
      <x:c r="AM12" s="56" t="n">
        <x:f>--(AL12=O12)</x:f>
        <x:v>0</x:v>
      </x:c>
    </x:row>
    <x:row r="13" ht="32" customHeight="1">
      <x:c r="A13" s="56" t="str">
        <x:v>1162</x:v>
      </x:c>
      <x:c r="B13" s="56" t="str">
        <x:v>57</x:v>
      </x:c>
      <x:c r="C13" s="56" t="str">
        <x:v>48</x:v>
      </x:c>
      <x:c r="D13" s="56" t="str">
        <x:v>Diorite de St.Quay</x:v>
      </x:c>
      <x:c r="E13" s="56" t="str">
        <x:v>48.799999</x:v>
      </x:c>
      <x:c r="F13" s="56" t="str">
        <x:v>-3</x:v>
      </x:c>
      <x:c r="G13" s="56" t="str">
        <x:v>Secondary</x:v>
      </x:c>
      <x:c r="H13" s="56" t="str">
        <x:v>299.89999</x:v>
      </x:c>
      <x:c r="I13" s="56" t="str">
        <x:v>38.200001</x:v>
      </x:c>
      <x:c r="J13" s="56" t="str">
        <x:v>35.5</x:v>
      </x:c>
      <x:c r="K13" s="56" t="str">
        <x:v>259.39999</x:v>
      </x:c>
      <x:c r="L13" s="56" t="str">
        <x:v>D</x:v>
      </x:c>
      <x:c r="M13" s="59" t="str">
        <x:v>OP(mag.oxid.with minor HEM.Fine grain MAGN in plag,feldpsar)</x:v>
      </x:c>
      <x:c r="N13" s="56" t="n">
        <x:f>--(LEN(M13)&gt;0)</x:f>
        <x:v>1</x:v>
      </x:c>
      <x:c r="O13" s="56" t="n">
        <x:v>1</x:v>
      </x:c>
      <x:c r="P13" s="56" t="n">
        <x:f>--(N13=O13)</x:f>
        <x:v>1</x:v>
      </x:c>
      <x:c r="Q13" s="56" t="str">
        <x:v>PRESENT</x:v>
      </x:c>
      <x:c r="R13" s="59" t="str">
        <x:v>OP(MAGN)</x:v>
      </x:c>
      <x:c r="S13" s="59" t="str">
        <x:v>OP(MAGN)</x:v>
      </x:c>
      <x:c r="T13" s="56" t="n">
        <x:f>--(Q13="PRESENT")</x:f>
        <x:v>1</x:v>
      </x:c>
      <x:c r="U13" s="56" t="n">
        <x:f>--(T13=N13)</x:f>
        <x:v>1</x:v>
      </x:c>
      <x:c r="V13" s="56" t="n">
        <x:f>--(T13=O13)</x:f>
        <x:v>1</x:v>
      </x:c>
      <x:c r="W13" s="56" t="n">
        <x:f>--(OR(Q13="PRESENT",Q13="ABSENT"))</x:f>
        <x:v>1</x:v>
      </x:c>
      <x:c r="X13" s="56" t="str">
        <x:v>HIGH</x:v>
      </x:c>
      <x:c r="Y13" s="56" t="str">
        <x:v>PAPER_ROW_MATCH</x:v>
      </x:c>
      <x:c r="Z13" s="57" t="b">
        <x:v>1</x:v>
      </x:c>
      <x:c r="AA13" s="57" t="b">
        <x:v>1</x:v>
      </x:c>
      <x:c r="AB13" s="56" t="n">
        <x:v>1</x:v>
      </x:c>
      <x:c r="AC13" s="56" t="str">
        <x:v>OP</x:v>
      </x:c>
      <x:c r="AD13" s="56" t="str">
        <x:v>MAGN</x:v>
      </x:c>
      <x:c r="AE13" s="56" t="str"/>
      <x:c r="AF13" s="56" t="str">
        <x:v>1, 10, 11, 12, 19, 21</x:v>
      </x:c>
      <x:c r="AG13" s="59" t="str">
        <x:v>p.21: thin section | p.21: Magnetite | p.21: magnetite</x:v>
      </x:c>
      <x:c r="AH13" s="58" t="n">
        <x:v>0.4280278429119253</x:v>
      </x:c>
      <x:c r="AI13" s="56" t="n">
        <x:f>--(AH13&gt;=0.5)</x:f>
        <x:v>0</x:v>
      </x:c>
      <x:c r="AJ13" s="56" t="n">
        <x:f>--(AI13=O13)</x:f>
        <x:v>0</x:v>
      </x:c>
      <x:c r="AK13" s="58" t="n">
        <x:v>0.3631680732867799</x:v>
      </x:c>
      <x:c r="AL13" s="56" t="n">
        <x:f>--(AK13&gt;=0.5)</x:f>
        <x:v>0</x:v>
      </x:c>
      <x:c r="AM13" s="56" t="n">
        <x:f>--(AL13=O13)</x:f>
        <x:v>0</x:v>
      </x:c>
    </x:row>
    <x:row r="14" ht="32" customHeight="1">
      <x:c r="A14" s="56" t="str">
        <x:v>1162</x:v>
      </x:c>
      <x:c r="B14" s="56" t="str">
        <x:v>58</x:v>
      </x:c>
      <x:c r="C14" s="56" t="str">
        <x:v>49</x:v>
      </x:c>
      <x:c r="D14" s="56" t="str">
        <x:v>Gabbro de Keralain</x:v>
      </x:c>
      <x:c r="E14" s="56" t="str">
        <x:v>48.799999</x:v>
      </x:c>
      <x:c r="F14" s="56" t="str">
        <x:v>-3.0999999</x:v>
      </x:c>
      <x:c r="G14" s="56" t="str">
        <x:v>Characteristic</x:v>
      </x:c>
      <x:c r="H14" s="56" t="str">
        <x:v>290.89999</x:v>
      </x:c>
      <x:c r="I14" s="56" t="str">
        <x:v>41.400002</x:v>
      </x:c>
      <x:c r="J14" s="56" t="str">
        <x:v>31.299999</x:v>
      </x:c>
      <x:c r="K14" s="56" t="str">
        <x:v>268.29999</x:v>
      </x:c>
      <x:c r="L14" s="56" t="str">
        <x:v>D</x:v>
      </x:c>
      <x:c r="M14" s="59" t="str">
        <x:v>OP(Coarse MAGN grains,fine grains of MAGN)</x:v>
      </x:c>
      <x:c r="N14" s="56" t="n">
        <x:f>--(LEN(M14)&gt;0)</x:f>
        <x:v>1</x:v>
      </x:c>
      <x:c r="O14" s="56" t="n">
        <x:v>1</x:v>
      </x:c>
      <x:c r="P14" s="56" t="n">
        <x:f>--(N14=O14)</x:f>
        <x:v>1</x:v>
      </x:c>
      <x:c r="Q14" s="56" t="str">
        <x:v>PRESENT</x:v>
      </x:c>
      <x:c r="R14" s="59" t="str">
        <x:v>SUSC-T,OP(MAGN,HEM,ILM)</x:v>
      </x:c>
      <x:c r="S14" s="59" t="str">
        <x:v>SUSC-T,OP(MAGN,HEM,ILM)</x:v>
      </x:c>
      <x:c r="T14" s="56" t="n">
        <x:f>--(Q14="PRESENT")</x:f>
        <x:v>1</x:v>
      </x:c>
      <x:c r="U14" s="56" t="n">
        <x:f>--(T14=N14)</x:f>
        <x:v>1</x:v>
      </x:c>
      <x:c r="V14" s="56" t="n">
        <x:f>--(T14=O14)</x:f>
        <x:v>1</x:v>
      </x:c>
      <x:c r="W14" s="56" t="n">
        <x:f>--(OR(Q14="PRESENT",Q14="ABSENT"))</x:f>
        <x:v>1</x:v>
      </x:c>
      <x:c r="X14" s="56" t="str">
        <x:v>HIGH</x:v>
      </x:c>
      <x:c r="Y14" s="56" t="str">
        <x:v>PAPER_ROW_MATCH</x:v>
      </x:c>
      <x:c r="Z14" s="57" t="b">
        <x:v>1</x:v>
      </x:c>
      <x:c r="AA14" s="57" t="b">
        <x:v>1</x:v>
      </x:c>
      <x:c r="AB14" s="56" t="n">
        <x:v>1</x:v>
      </x:c>
      <x:c r="AC14" s="56" t="str">
        <x:v>SUSC-T,OP</x:v>
      </x:c>
      <x:c r="AD14" s="56" t="str">
        <x:v>MAGN,HEM,ILM</x:v>
      </x:c>
      <x:c r="AE14" s="56" t="str"/>
      <x:c r="AF14" s="56" t="str">
        <x:v>1, 4, 9, 10, 11, 14</x:v>
      </x:c>
      <x:c r="AG14" s="59" t="str">
        <x:v>p.10: thin section | p.14: thin section | p.14: The granite's magnetization was primarily removed at temperatures below the Curie point for magnetite (578OC) giving a mean direction of D = 200.4', I= +66.0° (Table 1) which is similar to the secondary direction removed from the gabbro de Keralain of D = 221.0°, I = t55.8'.</x:v>
      </x:c>
      <x:c r="AH14" s="58" t="n">
        <x:v>0.4387043066779844</x:v>
      </x:c>
      <x:c r="AI14" s="56" t="n">
        <x:f>--(AH14&gt;=0.5)</x:f>
        <x:v>0</x:v>
      </x:c>
      <x:c r="AJ14" s="56" t="n">
        <x:f>--(AI14=O14)</x:f>
        <x:v>0</x:v>
      </x:c>
      <x:c r="AK14" s="58" t="n">
        <x:v>0.7958337369372741</x:v>
      </x:c>
      <x:c r="AL14" s="56" t="n">
        <x:f>--(AK14&gt;=0.5)</x:f>
        <x:v>1</x:v>
      </x:c>
      <x:c r="AM14" s="56" t="n">
        <x:f>--(AL14=O14)</x:f>
        <x:v>1</x:v>
      </x:c>
    </x:row>
    <x:row r="15" ht="32" customHeight="1">
      <x:c r="A15" s="56" t="str">
        <x:v>1162</x:v>
      </x:c>
      <x:c r="B15" s="56" t="str">
        <x:v>59</x:v>
      </x:c>
      <x:c r="C15" s="56" t="str">
        <x:v>49</x:v>
      </x:c>
      <x:c r="D15" s="56" t="str">
        <x:v>Gabbro de Keralain</x:v>
      </x:c>
      <x:c r="E15" s="56" t="str">
        <x:v>48.799999</x:v>
      </x:c>
      <x:c r="F15" s="56" t="str">
        <x:v>-3.0999999</x:v>
      </x:c>
      <x:c r="G15" s="56" t="str">
        <x:v>Secondary</x:v>
      </x:c>
      <x:c r="H15" s="56" t="str">
        <x:v>221</x:v>
      </x:c>
      <x:c r="I15" s="56" t="str">
        <x:v>55.799999</x:v>
      </x:c>
      <x:c r="J15" s="56" t="str">
        <x:v>2.5999999</x:v>
      </x:c>
      <x:c r="K15" s="56" t="str">
        <x:v>325</x:v>
      </x:c>
      <x:c r="L15" s="56" t="str">
        <x:v>D</x:v>
      </x:c>
      <x:c r="M15" s="59" t="str">
        <x:v>OP(Coarse MAGN grains,fine MAGN grains)</x:v>
      </x:c>
      <x:c r="N15" s="56" t="n">
        <x:f>--(LEN(M15)&gt;0)</x:f>
        <x:v>1</x:v>
      </x:c>
      <x:c r="O15" s="56" t="n">
        <x:v>1</x:v>
      </x:c>
      <x:c r="P15" s="56" t="n">
        <x:f>--(N15=O15)</x:f>
        <x:v>1</x:v>
      </x:c>
      <x:c r="Q15" s="56" t="str">
        <x:v>PRESENT</x:v>
      </x:c>
      <x:c r="R15" s="59" t="str">
        <x:v>SUSC-T,OP(MAGN,HEM,ILM)</x:v>
      </x:c>
      <x:c r="S15" s="59" t="str">
        <x:v>SUSC-T,OP(MAGN,HEM,ILM)</x:v>
      </x:c>
      <x:c r="T15" s="56" t="n">
        <x:f>--(Q15="PRESENT")</x:f>
        <x:v>1</x:v>
      </x:c>
      <x:c r="U15" s="56" t="n">
        <x:f>--(T15=N15)</x:f>
        <x:v>1</x:v>
      </x:c>
      <x:c r="V15" s="56" t="n">
        <x:f>--(T15=O15)</x:f>
        <x:v>1</x:v>
      </x:c>
      <x:c r="W15" s="56" t="n">
        <x:f>--(OR(Q15="PRESENT",Q15="ABSENT"))</x:f>
        <x:v>1</x:v>
      </x:c>
      <x:c r="X15" s="56" t="str">
        <x:v>HIGH</x:v>
      </x:c>
      <x:c r="Y15" s="56" t="str">
        <x:v>PAPER_ROW_MATCH</x:v>
      </x:c>
      <x:c r="Z15" s="57" t="b">
        <x:v>1</x:v>
      </x:c>
      <x:c r="AA15" s="57" t="b">
        <x:v>1</x:v>
      </x:c>
      <x:c r="AB15" s="56" t="n">
        <x:v>1</x:v>
      </x:c>
      <x:c r="AC15" s="56" t="str">
        <x:v>SUSC-T,OP</x:v>
      </x:c>
      <x:c r="AD15" s="56" t="str">
        <x:v>MAGN,HEM,ILM</x:v>
      </x:c>
      <x:c r="AE15" s="56" t="str"/>
      <x:c r="AF15" s="56" t="str">
        <x:v>1, 10, 11, 12, 14, 19</x:v>
      </x:c>
      <x:c r="AG15" s="59" t="str">
        <x:v>p.10: thin section | p.14: thin section | p.14: The granite's magnetization was primarily removed at temperatures below the Curie point for magnetite (578OC) giving a mean direction of D = 200.4', I= +66.0° (Table 1) which is similar to the secondary direction removed from the gabbro de Keralain of D = 221.0°, I = t55.8'.</x:v>
      </x:c>
      <x:c r="AH15" s="58" t="n">
        <x:v>0.4387043066779844</x:v>
      </x:c>
      <x:c r="AI15" s="56" t="n">
        <x:f>--(AH15&gt;=0.5)</x:f>
        <x:v>0</x:v>
      </x:c>
      <x:c r="AJ15" s="56" t="n">
        <x:f>--(AI15=O15)</x:f>
        <x:v>0</x:v>
      </x:c>
      <x:c r="AK15" s="58" t="n">
        <x:v>0.7958337369372741</x:v>
      </x:c>
      <x:c r="AL15" s="56" t="n">
        <x:f>--(AK15&gt;=0.5)</x:f>
        <x:v>1</x:v>
      </x:c>
      <x:c r="AM15" s="56" t="n">
        <x:f>--(AL15=O15)</x:f>
        <x:v>1</x:v>
      </x:c>
    </x:row>
    <x:row r="16" ht="32" customHeight="1">
      <x:c r="A16" s="56" t="str">
        <x:v>1162</x:v>
      </x:c>
      <x:c r="B16" s="56" t="str">
        <x:v>60</x:v>
      </x:c>
      <x:c r="C16" s="56" t="str">
        <x:v>50</x:v>
      </x:c>
      <x:c r="D16" s="56" t="str">
        <x:v>Granite de Porz-Scarff</x:v>
      </x:c>
      <x:c r="E16" s="56" t="str">
        <x:v>48.900002</x:v>
      </x:c>
      <x:c r="F16" s="56" t="str">
        <x:v>-3.2</x:v>
      </x:c>
      <x:c r="G16" s="56" t="str"/>
      <x:c r="H16" s="56" t="str">
        <x:v>200.39999</x:v>
      </x:c>
      <x:c r="I16" s="56" t="str">
        <x:v>66</x:v>
      </x:c>
      <x:c r="J16" s="56" t="str">
        <x:v>8.8000002</x:v>
      </x:c>
      <x:c r="K16" s="56" t="str">
        <x:v>343.20001</x:v>
      </x:c>
      <x:c r="L16" s="56" t="str">
        <x:v>D</x:v>
      </x:c>
      <x:c r="M16" s="59" t="str">
        <x:v>OP(very altered,coarse MAGN 80% oxid.to HEM,Sec.HEM.present)</x:v>
      </x:c>
      <x:c r="N16" s="56" t="n">
        <x:f>--(LEN(M16)&gt;0)</x:f>
        <x:v>1</x:v>
      </x:c>
      <x:c r="O16" s="56" t="n">
        <x:v>1</x:v>
      </x:c>
      <x:c r="P16" s="56" t="n">
        <x:f>--(N16=O16)</x:f>
        <x:v>1</x:v>
      </x:c>
      <x:c r="Q16" s="56" t="str">
        <x:v>PRESENT</x:v>
      </x:c>
      <x:c r="R16" s="59" t="str">
        <x:v>OP(HEM,MAGN,ILM)</x:v>
      </x:c>
      <x:c r="S16" s="59" t="str">
        <x:v>OP(HEM,MAGN,ILM)</x:v>
      </x:c>
      <x:c r="T16" s="56" t="n">
        <x:f>--(Q16="PRESENT")</x:f>
        <x:v>1</x:v>
      </x:c>
      <x:c r="U16" s="56" t="n">
        <x:f>--(T16=N16)</x:f>
        <x:v>1</x:v>
      </x:c>
      <x:c r="V16" s="56" t="n">
        <x:f>--(T16=O16)</x:f>
        <x:v>1</x:v>
      </x:c>
      <x:c r="W16" s="56" t="n">
        <x:f>--(OR(Q16="PRESENT",Q16="ABSENT"))</x:f>
        <x:v>1</x:v>
      </x:c>
      <x:c r="X16" s="56" t="str">
        <x:v>MEDIUM</x:v>
      </x:c>
      <x:c r="Y16" s="56" t="str">
        <x:v>METADATA_UNIQUE</x:v>
      </x:c>
      <x:c r="Z16" s="57" t="b">
        <x:v>1</x:v>
      </x:c>
      <x:c r="AA16" s="57" t="b">
        <x:v>1</x:v>
      </x:c>
      <x:c r="AB16" s="56" t="n">
        <x:v>0</x:v>
      </x:c>
      <x:c r="AC16" s="56" t="str">
        <x:v>OP</x:v>
      </x:c>
      <x:c r="AD16" s="56" t="str">
        <x:v>HEM,MAGN,ILM</x:v>
      </x:c>
      <x:c r="AE16" s="56" t="str"/>
      <x:c r="AF16" s="56" t="str">
        <x:v>14</x:v>
      </x:c>
      <x:c r="AG16" s="59" t="str">
        <x:v>p.14: thin section | p.14: hematite | p.14: magnetite</x:v>
      </x:c>
      <x:c r="AH16" s="58" t="n">
        <x:v>0.4547159898048275</x:v>
      </x:c>
      <x:c r="AI16" s="56" t="n">
        <x:f>--(AH16&gt;=0.5)</x:f>
        <x:v>0</x:v>
      </x:c>
      <x:c r="AJ16" s="56" t="n">
        <x:f>--(AI16=O16)</x:f>
        <x:v>0</x:v>
      </x:c>
      <x:c r="AK16" s="58" t="n">
        <x:v>0.49011349290184036</x:v>
      </x:c>
      <x:c r="AL16" s="56" t="n">
        <x:f>--(AK16&gt;=0.5)</x:f>
        <x:v>0</x:v>
      </x:c>
      <x:c r="AM16" s="56" t="n">
        <x:f>--(AL16=O16)</x:f>
        <x:v>0</x:v>
      </x:c>
    </x:row>
    <x:row r="17" ht="32" customHeight="1">
      <x:c r="A17" s="56" t="str">
        <x:v>1162</x:v>
      </x:c>
      <x:c r="B17" s="56" t="str">
        <x:v>61</x:v>
      </x:c>
      <x:c r="C17" s="56" t="str">
        <x:v>51</x:v>
      </x:c>
      <x:c r="D17" s="56" t="str">
        <x:v>Rhyolites</x:v>
      </x:c>
      <x:c r="E17" s="56" t="str">
        <x:v>48.799999</x:v>
      </x:c>
      <x:c r="F17" s="56" t="str">
        <x:v>-3.0999999</x:v>
      </x:c>
      <x:c r="G17" s="56" t="str">
        <x:v>Characteristic</x:v>
      </x:c>
      <x:c r="H17" s="56" t="str">
        <x:v>191.8</x:v>
      </x:c>
      <x:c r="I17" s="56" t="str">
        <x:v>38.200001</x:v>
      </x:c>
      <x:c r="J17" s="56" t="str">
        <x:v>18.9</x:v>
      </x:c>
      <x:c r="K17" s="56" t="str">
        <x:v>165.39999</x:v>
      </x:c>
      <x:c r="L17" s="56" t="str">
        <x:v>D</x:v>
      </x:c>
      <x:c r="M17" s="59" t="str">
        <x:v>OP(MAGN in various stages of oxidation).</x:v>
      </x:c>
      <x:c r="N17" s="56" t="n">
        <x:f>--(LEN(M17)&gt;0)</x:f>
        <x:v>1</x:v>
      </x:c>
      <x:c r="O17" s="56" t="n">
        <x:v>1</x:v>
      </x:c>
      <x:c r="P17" s="56" t="n">
        <x:f>--(N17=O17)</x:f>
        <x:v>1</x:v>
      </x:c>
      <x:c r="Q17" s="56" t="str">
        <x:v>PRESENT</x:v>
      </x:c>
      <x:c r="R17" s="59" t="str">
        <x:v>OP(MAGN,HEM)</x:v>
      </x:c>
      <x:c r="S17" s="59" t="str">
        <x:v>OP(MAGN,HEM)</x:v>
      </x:c>
      <x:c r="T17" s="56" t="n">
        <x:f>--(Q17="PRESENT")</x:f>
        <x:v>1</x:v>
      </x:c>
      <x:c r="U17" s="56" t="n">
        <x:f>--(T17=N17)</x:f>
        <x:v>1</x:v>
      </x:c>
      <x:c r="V17" s="56" t="n">
        <x:f>--(T17=O17)</x:f>
        <x:v>1</x:v>
      </x:c>
      <x:c r="W17" s="56" t="n">
        <x:f>--(OR(Q17="PRESENT",Q17="ABSENT"))</x:f>
        <x:v>1</x:v>
      </x:c>
      <x:c r="X17" s="56" t="str">
        <x:v>HIGH</x:v>
      </x:c>
      <x:c r="Y17" s="56" t="str">
        <x:v>PAPER_ROW_MATCH</x:v>
      </x:c>
      <x:c r="Z17" s="57" t="b">
        <x:v>1</x:v>
      </x:c>
      <x:c r="AA17" s="57" t="b">
        <x:v>1</x:v>
      </x:c>
      <x:c r="AB17" s="56" t="n">
        <x:v>1</x:v>
      </x:c>
      <x:c r="AC17" s="56" t="str">
        <x:v>OP</x:v>
      </x:c>
      <x:c r="AD17" s="56" t="str">
        <x:v>MAGN,HEM</x:v>
      </x:c>
      <x:c r="AE17" s="56" t="str"/>
      <x:c r="AF17" s="56" t="str">
        <x:v>1, 4, 5, 14, 15, 17, 21</x:v>
      </x:c>
      <x:c r="AG17" s="59" t="str">
        <x:v>p.17: thin section | p.15: thin section | p.21: thin section</x:v>
      </x:c>
      <x:c r="AH17" s="58" t="n">
        <x:v>0.4253303396331453</x:v>
      </x:c>
      <x:c r="AI17" s="56" t="n">
        <x:f>--(AH17&gt;=0.5)</x:f>
        <x:v>0</x:v>
      </x:c>
      <x:c r="AJ17" s="56" t="n">
        <x:f>--(AI17=O17)</x:f>
        <x:v>0</x:v>
      </x:c>
      <x:c r="AK17" s="58" t="n">
        <x:v>0.3973161645740084</x:v>
      </x:c>
      <x:c r="AL17" s="56" t="n">
        <x:f>--(AK17&gt;=0.5)</x:f>
        <x:v>0</x:v>
      </x:c>
      <x:c r="AM17" s="56" t="n">
        <x:f>--(AL17=O17)</x:f>
        <x:v>0</x:v>
      </x:c>
    </x:row>
    <x:row r="18" ht="32" customHeight="1">
      <x:c r="A18" s="56" t="str">
        <x:v>1162</x:v>
      </x:c>
      <x:c r="B18" s="56" t="str">
        <x:v>62</x:v>
      </x:c>
      <x:c r="C18" s="56" t="str">
        <x:v>51</x:v>
      </x:c>
      <x:c r="D18" s="56" t="str">
        <x:v>Rhyolites</x:v>
      </x:c>
      <x:c r="E18" s="56" t="str">
        <x:v>48.799999</x:v>
      </x:c>
      <x:c r="F18" s="56" t="str">
        <x:v>-3.0999999</x:v>
      </x:c>
      <x:c r="G18" s="56" t="str">
        <x:v>High temp.</x:v>
      </x:c>
      <x:c r="H18" s="56" t="str">
        <x:v>88.800003</x:v>
      </x:c>
      <x:c r="I18" s="56" t="str">
        <x:v>-37.099998</x:v>
      </x:c>
      <x:c r="J18" s="56" t="str">
        <x:v>14.7</x:v>
      </x:c>
      <x:c r="K18" s="56" t="str">
        <x:v>281.70001</x:v>
      </x:c>
      <x:c r="L18" s="56" t="str">
        <x:v>D</x:v>
      </x:c>
      <x:c r="M18" s="59" t="str">
        <x:v>OP(no MAGN abundant HEM, replacement of MAGN and HEM)</x:v>
      </x:c>
      <x:c r="N18" s="56" t="n">
        <x:f>--(LEN(M18)&gt;0)</x:f>
        <x:v>1</x:v>
      </x:c>
      <x:c r="O18" s="56" t="n">
        <x:v>1</x:v>
      </x:c>
      <x:c r="P18" s="56" t="n">
        <x:f>--(N18=O18)</x:f>
        <x:v>1</x:v>
      </x:c>
      <x:c r="Q18" s="56" t="str">
        <x:v>PRESENT</x:v>
      </x:c>
      <x:c r="R18" s="59" t="str">
        <x:v>OP(MAGN,HEM)</x:v>
      </x:c>
      <x:c r="S18" s="59" t="str">
        <x:v>OP(MAGN,HEM)</x:v>
      </x:c>
      <x:c r="T18" s="56" t="n">
        <x:f>--(Q18="PRESENT")</x:f>
        <x:v>1</x:v>
      </x:c>
      <x:c r="U18" s="56" t="n">
        <x:f>--(T18=N18)</x:f>
        <x:v>1</x:v>
      </x:c>
      <x:c r="V18" s="56" t="n">
        <x:f>--(T18=O18)</x:f>
        <x:v>1</x:v>
      </x:c>
      <x:c r="W18" s="56" t="n">
        <x:f>--(OR(Q18="PRESENT",Q18="ABSENT"))</x:f>
        <x:v>1</x:v>
      </x:c>
      <x:c r="X18" s="56" t="str">
        <x:v>HIGH</x:v>
      </x:c>
      <x:c r="Y18" s="56" t="str">
        <x:v>PAPER_ROW_MATCH</x:v>
      </x:c>
      <x:c r="Z18" s="57" t="b">
        <x:v>1</x:v>
      </x:c>
      <x:c r="AA18" s="57" t="b">
        <x:v>1</x:v>
      </x:c>
      <x:c r="AB18" s="56" t="n">
        <x:v>1</x:v>
      </x:c>
      <x:c r="AC18" s="56" t="str">
        <x:v>OP</x:v>
      </x:c>
      <x:c r="AD18" s="56" t="str">
        <x:v>MAGN,HEM</x:v>
      </x:c>
      <x:c r="AE18" s="56" t="str"/>
      <x:c r="AF18" s="56" t="str">
        <x:v>15, 17, 21, 24</x:v>
      </x:c>
      <x:c r="AG18" s="59" t="str">
        <x:v>p.17: thin section | p.15: thin section | p.21: thin section</x:v>
      </x:c>
      <x:c r="AH18" s="58" t="n">
        <x:v>0.4253303396331453</x:v>
      </x:c>
      <x:c r="AI18" s="56" t="n">
        <x:f>--(AH18&gt;=0.5)</x:f>
        <x:v>0</x:v>
      </x:c>
      <x:c r="AJ18" s="56" t="n">
        <x:f>--(AI18=O18)</x:f>
        <x:v>0</x:v>
      </x:c>
      <x:c r="AK18" s="58" t="n">
        <x:v>0.3973161645740084</x:v>
      </x:c>
      <x:c r="AL18" s="56" t="n">
        <x:f>--(AK18&gt;=0.5)</x:f>
        <x:v>0</x:v>
      </x:c>
      <x:c r="AM18" s="56" t="n">
        <x:f>--(AL18=O18)</x:f>
        <x:v>0</x:v>
      </x:c>
    </x:row>
    <x:row r="19" ht="32" customHeight="1">
      <x:c r="A19" s="56" t="str">
        <x:v>1170</x:v>
      </x:c>
      <x:c r="B19" s="56" t="str">
        <x:v>69</x:v>
      </x:c>
      <x:c r="C19" s="56" t="str">
        <x:v>58</x:v>
      </x:c>
      <x:c r="D19" s="56" t="str">
        <x:v>Adma diorite</x:v>
      </x:c>
      <x:c r="E19" s="56" t="str">
        <x:v>18.299999</x:v>
      </x:c>
      <x:c r="F19" s="56" t="str">
        <x:v>1.2</x:v>
      </x:c>
      <x:c r="G19" s="56" t="str"/>
      <x:c r="H19" s="56" t="str">
        <x:v>317.29999</x:v>
      </x:c>
      <x:c r="I19" s="56" t="str">
        <x:v>78.599998</x:v>
      </x:c>
      <x:c r="J19" s="56" t="str">
        <x:v>33.5</x:v>
      </x:c>
      <x:c r="K19" s="56" t="str">
        <x:v>343.5</x:v>
      </x:c>
      <x:c r="L19" s="56" t="str">
        <x:v>D</x:v>
      </x:c>
      <x:c r="M19" s="59" t="str">
        <x:v>OP(HEM formed during late plut.metamorph.below CT-ie CRM).</x:v>
      </x:c>
      <x:c r="N19" s="56" t="n">
        <x:f>--(LEN(M19)&gt;0)</x:f>
        <x:v>1</x:v>
      </x:c>
      <x:c r="O19" s="56" t="n">
        <x:v>1</x:v>
      </x:c>
      <x:c r="P19" s="56" t="n">
        <x:f>--(N19=O19)</x:f>
        <x:v>1</x:v>
      </x:c>
      <x:c r="Q19" s="56" t="str">
        <x:v>PRESENT</x:v>
      </x:c>
      <x:c r="R19" s="59" t="str">
        <x:v>SUSC-T(HEM)</x:v>
      </x:c>
      <x:c r="S19" s="59" t="str">
        <x:v>SUSC-T(HEM)</x:v>
      </x:c>
      <x:c r="T19" s="56" t="n">
        <x:f>--(Q19="PRESENT")</x:f>
        <x:v>1</x:v>
      </x:c>
      <x:c r="U19" s="56" t="n">
        <x:f>--(T19=N19)</x:f>
        <x:v>1</x:v>
      </x:c>
      <x:c r="V19" s="56" t="n">
        <x:f>--(T19=O19)</x:f>
        <x:v>1</x:v>
      </x:c>
      <x:c r="W19" s="56" t="n">
        <x:f>--(OR(Q19="PRESENT",Q19="ABSENT"))</x:f>
        <x:v>1</x:v>
      </x:c>
      <x:c r="X19" s="56" t="str">
        <x:v>MEDIUM</x:v>
      </x:c>
      <x:c r="Y19" s="56" t="str">
        <x:v>METADATA_UNIQUE</x:v>
      </x:c>
      <x:c r="Z19" s="57" t="b">
        <x:v>1</x:v>
      </x:c>
      <x:c r="AA19" s="57" t="b">
        <x:v>1</x:v>
      </x:c>
      <x:c r="AB19" s="56" t="n">
        <x:v>0</x:v>
      </x:c>
      <x:c r="AC19" s="56" t="str">
        <x:v>SUSC-T</x:v>
      </x:c>
      <x:c r="AD19" s="56" t="str">
        <x:v>HEM</x:v>
      </x:c>
      <x:c r="AE19" s="56" t="str"/>
      <x:c r="AF19" s="56" t="str">
        <x:v>1</x:v>
      </x:c>
      <x:c r="AG19" s="59" t="str">
        <x:v>p.1: 675°C (Curie point | p.1: hematite</x:v>
      </x:c>
      <x:c r="AH19" s="58" t="n">
        <x:v>0.2199575433672076</x:v>
      </x:c>
      <x:c r="AI19" s="56" t="n">
        <x:f>--(AH19&gt;=0.5)</x:f>
        <x:v>0</x:v>
      </x:c>
      <x:c r="AJ19" s="56" t="n">
        <x:f>--(AI19=O19)</x:f>
        <x:v>0</x:v>
      </x:c>
      <x:c r="AK19" s="58" t="n">
        <x:v>0.16576917738581518</x:v>
      </x:c>
      <x:c r="AL19" s="56" t="n">
        <x:f>--(AK19&gt;=0.5)</x:f>
        <x:v>0</x:v>
      </x:c>
      <x:c r="AM19" s="56" t="n">
        <x:f>--(AL19=O19)</x:f>
        <x:v>0</x:v>
      </x:c>
    </x:row>
    <x:row r="20" ht="32" customHeight="1">
      <x:c r="A20" s="56" t="str">
        <x:v>1170</x:v>
      </x:c>
      <x:c r="B20" s="56" t="str">
        <x:v>70</x:v>
      </x:c>
      <x:c r="C20" s="56" t="str">
        <x:v>59</x:v>
      </x:c>
      <x:c r="D20" s="56" t="str">
        <x:v>Tabankort rhyolite</x:v>
      </x:c>
      <x:c r="E20" s="56" t="str">
        <x:v>19.700001</x:v>
      </x:c>
      <x:c r="F20" s="56" t="str">
        <x:v>1.1</x:v>
      </x:c>
      <x:c r="G20" s="56" t="str"/>
      <x:c r="H20" s="56" t="str">
        <x:v>114</x:v>
      </x:c>
      <x:c r="I20" s="56" t="str">
        <x:v>-70</x:v>
      </x:c>
      <x:c r="J20" s="56" t="str">
        <x:v>30</x:v>
      </x:c>
      <x:c r="K20" s="56" t="str">
        <x:v>322</x:v>
      </x:c>
      <x:c r="L20" s="56" t="str">
        <x:v>D</x:v>
      </x:c>
      <x:c r="M20" s="59" t="str"/>
      <x:c r="N20" s="56" t="n">
        <x:f>--(LEN(M20)&gt;0)</x:f>
        <x:v>0</x:v>
      </x:c>
      <x:c r="O20" s="56" t="n">
        <x:v>0</x:v>
      </x:c>
      <x:c r="P20" s="56" t="n">
        <x:f>--(N20=O20)</x:f>
        <x:v>1</x:v>
      </x:c>
      <x:c r="Q20" s="56" t="str">
        <x:v>ABSTAIN_INSUFFICIENT</x:v>
      </x:c>
      <x:c r="R20" s="59" t="str"/>
      <x:c r="S20" s="59" t="str"/>
      <x:c r="T20" s="56" t="n">
        <x:f>--(Q20="PRESENT")</x:f>
        <x:v>0</x:v>
      </x:c>
      <x:c r="U20" s="56" t="n">
        <x:f>--(T20=N20)</x:f>
        <x:v>1</x:v>
      </x:c>
      <x:c r="V20" s="56" t="n">
        <x:f>--(T20=O20)</x:f>
        <x:v>1</x:v>
      </x:c>
      <x:c r="W20" s="56" t="n">
        <x:f>--(OR(Q20="PRESENT",Q20="ABSENT"))</x:f>
        <x:v>0</x:v>
      </x:c>
      <x:c r="X20" s="56" t="str">
        <x:v>LOW</x:v>
      </x:c>
      <x:c r="Y20" s="56" t="str">
        <x:v>PAPER_ROW_MATCH</x:v>
      </x:c>
      <x:c r="Z20" s="57" t="b">
        <x:v>1</x:v>
      </x:c>
      <x:c r="AA20" s="57" t="b">
        <x:v>1</x:v>
      </x:c>
      <x:c r="AB20" s="56" t="n">
        <x:v>0</x:v>
      </x:c>
      <x:c r="AC20" s="56" t="str"/>
      <x:c r="AD20" s="56" t="str"/>
      <x:c r="AE20" s="56" t="str"/>
      <x:c r="AF20" s="56" t="str">
        <x:v>8</x:v>
      </x:c>
      <x:c r="AG20" s="59" t="str">
        <x:v>p.8: reasonable choice. Preliminary results from the Tabankort rhyolite support this opinion. The Tabankort rhyolite (19.7" N, 1.1" E) made up of a succession of green and red flows is also from the Adrar des Iforas but north of the Adma diorite. The rhyolite overlies the intrusive suite of which the Adma diorite is a part and which is considered to be equivalent to some nearby granitic intrusions that yield a zircon age of about 590 Myr (Ducrot et al., private communi- cation). This preliminary stud | p.8: olite support this opinion. The Tabankort rhyolite (19.7" N, 1.1" E) made up of a succession of green and red flows is also from the Adrar des Iforas but north of the Adma diorite. The rhyolite overlies the intrusive suite of which the Adma diorite is a part and which is considered to be equivalent to some nearby granitic intrusions that yield a zircon age of about 590 Myr (Ducrot et al., private communi- cation). This preliminary study is based on eight specimens from three sub-horizontal lava </x:v>
      </x:c>
      <x:c r="AH20" s="58" t="n">
        <x:v>0.25866718633601804</x:v>
      </x:c>
      <x:c r="AI20" s="56" t="n">
        <x:f>--(AH20&gt;=0.5)</x:f>
        <x:v>0</x:v>
      </x:c>
      <x:c r="AJ20" s="56" t="n">
        <x:f>--(AI20=O20)</x:f>
        <x:v>1</x:v>
      </x:c>
      <x:c r="AK20" s="58" t="n">
        <x:v>0.3311679297559155</x:v>
      </x:c>
      <x:c r="AL20" s="56" t="n">
        <x:f>--(AK20&gt;=0.5)</x:f>
        <x:v>0</x:v>
      </x:c>
      <x:c r="AM20" s="56" t="n">
        <x:f>--(AL20=O20)</x:f>
        <x:v>1</x:v>
      </x:c>
    </x:row>
    <x:row r="21" ht="32" customHeight="1">
      <x:c r="A21" s="56" t="str">
        <x:v>1177</x:v>
      </x:c>
      <x:c r="B21" s="56" t="str">
        <x:v>82</x:v>
      </x:c>
      <x:c r="C21" s="56" t="str">
        <x:v>67</x:v>
      </x:c>
      <x:c r="D21" s="56" t="str">
        <x:v>Marsden Park Breccia pipe</x:v>
      </x:c>
      <x:c r="E21" s="56" t="str">
        <x:v>-33.700001</x:v>
      </x:c>
      <x:c r="F21" s="56" t="str">
        <x:v>150.8</x:v>
      </x:c>
      <x:c r="G21" s="56" t="str"/>
      <x:c r="H21" s="56" t="str">
        <x:v>43.599998</x:v>
      </x:c>
      <x:c r="I21" s="56" t="str">
        <x:v>-78</x:v>
      </x:c>
      <x:c r="J21" s="56" t="str">
        <x:v>48.099998</x:v>
      </x:c>
      <x:c r="K21" s="56" t="str">
        <x:v>307.20001</x:v>
      </x:c>
      <x:c r="L21" s="56" t="str">
        <x:v>V</x:v>
      </x:c>
      <x:c r="M21" s="59" t="str"/>
      <x:c r="N21" s="56" t="n">
        <x:f>--(LEN(M21)&gt;0)</x:f>
        <x:v>0</x:v>
      </x:c>
      <x:c r="O21" s="56" t="n">
        <x:v>0</x:v>
      </x:c>
      <x:c r="P21" s="56" t="n">
        <x:f>--(N21=O21)</x:f>
        <x:v>1</x:v>
      </x:c>
      <x:c r="Q21" s="56" t="str">
        <x:v>PRESENT</x:v>
      </x:c>
      <x:c r="R21" s="59" t="str">
        <x:v>SUSC-T(MAGN,TM)</x:v>
      </x:c>
      <x:c r="S21" s="59" t="str">
        <x:v>SUSC-T(MAGN,TM)</x:v>
      </x:c>
      <x:c r="T21" s="56" t="n">
        <x:f>--(Q21="PRESENT")</x:f>
        <x:v>1</x:v>
      </x:c>
      <x:c r="U21" s="56" t="n">
        <x:f>--(T21=N21)</x:f>
        <x:v>0</x:v>
      </x:c>
      <x:c r="V21" s="56" t="n">
        <x:f>--(T21=O21)</x:f>
        <x:v>0</x:v>
      </x:c>
      <x:c r="W21" s="56" t="n">
        <x:f>--(OR(Q21="PRESENT",Q21="ABSENT"))</x:f>
        <x:v>1</x:v>
      </x:c>
      <x:c r="X21" s="56" t="str">
        <x:v>MEDIUM</x:v>
      </x:c>
      <x:c r="Y21" s="56" t="str">
        <x:v>METADATA_UNIQUE</x:v>
      </x:c>
      <x:c r="Z21" s="57" t="b">
        <x:v>1</x:v>
      </x:c>
      <x:c r="AA21" s="57" t="b">
        <x:v>1</x:v>
      </x:c>
      <x:c r="AB21" s="56" t="n">
        <x:v>0</x:v>
      </x:c>
      <x:c r="AC21" s="56" t="str">
        <x:v>SUSC-T</x:v>
      </x:c>
      <x:c r="AD21" s="56" t="str">
        <x:v>MAGN,TM</x:v>
      </x:c>
      <x:c r="AE21" s="56" t="str"/>
      <x:c r="AF21" s="56" t="str">
        <x:v>16, 17</x:v>
      </x:c>
      <x:c r="AG21" s="59" t="str">
        <x:v>p.17: susceptibility versus temperature | p.16: magnetite | p.17: titanomagnetite</x:v>
      </x:c>
      <x:c r="AH21" s="58" t="n">
        <x:v>0.2240867866977624</x:v>
      </x:c>
      <x:c r="AI21" s="56" t="n">
        <x:f>--(AH21&gt;=0.5)</x:f>
        <x:v>0</x:v>
      </x:c>
      <x:c r="AJ21" s="56" t="n">
        <x:f>--(AI21=O21)</x:f>
        <x:v>1</x:v>
      </x:c>
      <x:c r="AK21" s="58" t="n">
        <x:v>0.2240867866977624</x:v>
      </x:c>
      <x:c r="AL21" s="56" t="n">
        <x:f>--(AK21&gt;=0.5)</x:f>
        <x:v>0</x:v>
      </x:c>
      <x:c r="AM21" s="56" t="n">
        <x:f>--(AL21=O21)</x:f>
        <x:v>1</x:v>
      </x:c>
    </x:row>
    <x:row r="22" ht="32" customHeight="1">
      <x:c r="A22" s="56" t="str">
        <x:v>1177</x:v>
      </x:c>
      <x:c r="B22" s="56" t="str">
        <x:v>83</x:v>
      </x:c>
      <x:c r="C22" s="56" t="str">
        <x:v>68</x:v>
      </x:c>
      <x:c r="D22" s="56" t="str">
        <x:v>St.Mary's Breccia pipe</x:v>
      </x:c>
      <x:c r="E22" s="56" t="str">
        <x:v>-33.799999</x:v>
      </x:c>
      <x:c r="F22" s="56" t="str">
        <x:v>150.8</x:v>
      </x:c>
      <x:c r="G22" s="56" t="str"/>
      <x:c r="H22" s="56" t="str">
        <x:v>2.3</x:v>
      </x:c>
      <x:c r="I22" s="56" t="str">
        <x:v>-83.900002</x:v>
      </x:c>
      <x:c r="J22" s="56" t="str">
        <x:v>45.900002</x:v>
      </x:c>
      <x:c r="K22" s="56" t="str">
        <x:v>330.10001</x:v>
      </x:c>
      <x:c r="L22" s="56" t="str">
        <x:v>V</x:v>
      </x:c>
      <x:c r="M22" s="59" t="str"/>
      <x:c r="N22" s="56" t="n">
        <x:f>--(LEN(M22)&gt;0)</x:f>
        <x:v>0</x:v>
      </x:c>
      <x:c r="O22" s="56" t="n">
        <x:v>0</x:v>
      </x:c>
      <x:c r="P22" s="56" t="n">
        <x:f>--(N22=O22)</x:f>
        <x:v>1</x:v>
      </x:c>
      <x:c r="Q22" s="56" t="str">
        <x:v>ABSTAIN_INSUFFICIENT</x:v>
      </x:c>
      <x:c r="R22" s="59" t="str"/>
      <x:c r="S22" s="59" t="str"/>
      <x:c r="T22" s="56" t="n">
        <x:f>--(Q22="PRESENT")</x:f>
        <x:v>0</x:v>
      </x:c>
      <x:c r="U22" s="56" t="n">
        <x:f>--(T22=N22)</x:f>
        <x:v>1</x:v>
      </x:c>
      <x:c r="V22" s="56" t="n">
        <x:f>--(T22=O22)</x:f>
        <x:v>1</x:v>
      </x:c>
      <x:c r="W22" s="56" t="n">
        <x:f>--(OR(Q22="PRESENT",Q22="ABSENT"))</x:f>
        <x:v>0</x:v>
      </x:c>
      <x:c r="X22" s="56" t="str">
        <x:v>LOW</x:v>
      </x:c>
      <x:c r="Y22" s="56" t="str">
        <x:v>METADATA_UNIQUE</x:v>
      </x:c>
      <x:c r="Z22" s="57" t="b">
        <x:v>1</x:v>
      </x:c>
      <x:c r="AA22" s="57" t="b">
        <x:v>1</x:v>
      </x:c>
      <x:c r="AB22" s="56" t="n">
        <x:v>0</x:v>
      </x:c>
      <x:c r="AC22" s="56" t="str"/>
      <x:c r="AD22" s="56" t="str"/>
      <x:c r="AE22" s="56" t="str"/>
      <x:c r="AF22" s="56" t="str"/>
      <x:c r="AG22" s="59" t="str"/>
      <x:c r="AH22" s="58" t="n">
        <x:v>0.24973219923485804</x:v>
      </x:c>
      <x:c r="AI22" s="56" t="n">
        <x:f>--(AH22&gt;=0.5)</x:f>
        <x:v>0</x:v>
      </x:c>
      <x:c r="AJ22" s="56" t="n">
        <x:f>--(AI22=O22)</x:f>
        <x:v>1</x:v>
      </x:c>
      <x:c r="AK22" s="58" t="n">
        <x:v>0.24973219923485804</x:v>
      </x:c>
      <x:c r="AL22" s="56" t="n">
        <x:f>--(AK22&gt;=0.5)</x:f>
        <x:v>0</x:v>
      </x:c>
      <x:c r="AM22" s="56" t="n">
        <x:f>--(AL22=O22)</x:f>
        <x:v>1</x:v>
      </x:c>
    </x:row>
    <x:row r="23" ht="32" customHeight="1">
      <x:c r="A23" s="56" t="str">
        <x:v>1177</x:v>
      </x:c>
      <x:c r="B23" s="56" t="str">
        <x:v>84</x:v>
      </x:c>
      <x:c r="C23" s="56" t="str">
        <x:v>69</x:v>
      </x:c>
      <x:c r="D23" s="56" t="str">
        <x:v>Prospect dolerite</x:v>
      </x:c>
      <x:c r="E23" s="56" t="str">
        <x:v>-33.799999</x:v>
      </x:c>
      <x:c r="F23" s="56" t="str">
        <x:v>150.89999</x:v>
      </x:c>
      <x:c r="G23" s="56" t="str">
        <x:v>High temp.</x:v>
      </x:c>
      <x:c r="H23" s="56" t="str">
        <x:v>322.10001</x:v>
      </x:c>
      <x:c r="I23" s="56" t="str">
        <x:v>-74.900002</x:v>
      </x:c>
      <x:c r="J23" s="56" t="str">
        <x:v>53</x:v>
      </x:c>
      <x:c r="K23" s="56" t="str">
        <x:v>359.60001</x:v>
      </x:c>
      <x:c r="L23" s="56" t="str">
        <x:v>V</x:v>
      </x:c>
      <x:c r="M23" s="59" t="str"/>
      <x:c r="N23" s="56" t="n">
        <x:f>--(LEN(M23)&gt;0)</x:f>
        <x:v>0</x:v>
      </x:c>
      <x:c r="O23" s="56" t="n">
        <x:v>0</x:v>
      </x:c>
      <x:c r="P23" s="56" t="n">
        <x:f>--(N23=O23)</x:f>
        <x:v>1</x:v>
      </x:c>
      <x:c r="Q23" s="56" t="str">
        <x:v>ABSTAIN_INSUFFICIENT</x:v>
      </x:c>
      <x:c r="R23" s="59" t="str"/>
      <x:c r="S23" s="59" t="str"/>
      <x:c r="T23" s="56" t="n">
        <x:f>--(Q23="PRESENT")</x:f>
        <x:v>0</x:v>
      </x:c>
      <x:c r="U23" s="56" t="n">
        <x:f>--(T23=N23)</x:f>
        <x:v>1</x:v>
      </x:c>
      <x:c r="V23" s="56" t="n">
        <x:f>--(T23=O23)</x:f>
        <x:v>1</x:v>
      </x:c>
      <x:c r="W23" s="56" t="n">
        <x:f>--(OR(Q23="PRESENT",Q23="ABSENT"))</x:f>
        <x:v>0</x:v>
      </x:c>
      <x:c r="X23" s="56" t="str">
        <x:v>LOW</x:v>
      </x:c>
      <x:c r="Y23" s="56" t="str">
        <x:v>METADATA_UNIQUE</x:v>
      </x:c>
      <x:c r="Z23" s="57" t="b">
        <x:v>1</x:v>
      </x:c>
      <x:c r="AA23" s="57" t="b">
        <x:v>1</x:v>
      </x:c>
      <x:c r="AB23" s="56" t="n">
        <x:v>1</x:v>
      </x:c>
      <x:c r="AC23" s="56" t="str"/>
      <x:c r="AD23" s="56" t="str"/>
      <x:c r="AE23" s="56" t="str"/>
      <x:c r="AF23" s="56" t="str"/>
      <x:c r="AG23" s="59" t="str"/>
      <x:c r="AH23" s="58" t="n">
        <x:v>0.1323302265168097</x:v>
      </x:c>
      <x:c r="AI23" s="56" t="n">
        <x:f>--(AH23&gt;=0.5)</x:f>
        <x:v>0</x:v>
      </x:c>
      <x:c r="AJ23" s="56" t="n">
        <x:f>--(AI23=O23)</x:f>
        <x:v>1</x:v>
      </x:c>
      <x:c r="AK23" s="58" t="n">
        <x:v>0.13233022651680967</x:v>
      </x:c>
      <x:c r="AL23" s="56" t="n">
        <x:f>--(AK23&gt;=0.5)</x:f>
        <x:v>0</x:v>
      </x:c>
      <x:c r="AM23" s="56" t="n">
        <x:f>--(AL23=O23)</x:f>
        <x:v>1</x:v>
      </x:c>
    </x:row>
    <x:row r="24" ht="32" customHeight="1">
      <x:c r="A24" s="56" t="str">
        <x:v>1177</x:v>
      </x:c>
      <x:c r="B24" s="56" t="str">
        <x:v>85</x:v>
      </x:c>
      <x:c r="C24" s="56" t="str">
        <x:v>69</x:v>
      </x:c>
      <x:c r="D24" s="56" t="str">
        <x:v>Prospect dolerite</x:v>
      </x:c>
      <x:c r="E24" s="56" t="str">
        <x:v>-33.799999</x:v>
      </x:c>
      <x:c r="F24" s="56" t="str">
        <x:v>150.89999</x:v>
      </x:c>
      <x:c r="G24" s="56" t="str">
        <x:v>Low temp.</x:v>
      </x:c>
      <x:c r="H24" s="56" t="str">
        <x:v>9.6999998</x:v>
      </x:c>
      <x:c r="I24" s="56" t="str">
        <x:v>-74.5</x:v>
      </x:c>
      <x:c r="J24" s="56" t="str">
        <x:v>60.700001</x:v>
      </x:c>
      <x:c r="K24" s="56" t="str">
        <x:v>322.39999</x:v>
      </x:c>
      <x:c r="L24" s="56" t="str">
        <x:v>V</x:v>
      </x:c>
      <x:c r="M24" s="59" t="str"/>
      <x:c r="N24" s="56" t="n">
        <x:f>--(LEN(M24)&gt;0)</x:f>
        <x:v>0</x:v>
      </x:c>
      <x:c r="O24" s="56" t="n">
        <x:v>0</x:v>
      </x:c>
      <x:c r="P24" s="56" t="n">
        <x:f>--(N24=O24)</x:f>
        <x:v>1</x:v>
      </x:c>
      <x:c r="Q24" s="56" t="str">
        <x:v>ABSTAIN_INSUFFICIENT</x:v>
      </x:c>
      <x:c r="R24" s="59" t="str"/>
      <x:c r="S24" s="59" t="str"/>
      <x:c r="T24" s="56" t="n">
        <x:f>--(Q24="PRESENT")</x:f>
        <x:v>0</x:v>
      </x:c>
      <x:c r="U24" s="56" t="n">
        <x:f>--(T24=N24)</x:f>
        <x:v>1</x:v>
      </x:c>
      <x:c r="V24" s="56" t="n">
        <x:f>--(T24=O24)</x:f>
        <x:v>1</x:v>
      </x:c>
      <x:c r="W24" s="56" t="n">
        <x:f>--(OR(Q24="PRESENT",Q24="ABSENT"))</x:f>
        <x:v>0</x:v>
      </x:c>
      <x:c r="X24" s="56" t="str">
        <x:v>LOW</x:v>
      </x:c>
      <x:c r="Y24" s="56" t="str">
        <x:v>METADATA_UNIQUE</x:v>
      </x:c>
      <x:c r="Z24" s="57" t="b">
        <x:v>1</x:v>
      </x:c>
      <x:c r="AA24" s="57" t="b">
        <x:v>1</x:v>
      </x:c>
      <x:c r="AB24" s="56" t="n">
        <x:v>1</x:v>
      </x:c>
      <x:c r="AC24" s="56" t="str"/>
      <x:c r="AD24" s="56" t="str"/>
      <x:c r="AE24" s="56" t="str"/>
      <x:c r="AF24" s="56" t="str"/>
      <x:c r="AG24" s="59" t="str"/>
      <x:c r="AH24" s="58" t="n">
        <x:v>0.1323302265168097</x:v>
      </x:c>
      <x:c r="AI24" s="56" t="n">
        <x:f>--(AH24&gt;=0.5)</x:f>
        <x:v>0</x:v>
      </x:c>
      <x:c r="AJ24" s="56" t="n">
        <x:f>--(AI24=O24)</x:f>
        <x:v>1</x:v>
      </x:c>
      <x:c r="AK24" s="58" t="n">
        <x:v>0.13233022651680967</x:v>
      </x:c>
      <x:c r="AL24" s="56" t="n">
        <x:f>--(AK24&gt;=0.5)</x:f>
        <x:v>0</x:v>
      </x:c>
      <x:c r="AM24" s="56" t="n">
        <x:f>--(AL24=O24)</x:f>
        <x:v>1</x:v>
      </x:c>
    </x:row>
    <x:row r="25" ht="32" customHeight="1">
      <x:c r="A25" s="56" t="str">
        <x:v>1177</x:v>
      </x:c>
      <x:c r="B25" s="56" t="str">
        <x:v>86</x:v>
      </x:c>
      <x:c r="C25" s="56" t="str">
        <x:v>70</x:v>
      </x:c>
      <x:c r="D25" s="56" t="str">
        <x:v>Dundas Breccia pipe</x:v>
      </x:c>
      <x:c r="E25" s="56" t="str">
        <x:v>-33.799999</x:v>
      </x:c>
      <x:c r="F25" s="56" t="str">
        <x:v>151.10001</x:v>
      </x:c>
      <x:c r="G25" s="56" t="str">
        <x:v>High temp.</x:v>
      </x:c>
      <x:c r="H25" s="56" t="str">
        <x:v>97.699997</x:v>
      </x:c>
      <x:c r="I25" s="56" t="str">
        <x:v>69.5</x:v>
      </x:c>
      <x:c r="J25" s="56" t="str">
        <x:v>30.700001</x:v>
      </x:c>
      <x:c r="K25" s="56" t="str">
        <x:v>14.8</x:v>
      </x:c>
      <x:c r="L25" s="56" t="str">
        <x:v>V</x:v>
      </x:c>
      <x:c r="M25" s="59" t="str">
        <x:v>Low temp.isotropic point at -155C.</x:v>
      </x:c>
      <x:c r="N25" s="56" t="n">
        <x:f>--(LEN(M25)&gt;0)</x:f>
        <x:v>1</x:v>
      </x:c>
      <x:c r="O25" s="56" t="n">
        <x:v>1</x:v>
      </x:c>
      <x:c r="P25" s="56" t="n">
        <x:f>--(N25=O25)</x:f>
        <x:v>1</x:v>
      </x:c>
      <x:c r="Q25" s="56" t="str">
        <x:v>PRESENT</x:v>
      </x:c>
      <x:c r="R25" s="59" t="str">
        <x:v>SUSC-T(MAGN,TM)</x:v>
      </x:c>
      <x:c r="S25" s="59" t="str">
        <x:v>SUSC-T(MAGN,TM)</x:v>
      </x:c>
      <x:c r="T25" s="56" t="n">
        <x:f>--(Q25="PRESENT")</x:f>
        <x:v>1</x:v>
      </x:c>
      <x:c r="U25" s="56" t="n">
        <x:f>--(T25=N25)</x:f>
        <x:v>1</x:v>
      </x:c>
      <x:c r="V25" s="56" t="n">
        <x:f>--(T25=O25)</x:f>
        <x:v>1</x:v>
      </x:c>
      <x:c r="W25" s="56" t="n">
        <x:f>--(OR(Q25="PRESENT",Q25="ABSENT"))</x:f>
        <x:v>1</x:v>
      </x:c>
      <x:c r="X25" s="56" t="str">
        <x:v>MEDIUM</x:v>
      </x:c>
      <x:c r="Y25" s="56" t="str">
        <x:v>METADATA_UNIQUE</x:v>
      </x:c>
      <x:c r="Z25" s="57" t="b">
        <x:v>1</x:v>
      </x:c>
      <x:c r="AA25" s="57" t="b">
        <x:v>1</x:v>
      </x:c>
      <x:c r="AB25" s="56" t="n">
        <x:v>1</x:v>
      </x:c>
      <x:c r="AC25" s="56" t="str">
        <x:v>SUSC-T</x:v>
      </x:c>
      <x:c r="AD25" s="56" t="str">
        <x:v>MAGN,TM</x:v>
      </x:c>
      <x:c r="AE25" s="56" t="str"/>
      <x:c r="AF25" s="56" t="str">
        <x:v>16, 17</x:v>
      </x:c>
      <x:c r="AG25" s="59" t="str">
        <x:v>p.17: susceptibility versus temperature | p.16: magnetite | p.17: titanomagnetite</x:v>
      </x:c>
      <x:c r="AH25" s="58" t="n">
        <x:v>0.22645257623674894</x:v>
      </x:c>
      <x:c r="AI25" s="56" t="n">
        <x:f>--(AH25&gt;=0.5)</x:f>
        <x:v>0</x:v>
      </x:c>
      <x:c r="AJ25" s="56" t="n">
        <x:f>--(AI25=O25)</x:f>
        <x:v>0</x:v>
      </x:c>
      <x:c r="AK25" s="58" t="n">
        <x:v>0.22645257623674891</x:v>
      </x:c>
      <x:c r="AL25" s="56" t="n">
        <x:f>--(AK25&gt;=0.5)</x:f>
        <x:v>0</x:v>
      </x:c>
      <x:c r="AM25" s="56" t="n">
        <x:f>--(AL25=O25)</x:f>
        <x:v>0</x:v>
      </x:c>
    </x:row>
    <x:row r="26" ht="32" customHeight="1">
      <x:c r="A26" s="56" t="str">
        <x:v>1177</x:v>
      </x:c>
      <x:c r="B26" s="56" t="str">
        <x:v>87</x:v>
      </x:c>
      <x:c r="C26" s="56" t="str">
        <x:v>70</x:v>
      </x:c>
      <x:c r="D26" s="56" t="str">
        <x:v>Dundas Breccia pipe</x:v>
      </x:c>
      <x:c r="E26" s="56" t="str">
        <x:v>-33.799999</x:v>
      </x:c>
      <x:c r="F26" s="56" t="str">
        <x:v>151.10001</x:v>
      </x:c>
      <x:c r="G26" s="56" t="str">
        <x:v>Low temp.</x:v>
      </x:c>
      <x:c r="H26" s="56" t="str">
        <x:v>345.70001</x:v>
      </x:c>
      <x:c r="I26" s="56" t="str">
        <x:v>-76.699997</x:v>
      </x:c>
      <x:c r="J26" s="56" t="str">
        <x:v>57.700001</x:v>
      </x:c>
      <x:c r="K26" s="56" t="str">
        <x:v>342.10001</x:v>
      </x:c>
      <x:c r="L26" s="56" t="str">
        <x:v>V</x:v>
      </x:c>
      <x:c r="M26" s="59" t="str">
        <x:v>Low temperature isotropic point at -155C.</x:v>
      </x:c>
      <x:c r="N26" s="56" t="n">
        <x:f>--(LEN(M26)&gt;0)</x:f>
        <x:v>1</x:v>
      </x:c>
      <x:c r="O26" s="56" t="n">
        <x:v>1</x:v>
      </x:c>
      <x:c r="P26" s="56" t="n">
        <x:f>--(N26=O26)</x:f>
        <x:v>1</x:v>
      </x:c>
      <x:c r="Q26" s="56" t="str">
        <x:v>PRESENT</x:v>
      </x:c>
      <x:c r="R26" s="59" t="str">
        <x:v>SUSC-T(MAGN,TM)</x:v>
      </x:c>
      <x:c r="S26" s="59" t="str">
        <x:v>SUSC-T(MAGN,TM)</x:v>
      </x:c>
      <x:c r="T26" s="56" t="n">
        <x:f>--(Q26="PRESENT")</x:f>
        <x:v>1</x:v>
      </x:c>
      <x:c r="U26" s="56" t="n">
        <x:f>--(T26=N26)</x:f>
        <x:v>1</x:v>
      </x:c>
      <x:c r="V26" s="56" t="n">
        <x:f>--(T26=O26)</x:f>
        <x:v>1</x:v>
      </x:c>
      <x:c r="W26" s="56" t="n">
        <x:f>--(OR(Q26="PRESENT",Q26="ABSENT"))</x:f>
        <x:v>1</x:v>
      </x:c>
      <x:c r="X26" s="56" t="str">
        <x:v>MEDIUM</x:v>
      </x:c>
      <x:c r="Y26" s="56" t="str">
        <x:v>METADATA_UNIQUE</x:v>
      </x:c>
      <x:c r="Z26" s="57" t="b">
        <x:v>1</x:v>
      </x:c>
      <x:c r="AA26" s="57" t="b">
        <x:v>1</x:v>
      </x:c>
      <x:c r="AB26" s="56" t="n">
        <x:v>1</x:v>
      </x:c>
      <x:c r="AC26" s="56" t="str">
        <x:v>SUSC-T</x:v>
      </x:c>
      <x:c r="AD26" s="56" t="str">
        <x:v>MAGN,TM</x:v>
      </x:c>
      <x:c r="AE26" s="56" t="str"/>
      <x:c r="AF26" s="56" t="str">
        <x:v>16, 17</x:v>
      </x:c>
      <x:c r="AG26" s="59" t="str">
        <x:v>p.17: susceptibility versus temperature | p.16: magnetite | p.17: titanomagnetite</x:v>
      </x:c>
      <x:c r="AH26" s="58" t="n">
        <x:v>0.22645257623674894</x:v>
      </x:c>
      <x:c r="AI26" s="56" t="n">
        <x:f>--(AH26&gt;=0.5)</x:f>
        <x:v>0</x:v>
      </x:c>
      <x:c r="AJ26" s="56" t="n">
        <x:f>--(AI26=O26)</x:f>
        <x:v>0</x:v>
      </x:c>
      <x:c r="AK26" s="58" t="n">
        <x:v>0.22645257623674891</x:v>
      </x:c>
      <x:c r="AL26" s="56" t="n">
        <x:f>--(AK26&gt;=0.5)</x:f>
        <x:v>0</x:v>
      </x:c>
      <x:c r="AM26" s="56" t="n">
        <x:f>--(AL26=O26)</x:f>
        <x:v>0</x:v>
      </x:c>
    </x:row>
    <x:row r="27" ht="32" customHeight="1">
      <x:c r="A27" s="56" t="str">
        <x:v>1187</x:v>
      </x:c>
      <x:c r="B27" s="56" t="str">
        <x:v>106</x:v>
      </x:c>
      <x:c r="C27" s="56" t="str">
        <x:v>85</x:v>
      </x:c>
      <x:c r="D27" s="56" t="str">
        <x:v>Borrolan Ledmorite</x:v>
      </x:c>
      <x:c r="E27" s="56" t="str">
        <x:v>58.099998</x:v>
      </x:c>
      <x:c r="F27" s="56" t="str">
        <x:v>-5</x:v>
      </x:c>
      <x:c r="G27" s="56" t="str"/>
      <x:c r="H27" s="56" t="str">
        <x:v>344.39999</x:v>
      </x:c>
      <x:c r="I27" s="56" t="str">
        <x:v>-37.200001</x:v>
      </x:c>
      <x:c r="J27" s="56" t="str">
        <x:v>10</x:v>
      </x:c>
      <x:c r="K27" s="56" t="str">
        <x:v>189.7</x:v>
      </x:c>
      <x:c r="L27" s="56" t="str">
        <x:v>D</x:v>
      </x:c>
      <x:c r="M27" s="59" t="str">
        <x:v>Js-T,Hysteresis.</x:v>
      </x:c>
      <x:c r="N27" s="56" t="n">
        <x:f>--(LEN(M27)&gt;0)</x:f>
        <x:v>1</x:v>
      </x:c>
      <x:c r="O27" s="56" t="n">
        <x:v>1</x:v>
      </x:c>
      <x:c r="P27" s="56" t="n">
        <x:f>--(N27=O27)</x:f>
        <x:v>1</x:v>
      </x:c>
      <x:c r="Q27" s="56" t="str">
        <x:v>PRESENT</x:v>
      </x:c>
      <x:c r="R27" s="59" t="str">
        <x:v>OP(MAGN)</x:v>
      </x:c>
      <x:c r="S27" s="59" t="str">
        <x:v>OP(MAGN)</x:v>
      </x:c>
      <x:c r="T27" s="56" t="n">
        <x:f>--(Q27="PRESENT")</x:f>
        <x:v>1</x:v>
      </x:c>
      <x:c r="U27" s="56" t="n">
        <x:f>--(T27=N27)</x:f>
        <x:v>1</x:v>
      </x:c>
      <x:c r="V27" s="56" t="n">
        <x:f>--(T27=O27)</x:f>
        <x:v>1</x:v>
      </x:c>
      <x:c r="W27" s="56" t="n">
        <x:f>--(OR(Q27="PRESENT",Q27="ABSENT"))</x:f>
        <x:v>1</x:v>
      </x:c>
      <x:c r="X27" s="56" t="str">
        <x:v>MEDIUM</x:v>
      </x:c>
      <x:c r="Y27" s="56" t="str">
        <x:v>METADATA_UNIQUE</x:v>
      </x:c>
      <x:c r="Z27" s="57" t="b">
        <x:v>1</x:v>
      </x:c>
      <x:c r="AA27" s="57" t="b">
        <x:v>1</x:v>
      </x:c>
      <x:c r="AB27" s="56" t="n">
        <x:v>0</x:v>
      </x:c>
      <x:c r="AC27" s="56" t="str">
        <x:v>OP</x:v>
      </x:c>
      <x:c r="AD27" s="56" t="str">
        <x:v>MAGN</x:v>
      </x:c>
      <x:c r="AE27" s="56" t="str"/>
      <x:c r="AF27" s="56" t="str">
        <x:v>6</x:v>
      </x:c>
      <x:c r="AG27" s="59" t="str">
        <x:v>p.6: thin section | p.6: magnetite</x:v>
      </x:c>
      <x:c r="AH27" s="58" t="n">
        <x:v>0.7292584321978253</x:v>
      </x:c>
      <x:c r="AI27" s="56" t="n">
        <x:f>--(AH27&gt;=0.5)</x:f>
        <x:v>1</x:v>
      </x:c>
      <x:c r="AJ27" s="56" t="n">
        <x:f>--(AI27=O27)</x:f>
        <x:v>1</x:v>
      </x:c>
      <x:c r="AK27" s="58" t="n">
        <x:v>0.6621746349085621</x:v>
      </x:c>
      <x:c r="AL27" s="56" t="n">
        <x:f>--(AK27&gt;=0.5)</x:f>
        <x:v>1</x:v>
      </x:c>
      <x:c r="AM27" s="56" t="n">
        <x:f>--(AL27=O27)</x:f>
        <x:v>1</x:v>
      </x:c>
    </x:row>
    <x:row r="28" ht="32" customHeight="1">
      <x:c r="A28" s="56" t="str">
        <x:v>1187</x:v>
      </x:c>
      <x:c r="B28" s="56" t="str">
        <x:v>107</x:v>
      </x:c>
      <x:c r="C28" s="56" t="str">
        <x:v>86</x:v>
      </x:c>
      <x:c r="D28" s="56" t="str">
        <x:v>Borrolan pseudoleucite</x:v>
      </x:c>
      <x:c r="E28" s="56" t="str">
        <x:v>58</x:v>
      </x:c>
      <x:c r="F28" s="56" t="str">
        <x:v>-4.9000001</x:v>
      </x:c>
      <x:c r="G28" s="56" t="str"/>
      <x:c r="H28" s="56" t="str">
        <x:v>357.20001</x:v>
      </x:c>
      <x:c r="I28" s="56" t="str">
        <x:v>-16.299999</x:v>
      </x:c>
      <x:c r="J28" s="56" t="str">
        <x:v>23.6</x:v>
      </x:c>
      <x:c r="K28" s="56" t="str">
        <x:v>178</x:v>
      </x:c>
      <x:c r="L28" s="56" t="str">
        <x:v>D</x:v>
      </x:c>
      <x:c r="M28" s="59" t="str">
        <x:v>Js-T,Hysteresis</x:v>
      </x:c>
      <x:c r="N28" s="56" t="n">
        <x:f>--(LEN(M28)&gt;0)</x:f>
        <x:v>1</x:v>
      </x:c>
      <x:c r="O28" s="56" t="n">
        <x:v>1</x:v>
      </x:c>
      <x:c r="P28" s="56" t="n">
        <x:f>--(N28=O28)</x:f>
        <x:v>1</x:v>
      </x:c>
      <x:c r="Q28" s="56" t="str">
        <x:v>ABSTAIN_INSUFFICIENT</x:v>
      </x:c>
      <x:c r="R28" s="59" t="str"/>
      <x:c r="S28" s="59" t="str"/>
      <x:c r="T28" s="56" t="n">
        <x:f>--(Q28="PRESENT")</x:f>
        <x:v>0</x:v>
      </x:c>
      <x:c r="U28" s="56" t="n">
        <x:f>--(T28=N28)</x:f>
        <x:v>0</x:v>
      </x:c>
      <x:c r="V28" s="56" t="n">
        <x:f>--(T28=O28)</x:f>
        <x:v>0</x:v>
      </x:c>
      <x:c r="W28" s="56" t="n">
        <x:f>--(OR(Q28="PRESENT",Q28="ABSENT"))</x:f>
        <x:v>0</x:v>
      </x:c>
      <x:c r="X28" s="56" t="str">
        <x:v>LOW</x:v>
      </x:c>
      <x:c r="Y28" s="56" t="str">
        <x:v>METADATA_UNIQUE</x:v>
      </x:c>
      <x:c r="Z28" s="57" t="b">
        <x:v>1</x:v>
      </x:c>
      <x:c r="AA28" s="57" t="b">
        <x:v>1</x:v>
      </x:c>
      <x:c r="AB28" s="56" t="n">
        <x:v>0</x:v>
      </x:c>
      <x:c r="AC28" s="56" t="str"/>
      <x:c r="AD28" s="56" t="str"/>
      <x:c r="AE28" s="56" t="str"/>
      <x:c r="AF28" s="56" t="str"/>
      <x:c r="AG28" s="59" t="str"/>
      <x:c r="AH28" s="58" t="n">
        <x:v>0.7371117541286285</x:v>
      </x:c>
      <x:c r="AI28" s="56" t="n">
        <x:f>--(AH28&gt;=0.5)</x:f>
        <x:v>1</x:v>
      </x:c>
      <x:c r="AJ28" s="56" t="n">
        <x:f>--(AI28=O28)</x:f>
        <x:v>1</x:v>
      </x:c>
      <x:c r="AK28" s="58" t="n">
        <x:v>0.6920637687029382</x:v>
      </x:c>
      <x:c r="AL28" s="56" t="n">
        <x:f>--(AK28&gt;=0.5)</x:f>
        <x:v>1</x:v>
      </x:c>
      <x:c r="AM28" s="56" t="n">
        <x:f>--(AL28=O28)</x:f>
        <x:v>1</x:v>
      </x:c>
    </x:row>
    <x:row r="29" ht="32" customHeight="1">
      <x:c r="A29" s="56" t="str">
        <x:v>1187</x:v>
      </x:c>
      <x:c r="B29" s="56" t="str">
        <x:v>108</x:v>
      </x:c>
      <x:c r="C29" s="56" t="str">
        <x:v>87</x:v>
      </x:c>
      <x:c r="D29" s="56" t="str">
        <x:v>Borrolan syenite</x:v>
      </x:c>
      <x:c r="E29" s="56" t="str">
        <x:v>58</x:v>
      </x:c>
      <x:c r="F29" s="56" t="str">
        <x:v>-4.9000001</x:v>
      </x:c>
      <x:c r="G29" s="56" t="str"/>
      <x:c r="H29" s="56" t="str">
        <x:v>26.9</x:v>
      </x:c>
      <x:c r="I29" s="56" t="str">
        <x:v>-19.4</x:v>
      </x:c>
      <x:c r="J29" s="56" t="str">
        <x:v>18.4</x:v>
      </x:c>
      <x:c r="K29" s="56" t="str">
        <x:v>146.89999</x:v>
      </x:c>
      <x:c r="L29" s="56" t="str">
        <x:v>D</x:v>
      </x:c>
      <x:c r="M29" s="59" t="str">
        <x:v>Js-T,Hysteresis</x:v>
      </x:c>
      <x:c r="N29" s="56" t="n">
        <x:f>--(LEN(M29)&gt;0)</x:f>
        <x:v>1</x:v>
      </x:c>
      <x:c r="O29" s="56" t="n">
        <x:v>1</x:v>
      </x:c>
      <x:c r="P29" s="56" t="n">
        <x:f>--(N29=O29)</x:f>
        <x:v>1</x:v>
      </x:c>
      <x:c r="Q29" s="56" t="str">
        <x:v>PRESENT</x:v>
      </x:c>
      <x:c r="R29" s="59" t="str">
        <x:v>OP(MAGN,HEM)</x:v>
      </x:c>
      <x:c r="S29" s="59" t="str">
        <x:v>OP(MAGN,HEM)</x:v>
      </x:c>
      <x:c r="T29" s="56" t="n">
        <x:f>--(Q29="PRESENT")</x:f>
        <x:v>1</x:v>
      </x:c>
      <x:c r="U29" s="56" t="n">
        <x:f>--(T29=N29)</x:f>
        <x:v>1</x:v>
      </x:c>
      <x:c r="V29" s="56" t="n">
        <x:f>--(T29=O29)</x:f>
        <x:v>1</x:v>
      </x:c>
      <x:c r="W29" s="56" t="n">
        <x:f>--(OR(Q29="PRESENT",Q29="ABSENT"))</x:f>
        <x:v>1</x:v>
      </x:c>
      <x:c r="X29" s="56" t="str">
        <x:v>MEDIUM</x:v>
      </x:c>
      <x:c r="Y29" s="56" t="str">
        <x:v>METADATA_UNIQUE</x:v>
      </x:c>
      <x:c r="Z29" s="57" t="b">
        <x:v>1</x:v>
      </x:c>
      <x:c r="AA29" s="57" t="b">
        <x:v>1</x:v>
      </x:c>
      <x:c r="AB29" s="56" t="n">
        <x:v>0</x:v>
      </x:c>
      <x:c r="AC29" s="56" t="str">
        <x:v>OP</x:v>
      </x:c>
      <x:c r="AD29" s="56" t="str">
        <x:v>MAGN,HEM</x:v>
      </x:c>
      <x:c r="AE29" s="56" t="str"/>
      <x:c r="AF29" s="56" t="str">
        <x:v>5, 6</x:v>
      </x:c>
      <x:c r="AG29" s="59" t="str">
        <x:v>p.6: thin section | p.5: magnetite | p.6: magnetite</x:v>
      </x:c>
      <x:c r="AH29" s="58" t="n">
        <x:v>0.8039539096965017</x:v>
      </x:c>
      <x:c r="AI29" s="56" t="n">
        <x:f>--(AH29&gt;=0.5)</x:f>
        <x:v>1</x:v>
      </x:c>
      <x:c r="AJ29" s="56" t="n">
        <x:f>--(AI29=O29)</x:f>
        <x:v>1</x:v>
      </x:c>
      <x:c r="AK29" s="58" t="n">
        <x:v>0.7223092371981283</x:v>
      </x:c>
      <x:c r="AL29" s="56" t="n">
        <x:f>--(AK29&gt;=0.5)</x:f>
        <x:v>1</x:v>
      </x:c>
      <x:c r="AM29" s="56" t="n">
        <x:f>--(AL29=O29)</x:f>
        <x:v>1</x:v>
      </x:c>
    </x:row>
    <x:row r="30" ht="32" customHeight="1">
      <x:c r="A30" s="56" t="str">
        <x:v>1187</x:v>
      </x:c>
      <x:c r="B30" s="56" t="str">
        <x:v>109</x:v>
      </x:c>
      <x:c r="C30" s="56" t="str">
        <x:v>88</x:v>
      </x:c>
      <x:c r="D30" s="56" t="str">
        <x:v>Ben Loyal syenite complex</x:v>
      </x:c>
      <x:c r="E30" s="56" t="str">
        <x:v>58.400002</x:v>
      </x:c>
      <x:c r="F30" s="56" t="str">
        <x:v>-4.4000001</x:v>
      </x:c>
      <x:c r="G30" s="56" t="str"/>
      <x:c r="H30" s="56" t="str">
        <x:v>357.20001</x:v>
      </x:c>
      <x:c r="I30" s="56" t="str">
        <x:v>-45.900002</x:v>
      </x:c>
      <x:c r="J30" s="56" t="str">
        <x:v>4.1999998</x:v>
      </x:c>
      <x:c r="K30" s="56" t="str">
        <x:v>178</x:v>
      </x:c>
      <x:c r="L30" s="56" t="str">
        <x:v>D</x:v>
      </x:c>
      <x:c r="M30" s="59" t="str"/>
      <x:c r="N30" s="56" t="n">
        <x:f>--(LEN(M30)&gt;0)</x:f>
        <x:v>0</x:v>
      </x:c>
      <x:c r="O30" s="56" t="n">
        <x:v>0</x:v>
      </x:c>
      <x:c r="P30" s="56" t="n">
        <x:f>--(N30=O30)</x:f>
        <x:v>1</x:v>
      </x:c>
      <x:c r="Q30" s="56" t="str">
        <x:v>PRESENT</x:v>
      </x:c>
      <x:c r="R30" s="59" t="str">
        <x:v>HYST(MAGN,TM,HEM)</x:v>
      </x:c>
      <x:c r="S30" s="59" t="str">
        <x:v>HYST(MAGN,TM,HEM)</x:v>
      </x:c>
      <x:c r="T30" s="56" t="n">
        <x:f>--(Q30="PRESENT")</x:f>
        <x:v>1</x:v>
      </x:c>
      <x:c r="U30" s="56" t="n">
        <x:f>--(T30=N30)</x:f>
        <x:v>0</x:v>
      </x:c>
      <x:c r="V30" s="56" t="n">
        <x:f>--(T30=O30)</x:f>
        <x:v>0</x:v>
      </x:c>
      <x:c r="W30" s="56" t="n">
        <x:f>--(OR(Q30="PRESENT",Q30="ABSENT"))</x:f>
        <x:v>1</x:v>
      </x:c>
      <x:c r="X30" s="56" t="str">
        <x:v>MEDIUM</x:v>
      </x:c>
      <x:c r="Y30" s="56" t="str">
        <x:v>METADATA_UNIQUE</x:v>
      </x:c>
      <x:c r="Z30" s="57" t="b">
        <x:v>1</x:v>
      </x:c>
      <x:c r="AA30" s="57" t="b">
        <x:v>1</x:v>
      </x:c>
      <x:c r="AB30" s="56" t="n">
        <x:v>0</x:v>
      </x:c>
      <x:c r="AC30" s="56" t="str">
        <x:v>HYST</x:v>
      </x:c>
      <x:c r="AD30" s="56" t="str">
        <x:v>MAGN,TM,HEM</x:v>
      </x:c>
      <x:c r="AE30" s="56" t="str"/>
      <x:c r="AF30" s="56" t="str">
        <x:v>4</x:v>
      </x:c>
      <x:c r="AG30" s="59" t="str">
        <x:v>p.4: hysteresis | p.4: magnetite | p.4: titanomagnetite</x:v>
      </x:c>
      <x:c r="AH30" s="58" t="n">
        <x:v>0.6631704997439799</x:v>
      </x:c>
      <x:c r="AI30" s="56" t="n">
        <x:f>--(AH30&gt;=0.5)</x:f>
        <x:v>1</x:v>
      </x:c>
      <x:c r="AJ30" s="56" t="n">
        <x:f>--(AI30=O30)</x:f>
        <x:v>0</x:v>
      </x:c>
      <x:c r="AK30" s="58" t="n">
        <x:v>0.5205960841563163</x:v>
      </x:c>
      <x:c r="AL30" s="56" t="n">
        <x:f>--(AK30&gt;=0.5)</x:f>
        <x:v>1</x:v>
      </x:c>
      <x:c r="AM30" s="56" t="n">
        <x:f>--(AL30=O30)</x:f>
        <x:v>0</x:v>
      </x:c>
    </x:row>
    <x:row r="31" ht="32" customHeight="1">
      <x:c r="A31" s="56" t="str">
        <x:v>1187</x:v>
      </x:c>
      <x:c r="B31" s="56" t="str">
        <x:v>110</x:v>
      </x:c>
      <x:c r="C31" s="56" t="str">
        <x:v>89</x:v>
      </x:c>
      <x:c r="D31" s="56" t="str">
        <x:v>Loch Ailsh complex</x:v>
      </x:c>
      <x:c r="E31" s="56" t="str">
        <x:v>58.099998</x:v>
      </x:c>
      <x:c r="F31" s="56" t="str">
        <x:v>-4.8000002</x:v>
      </x:c>
      <x:c r="G31" s="56" t="str"/>
      <x:c r="H31" s="56" t="str">
        <x:v>33.099998</x:v>
      </x:c>
      <x:c r="I31" s="56" t="str">
        <x:v>-21.6</x:v>
      </x:c>
      <x:c r="J31" s="56" t="str">
        <x:v>15.6</x:v>
      </x:c>
      <x:c r="K31" s="56" t="str">
        <x:v>141.3</x:v>
      </x:c>
      <x:c r="L31" s="56" t="str">
        <x:v>D</x:v>
      </x:c>
      <x:c r="M31" s="59" t="str">
        <x:v>Js-T,Hysteresis</x:v>
      </x:c>
      <x:c r="N31" s="56" t="n">
        <x:f>--(LEN(M31)&gt;0)</x:f>
        <x:v>1</x:v>
      </x:c>
      <x:c r="O31" s="56" t="n">
        <x:v>1</x:v>
      </x:c>
      <x:c r="P31" s="56" t="n">
        <x:f>--(N31=O31)</x:f>
        <x:v>1</x:v>
      </x:c>
      <x:c r="Q31" s="56" t="str">
        <x:v>PRESENT</x:v>
      </x:c>
      <x:c r="R31" s="59" t="str">
        <x:v>IRM,HYST(MAGN,TM,HEM)</x:v>
      </x:c>
      <x:c r="S31" s="59" t="str">
        <x:v>IRM,HYST(MAGN,TM,HEM)</x:v>
      </x:c>
      <x:c r="T31" s="56" t="n">
        <x:f>--(Q31="PRESENT")</x:f>
        <x:v>1</x:v>
      </x:c>
      <x:c r="U31" s="56" t="n">
        <x:f>--(T31=N31)</x:f>
        <x:v>1</x:v>
      </x:c>
      <x:c r="V31" s="56" t="n">
        <x:f>--(T31=O31)</x:f>
        <x:v>1</x:v>
      </x:c>
      <x:c r="W31" s="56" t="n">
        <x:f>--(OR(Q31="PRESENT",Q31="ABSENT"))</x:f>
        <x:v>1</x:v>
      </x:c>
      <x:c r="X31" s="56" t="str">
        <x:v>MEDIUM</x:v>
      </x:c>
      <x:c r="Y31" s="56" t="str">
        <x:v>METADATA_UNIQUE</x:v>
      </x:c>
      <x:c r="Z31" s="57" t="b">
        <x:v>1</x:v>
      </x:c>
      <x:c r="AA31" s="57" t="b">
        <x:v>1</x:v>
      </x:c>
      <x:c r="AB31" s="56" t="n">
        <x:v>0</x:v>
      </x:c>
      <x:c r="AC31" s="56" t="str">
        <x:v>IRM,HYST</x:v>
      </x:c>
      <x:c r="AD31" s="56" t="str">
        <x:v>MAGN,TM,HEM</x:v>
      </x:c>
      <x:c r="AE31" s="56" t="str">
        <x:v>MD</x:v>
      </x:c>
      <x:c r="AF31" s="56" t="str">
        <x:v>4, 11, 12</x:v>
      </x:c>
      <x:c r="AG31" s="59" t="str">
        <x:v>p.11: The hysteresis curve for B18-7 (Fig. 3) is characteristic of material containing a high proportion of multi-domain titano- magnetite. | p.11: The hysteresis curve for B18-7 (Fig. 3) is characteristic of material containing a high proportion of multi-domain titano- magnetite. | p.4: hysteresis</x:v>
      </x:c>
      <x:c r="AH31" s="58" t="n">
        <x:v>0.7007180828565106</x:v>
      </x:c>
      <x:c r="AI31" s="56" t="n">
        <x:f>--(AH31&gt;=0.5)</x:f>
        <x:v>1</x:v>
      </x:c>
      <x:c r="AJ31" s="56" t="n">
        <x:f>--(AI31=O31)</x:f>
        <x:v>1</x:v>
      </x:c>
      <x:c r="AK31" s="58" t="n">
        <x:v>0.5385371080321744</x:v>
      </x:c>
      <x:c r="AL31" s="56" t="n">
        <x:f>--(AK31&gt;=0.5)</x:f>
        <x:v>1</x:v>
      </x:c>
      <x:c r="AM31" s="56" t="n">
        <x:f>--(AL31=O31)</x:f>
        <x:v>1</x:v>
      </x:c>
    </x:row>
    <x:row r="32" ht="32" customHeight="1">
      <x:c r="A32" s="56" t="str">
        <x:v>1187</x:v>
      </x:c>
      <x:c r="B32" s="56" t="str">
        <x:v>111</x:v>
      </x:c>
      <x:c r="C32" s="56" t="str">
        <x:v>90</x:v>
      </x:c>
      <x:c r="D32" s="56" t="str">
        <x:v>Achmelvich dyke</x:v>
      </x:c>
      <x:c r="E32" s="56" t="str">
        <x:v>58.200001</x:v>
      </x:c>
      <x:c r="F32" s="56" t="str">
        <x:v>-5.3000002</x:v>
      </x:c>
      <x:c r="G32" s="56" t="str"/>
      <x:c r="H32" s="56" t="str">
        <x:v>23.6</x:v>
      </x:c>
      <x:c r="I32" s="56" t="str">
        <x:v>-24.200001</x:v>
      </x:c>
      <x:c r="J32" s="56" t="str">
        <x:v>16.5</x:v>
      </x:c>
      <x:c r="K32" s="56" t="str">
        <x:v>150.60001</x:v>
      </x:c>
      <x:c r="L32" s="56" t="str">
        <x:v>D</x:v>
      </x:c>
      <x:c r="M32" s="59" t="str">
        <x:v>Js-T,Hysteresis</x:v>
      </x:c>
      <x:c r="N32" s="56" t="n">
        <x:f>--(LEN(M32)&gt;0)</x:f>
        <x:v>1</x:v>
      </x:c>
      <x:c r="O32" s="56" t="n">
        <x:v>1</x:v>
      </x:c>
      <x:c r="P32" s="56" t="n">
        <x:f>--(N32=O32)</x:f>
        <x:v>1</x:v>
      </x:c>
      <x:c r="Q32" s="56" t="str">
        <x:v>PRESENT</x:v>
      </x:c>
      <x:c r="R32" s="59" t="str">
        <x:v>HYST(MAGN,TM,HEM)</x:v>
      </x:c>
      <x:c r="S32" s="59" t="str">
        <x:v>HYST(MAGN,TM,HEM)</x:v>
      </x:c>
      <x:c r="T32" s="56" t="n">
        <x:f>--(Q32="PRESENT")</x:f>
        <x:v>1</x:v>
      </x:c>
      <x:c r="U32" s="56" t="n">
        <x:f>--(T32=N32)</x:f>
        <x:v>1</x:v>
      </x:c>
      <x:c r="V32" s="56" t="n">
        <x:f>--(T32=O32)</x:f>
        <x:v>1</x:v>
      </x:c>
      <x:c r="W32" s="56" t="n">
        <x:f>--(OR(Q32="PRESENT",Q32="ABSENT"))</x:f>
        <x:v>1</x:v>
      </x:c>
      <x:c r="X32" s="56" t="str">
        <x:v>MEDIUM</x:v>
      </x:c>
      <x:c r="Y32" s="56" t="str">
        <x:v>METADATA_UNIQUE</x:v>
      </x:c>
      <x:c r="Z32" s="57" t="b">
        <x:v>1</x:v>
      </x:c>
      <x:c r="AA32" s="57" t="b">
        <x:v>1</x:v>
      </x:c>
      <x:c r="AB32" s="56" t="n">
        <x:v>0</x:v>
      </x:c>
      <x:c r="AC32" s="56" t="str">
        <x:v>HYST</x:v>
      </x:c>
      <x:c r="AD32" s="56" t="str">
        <x:v>MAGN,TM,HEM</x:v>
      </x:c>
      <x:c r="AE32" s="56" t="str"/>
      <x:c r="AF32" s="56" t="str">
        <x:v>4</x:v>
      </x:c>
      <x:c r="AG32" s="59" t="str">
        <x:v>p.4: hysteresis | p.4: magnetite | p.4: titanomagnetite</x:v>
      </x:c>
      <x:c r="AH32" s="58" t="n">
        <x:v>0.6558440380823485</x:v>
      </x:c>
      <x:c r="AI32" s="56" t="n">
        <x:f>--(AH32&gt;=0.5)</x:f>
        <x:v>1</x:v>
      </x:c>
      <x:c r="AJ32" s="56" t="n">
        <x:f>--(AI32=O32)</x:f>
        <x:v>1</x:v>
      </x:c>
      <x:c r="AK32" s="58" t="n">
        <x:v>0.822486250809662</x:v>
      </x:c>
      <x:c r="AL32" s="56" t="n">
        <x:f>--(AK32&gt;=0.5)</x:f>
        <x:v>1</x:v>
      </x:c>
      <x:c r="AM32" s="56" t="n">
        <x:f>--(AL32=O32)</x:f>
        <x:v>1</x:v>
      </x:c>
    </x:row>
    <x:row r="33" ht="32" customHeight="1">
      <x:c r="A33" s="56" t="str">
        <x:v>1187</x:v>
      </x:c>
      <x:c r="B33" s="56" t="str">
        <x:v>112</x:v>
      </x:c>
      <x:c r="C33" s="56" t="str">
        <x:v>91</x:v>
      </x:c>
      <x:c r="D33" s="56" t="str">
        <x:v>Lamprophyre dykes</x:v>
      </x:c>
      <x:c r="E33" s="56" t="str">
        <x:v>58.200001</x:v>
      </x:c>
      <x:c r="F33" s="56" t="str">
        <x:v>-5</x:v>
      </x:c>
      <x:c r="G33" s="56" t="str"/>
      <x:c r="H33" s="56" t="str">
        <x:v>29.9</x:v>
      </x:c>
      <x:c r="I33" s="56" t="str">
        <x:v>-23.299999</x:v>
      </x:c>
      <x:c r="J33" s="56" t="str">
        <x:v>15.5</x:v>
      </x:c>
      <x:c r="K33" s="56" t="str">
        <x:v>144.5</x:v>
      </x:c>
      <x:c r="L33" s="56" t="str">
        <x:v>D</x:v>
      </x:c>
      <x:c r="M33" s="59" t="str">
        <x:v>Js-T,Hysteresis</x:v>
      </x:c>
      <x:c r="N33" s="56" t="n">
        <x:f>--(LEN(M33)&gt;0)</x:f>
        <x:v>1</x:v>
      </x:c>
      <x:c r="O33" s="56" t="n">
        <x:v>1</x:v>
      </x:c>
      <x:c r="P33" s="56" t="n">
        <x:f>--(N33=O33)</x:f>
        <x:v>1</x:v>
      </x:c>
      <x:c r="Q33" s="56" t="str">
        <x:v>ABSTAIN_INSUFFICIENT</x:v>
      </x:c>
      <x:c r="R33" s="59" t="str"/>
      <x:c r="S33" s="59" t="str"/>
      <x:c r="T33" s="56" t="n">
        <x:f>--(Q33="PRESENT")</x:f>
        <x:v>0</x:v>
      </x:c>
      <x:c r="U33" s="56" t="n">
        <x:f>--(T33=N33)</x:f>
        <x:v>0</x:v>
      </x:c>
      <x:c r="V33" s="56" t="n">
        <x:f>--(T33=O33)</x:f>
        <x:v>0</x:v>
      </x:c>
      <x:c r="W33" s="56" t="n">
        <x:f>--(OR(Q33="PRESENT",Q33="ABSENT"))</x:f>
        <x:v>0</x:v>
      </x:c>
      <x:c r="X33" s="56" t="str">
        <x:v>LOW</x:v>
      </x:c>
      <x:c r="Y33" s="56" t="str">
        <x:v>METADATA_UNIQUE</x:v>
      </x:c>
      <x:c r="Z33" s="57" t="b">
        <x:v>1</x:v>
      </x:c>
      <x:c r="AA33" s="57" t="b">
        <x:v>1</x:v>
      </x:c>
      <x:c r="AB33" s="56" t="n">
        <x:v>0</x:v>
      </x:c>
      <x:c r="AC33" s="56" t="str"/>
      <x:c r="AD33" s="56" t="str"/>
      <x:c r="AE33" s="56" t="str"/>
      <x:c r="AF33" s="56" t="str"/>
      <x:c r="AG33" s="59" t="str"/>
      <x:c r="AH33" s="58" t="n">
        <x:v>0.6309485983089935</x:v>
      </x:c>
      <x:c r="AI33" s="56" t="n">
        <x:f>--(AH33&gt;=0.5)</x:f>
        <x:v>1</x:v>
      </x:c>
      <x:c r="AJ33" s="56" t="n">
        <x:f>--(AI33=O33)</x:f>
        <x:v>1</x:v>
      </x:c>
      <x:c r="AK33" s="58" t="n">
        <x:v>0.8736315912215262</x:v>
      </x:c>
      <x:c r="AL33" s="56" t="n">
        <x:f>--(AK33&gt;=0.5)</x:f>
        <x:v>1</x:v>
      </x:c>
      <x:c r="AM33" s="56" t="n">
        <x:f>--(AL33=O33)</x:f>
        <x:v>1</x:v>
      </x:c>
    </x:row>
    <x:row r="34" ht="32" customHeight="1">
      <x:c r="A34" s="56" t="str">
        <x:v>1224</x:v>
      </x:c>
      <x:c r="B34" s="56" t="str">
        <x:v>182</x:v>
      </x:c>
      <x:c r="C34" s="56" t="str">
        <x:v>174</x:v>
      </x:c>
      <x:c r="D34" s="56" t="str">
        <x:v>Duffer Formation</x:v>
      </x:c>
      <x:c r="E34" s="56" t="str">
        <x:v>-21.299999</x:v>
      </x:c>
      <x:c r="F34" s="56" t="str">
        <x:v>119.6</x:v>
      </x:c>
      <x:c r="G34" s="56" t="str">
        <x:v>M component</x:v>
      </x:c>
      <x:c r="H34" s="56" t="str">
        <x:v>335.5</x:v>
      </x:c>
      <x:c r="I34" s="56" t="str">
        <x:v>31.799999</x:v>
      </x:c>
      <x:c r="J34" s="56" t="str">
        <x:v>43.900002</x:v>
      </x:c>
      <x:c r="K34" s="56" t="str">
        <x:v>86.300003</x:v>
      </x:c>
      <x:c r="L34" s="56" t="str">
        <x:v>V</x:v>
      </x:c>
      <x:c r="M34" s="59" t="str">
        <x:v>OP(dacite,Cl.6 high temp.oxid.).</x:v>
      </x:c>
      <x:c r="N34" s="56" t="n">
        <x:f>--(LEN(M34)&gt;0)</x:f>
        <x:v>1</x:v>
      </x:c>
      <x:c r="O34" s="56" t="n">
        <x:v>1</x:v>
      </x:c>
      <x:c r="P34" s="56" t="n">
        <x:f>--(N34=O34)</x:f>
        <x:v>1</x:v>
      </x:c>
      <x:c r="Q34" s="56" t="str">
        <x:v>ABSTAIN_INSUFFICIENT</x:v>
      </x:c>
      <x:c r="R34" s="59" t="str"/>
      <x:c r="S34" s="59" t="str">
        <x:v>MAGN,HEM</x:v>
      </x:c>
      <x:c r="T34" s="56" t="n">
        <x:f>--(Q34="PRESENT")</x:f>
        <x:v>0</x:v>
      </x:c>
      <x:c r="U34" s="56" t="n">
        <x:f>--(T34=N34)</x:f>
        <x:v>0</x:v>
      </x:c>
      <x:c r="V34" s="56" t="n">
        <x:f>--(T34=O34)</x:f>
        <x:v>0</x:v>
      </x:c>
      <x:c r="W34" s="56" t="n">
        <x:f>--(OR(Q34="PRESENT",Q34="ABSENT"))</x:f>
        <x:v>0</x:v>
      </x:c>
      <x:c r="X34" s="56" t="str">
        <x:v>LOW</x:v>
      </x:c>
      <x:c r="Y34" s="56" t="str">
        <x:v>PAPER_ROW_MATCH</x:v>
      </x:c>
      <x:c r="Z34" s="57" t="b">
        <x:v>1</x:v>
      </x:c>
      <x:c r="AA34" s="57" t="b">
        <x:v>1</x:v>
      </x:c>
      <x:c r="AB34" s="56" t="n">
        <x:v>1</x:v>
      </x:c>
      <x:c r="AC34" s="56" t="str"/>
      <x:c r="AD34" s="56" t="str">
        <x:v>MAGN,HEM</x:v>
      </x:c>
      <x:c r="AE34" s="56" t="str"/>
      <x:c r="AF34" s="56" t="str">
        <x:v>1, 3</x:v>
      </x:c>
      <x:c r="AG34" s="59" t="str">
        <x:v>p.1: mation of the Pilbara craton, Australia. The dacite is currently the oldest dated rock unit in Australia, having a zir- con U-Pb age of 3452 + 16 Ma. Vector analysis of alternating field and thermal demagnetization results yield three components of magnetization. The high-temperature, high-coercivity hematite (H) com- ponent in the red dacite appears to be postfolding in age, as does a low-temperature, 1ow-coercivity (L) component observed in the pillow basalt. However, an intermediate-temperatu | p.3: 94.6 Means 1-6 (H) 6* 243.5 -29.7 5.789 (27/101) (263.7 54.6) 17.4 184.0 7-11 (L) 5 6.8 23.5 4.855 (222/107) (266.2 -37.7) 55.9 131.6 Sites 1-6 are located at 21.4øS, 119.6øE; sites 7-11 are located at 21.2øS, 119.7øE. H is the high-temperature, high-coercivity (hematite) com- ponent. M is the intermediate-temperature, intermeiate-coercivity (magnetite) component. L is the low-temperature, 1ow-coercivity com- ponent. Structural corrections are given as direction of dip/amount of dip. N is the n</x:v>
      </x:c>
      <x:c r="AH34" s="58" t="n">
        <x:v>0.38583528211845514</x:v>
      </x:c>
      <x:c r="AI34" s="56" t="n">
        <x:f>--(AH34&gt;=0.5)</x:f>
        <x:v>0</x:v>
      </x:c>
      <x:c r="AJ34" s="56" t="n">
        <x:f>--(AI34=O34)</x:f>
        <x:v>0</x:v>
      </x:c>
      <x:c r="AK34" s="58" t="n">
        <x:v>0.3858352821184552</x:v>
      </x:c>
      <x:c r="AL34" s="56" t="n">
        <x:f>--(AK34&gt;=0.5)</x:f>
        <x:v>0</x:v>
      </x:c>
      <x:c r="AM34" s="56" t="n">
        <x:f>--(AL34=O34)</x:f>
        <x:v>0</x:v>
      </x:c>
    </x:row>
    <x:row r="35" ht="32" customHeight="1">
      <x:c r="A35" s="56" t="str">
        <x:v>1224</x:v>
      </x:c>
      <x:c r="B35" s="56" t="str">
        <x:v>183</x:v>
      </x:c>
      <x:c r="C35" s="56" t="str">
        <x:v>174</x:v>
      </x:c>
      <x:c r="D35" s="56" t="str">
        <x:v>Duffer Formation</x:v>
      </x:c>
      <x:c r="E35" s="56" t="str">
        <x:v>-21.299999</x:v>
      </x:c>
      <x:c r="F35" s="56" t="str">
        <x:v>119.6</x:v>
      </x:c>
      <x:c r="G35" s="56" t="str">
        <x:v>H component</x:v>
      </x:c>
      <x:c r="H35" s="56" t="str">
        <x:v>243.5</x:v>
      </x:c>
      <x:c r="I35" s="56" t="str">
        <x:v>-29.700001</x:v>
      </x:c>
      <x:c r="J35" s="56" t="str">
        <x:v>18.700001</x:v>
      </x:c>
      <x:c r="K35" s="56" t="str">
        <x:v>182.89999</x:v>
      </x:c>
      <x:c r="L35" s="56" t="str">
        <x:v>V</x:v>
      </x:c>
      <x:c r="M35" s="59" t="str">
        <x:v>OP(dacite,MAGN Cl.6 oxid.)</x:v>
      </x:c>
      <x:c r="N35" s="56" t="n">
        <x:f>--(LEN(M35)&gt;0)</x:f>
        <x:v>1</x:v>
      </x:c>
      <x:c r="O35" s="56" t="n">
        <x:v>1</x:v>
      </x:c>
      <x:c r="P35" s="56" t="n">
        <x:f>--(N35=O35)</x:f>
        <x:v>1</x:v>
      </x:c>
      <x:c r="Q35" s="56" t="str">
        <x:v>ABSTAIN_INSUFFICIENT</x:v>
      </x:c>
      <x:c r="R35" s="59" t="str"/>
      <x:c r="S35" s="59" t="str">
        <x:v>MAGN,HEM</x:v>
      </x:c>
      <x:c r="T35" s="56" t="n">
        <x:f>--(Q35="PRESENT")</x:f>
        <x:v>0</x:v>
      </x:c>
      <x:c r="U35" s="56" t="n">
        <x:f>--(T35=N35)</x:f>
        <x:v>0</x:v>
      </x:c>
      <x:c r="V35" s="56" t="n">
        <x:f>--(T35=O35)</x:f>
        <x:v>0</x:v>
      </x:c>
      <x:c r="W35" s="56" t="n">
        <x:f>--(OR(Q35="PRESENT",Q35="ABSENT"))</x:f>
        <x:v>0</x:v>
      </x:c>
      <x:c r="X35" s="56" t="str">
        <x:v>LOW</x:v>
      </x:c>
      <x:c r="Y35" s="56" t="str">
        <x:v>PAPER_ROW_MATCH</x:v>
      </x:c>
      <x:c r="Z35" s="57" t="b">
        <x:v>1</x:v>
      </x:c>
      <x:c r="AA35" s="57" t="b">
        <x:v>1</x:v>
      </x:c>
      <x:c r="AB35" s="56" t="n">
        <x:v>1</x:v>
      </x:c>
      <x:c r="AC35" s="56" t="str"/>
      <x:c r="AD35" s="56" t="str">
        <x:v>MAGN,HEM</x:v>
      </x:c>
      <x:c r="AE35" s="56" t="str"/>
      <x:c r="AF35" s="56" t="str">
        <x:v>4, 5</x:v>
      </x:c>
      <x:c r="AG35" s="59" t="str">
        <x:v>p.4: during storage in the present geomagnetic field. In the red dacite there is a very resistant component preserved at fields of 200 roT, and thermal demagnetization analysis shows that this is a high-temperature component with blocking temperatures above 525øC and up to at least 640øC. This high-temperature, high-coercivity component is clearly from a hematite fraction. In these rocks, thermal demagnetization is often difficult at high temperatures because of the instability of the magnetite, whic | p.5: bility and resistance to over- printing [Pullaiah et al., 1975]. However, the fact that further oxidation takes places during thermal demagnetization sug- gests that the formation of new hematite during some heating episode has caused the overprinting. The history of the region suggests that this took place either about 3.0 or 2.6 Ga ago. POLE POSITIONS Paleomagnetic pole positions calculated by combing VGP's for each of the M, L, and H components are summarized in Table 2. The L and H component | p.4: 3526 MCELHINNY AND SENANAYAKE: NORMAN WATKINS MEMORIAL Fig. 4. L and H component site means observed during alternating field or thermal demagnetization. Stereographic projection of directions of magnetization are solid symbols on the lower hemisphere, open symbols on the lower hemi- sphere, and open symbols on the upper hemisphere. Generally, three components of magnetization were ob- served in both the red dacite and the pillow basalt when using either alternating field or thermal techniques. </x:v>
      </x:c>
      <x:c r="AH35" s="58" t="n">
        <x:v>0.38583528211845514</x:v>
      </x:c>
      <x:c r="AI35" s="56" t="n">
        <x:f>--(AH35&gt;=0.5)</x:f>
        <x:v>0</x:v>
      </x:c>
      <x:c r="AJ35" s="56" t="n">
        <x:f>--(AI35=O35)</x:f>
        <x:v>0</x:v>
      </x:c>
      <x:c r="AK35" s="58" t="n">
        <x:v>0.3858352821184552</x:v>
      </x:c>
      <x:c r="AL35" s="56" t="n">
        <x:f>--(AK35&gt;=0.5)</x:f>
        <x:v>0</x:v>
      </x:c>
      <x:c r="AM35" s="56" t="n">
        <x:f>--(AL35=O35)</x:f>
        <x:v>0</x:v>
      </x:c>
    </x:row>
    <x:row r="36" ht="32" customHeight="1">
      <x:c r="A36" s="56" t="str">
        <x:v>1224</x:v>
      </x:c>
      <x:c r="B36" s="56" t="str">
        <x:v>184</x:v>
      </x:c>
      <x:c r="C36" s="56" t="str">
        <x:v>174</x:v>
      </x:c>
      <x:c r="D36" s="56" t="str">
        <x:v>Duffer Formation</x:v>
      </x:c>
      <x:c r="E36" s="56" t="str">
        <x:v>-21.299999</x:v>
      </x:c>
      <x:c r="F36" s="56" t="str">
        <x:v>119.6</x:v>
      </x:c>
      <x:c r="G36" s="56" t="str">
        <x:v>L component</x:v>
      </x:c>
      <x:c r="H36" s="56" t="str">
        <x:v>6.8000002</x:v>
      </x:c>
      <x:c r="I36" s="56" t="str">
        <x:v>23.5</x:v>
      </x:c>
      <x:c r="J36" s="56" t="str">
        <x:v>55.400002</x:v>
      </x:c>
      <x:c r="K36" s="56" t="str">
        <x:v>132.2</x:v>
      </x:c>
      <x:c r="L36" s="56" t="str">
        <x:v>V</x:v>
      </x:c>
      <x:c r="M36" s="59" t="str"/>
      <x:c r="N36" s="56" t="n">
        <x:f>--(LEN(M36)&gt;0)</x:f>
        <x:v>0</x:v>
      </x:c>
      <x:c r="O36" s="56" t="n">
        <x:v>0</x:v>
      </x:c>
      <x:c r="P36" s="56" t="n">
        <x:f>--(N36=O36)</x:f>
        <x:v>1</x:v>
      </x:c>
      <x:c r="Q36" s="56" t="str">
        <x:v>PRESENT</x:v>
      </x:c>
      <x:c r="R36" s="59" t="str">
        <x:v>SUSC-T(MAGN,HEM)</x:v>
      </x:c>
      <x:c r="S36" s="59" t="str">
        <x:v>SUSC-T(MAGN,HEM)</x:v>
      </x:c>
      <x:c r="T36" s="56" t="n">
        <x:f>--(Q36="PRESENT")</x:f>
        <x:v>1</x:v>
      </x:c>
      <x:c r="U36" s="56" t="n">
        <x:f>--(T36=N36)</x:f>
        <x:v>0</x:v>
      </x:c>
      <x:c r="V36" s="56" t="n">
        <x:f>--(T36=O36)</x:f>
        <x:v>0</x:v>
      </x:c>
      <x:c r="W36" s="56" t="n">
        <x:f>--(OR(Q36="PRESENT",Q36="ABSENT"))</x:f>
        <x:v>1</x:v>
      </x:c>
      <x:c r="X36" s="56" t="str">
        <x:v>HIGH</x:v>
      </x:c>
      <x:c r="Y36" s="56" t="str">
        <x:v>PAPER_ROW_MATCH</x:v>
      </x:c>
      <x:c r="Z36" s="57" t="b">
        <x:v>1</x:v>
      </x:c>
      <x:c r="AA36" s="57" t="b">
        <x:v>1</x:v>
      </x:c>
      <x:c r="AB36" s="56" t="n">
        <x:v>1</x:v>
      </x:c>
      <x:c r="AC36" s="56" t="str">
        <x:v>SUSC-T</x:v>
      </x:c>
      <x:c r="AD36" s="56" t="str">
        <x:v>MAGN,HEM</x:v>
      </x:c>
      <x:c r="AE36" s="56" t="str"/>
      <x:c r="AF36" s="56" t="str">
        <x:v>3, 4, 5</x:v>
      </x:c>
      <x:c r="AG36" s="59" t="str">
        <x:v>p.3: -21.7 4.893 (27/101) (275.5 59.6) 22.9 186.4 2 (H) 5 229.8 -20.4 4.844 (27/101) (271.2 68.7) 31.6 181.5 3 (H) 4 217.3 -46.5 3.844 (27/101) (218.5 53.9) 29.0 157.4 4 (H) 4 242.9 -33.1 3.745 (27/101) (258.5 52.6) 16.9 181.8 5 (H) 5 254.5 -23.6 4.880 (27/101) (277.3 45.8) 9.5 192.3 6 (H) 3 264.4 -26.4 2.820 (27/101) (275.1 36.6) 0.0 194.6 Means 1-6 (H) 6* 243.5 -29.7 5.789 (27/101) (263.7 54.6) 17.4 184.0 7-11 (L) 5 6.8 23.5 4.855 (222/107) (266.2 -37.7) 55.9 131.6 Sites 1-6 are located at 21.4øS,  | p.4: ti- Longi- Pole N Age, Ma K A95 tude, øN tude, øE DFM I l 3452 41.0 7.2 43.9 86.3 DFL 5 --30007 38.2 12.5 55.4 132.2 DFH 6 --26007 22.2 14.5 18.7 182.9 N is the number of sites, K the precision of VGP's, and A95 the circle of 95% confidence about the mean pole position. The pillow basalts did not respond coherently to alternating field treatment but showed good response under thermal de- magnetization. Two examples are shown in Figure 2. Over- lapping blocking temperature spectrums made it dif | p.5: k place either about 3.0 or 2.6 Ga ago. POLE POSITIONS Paleomagnetic pole positions calculated by combing VGP's for each of the M, L, and H components are summarized in Table 2. The L and H components are regarded as being post- folding and therefore derived from in situ data. The poles are plotted in Figure 5 along with all other pre-2.0-Ga poles from Australia. The Duffer Formation H component (DFH) mag- netization gives a pole position that lies close to that of the YE dykes of the Pilbara cr</x:v>
      </x:c>
      <x:c r="AH36" s="58" t="n">
        <x:v>0.38583528211845514</x:v>
      </x:c>
      <x:c r="AI36" s="56" t="n">
        <x:f>--(AH36&gt;=0.5)</x:f>
        <x:v>0</x:v>
      </x:c>
      <x:c r="AJ36" s="56" t="n">
        <x:f>--(AI36=O36)</x:f>
        <x:v>1</x:v>
      </x:c>
      <x:c r="AK36" s="58" t="n">
        <x:v>0.3858352821184552</x:v>
      </x:c>
      <x:c r="AL36" s="56" t="n">
        <x:f>--(AK36&gt;=0.5)</x:f>
        <x:v>0</x:v>
      </x:c>
      <x:c r="AM36" s="56" t="n">
        <x:f>--(AL36=O36)</x:f>
        <x:v>1</x:v>
      </x:c>
    </x:row>
    <x:row r="37" ht="32" customHeight="1">
      <x:c r="A37" s="56" t="str">
        <x:v>1278</x:v>
      </x:c>
      <x:c r="B37" s="56" t="str">
        <x:v>308</x:v>
      </x:c>
      <x:c r="C37" s="56" t="str">
        <x:v>285</x:v>
      </x:c>
      <x:c r="D37" s="56" t="str">
        <x:v>Millindinna Complex</x:v>
      </x:c>
      <x:c r="E37" s="56" t="str">
        <x:v>-20.9</x:v>
      </x:c>
      <x:c r="F37" s="56" t="str">
        <x:v>117.5</x:v>
      </x:c>
      <x:c r="G37" s="56" t="str"/>
      <x:c r="H37" s="56" t="str">
        <x:v>265</x:v>
      </x:c>
      <x:c r="I37" s="56" t="str">
        <x:v>-65.099998</x:v>
      </x:c>
      <x:c r="J37" s="56" t="str">
        <x:v>-11.9</x:v>
      </x:c>
      <x:c r="K37" s="56" t="str">
        <x:v>161.3</x:v>
      </x:c>
      <x:c r="L37" s="56" t="str">
        <x:v>D</x:v>
      </x:c>
      <x:c r="M37" s="59" t="str">
        <x:v>Jrs/Js(0.4-0.5),Hcr/Hc(1.2-1.7),X/T(CT 550-580C,kink -150C)</x:v>
      </x:c>
      <x:c r="N37" s="56" t="n">
        <x:f>--(LEN(M37)&gt;0)</x:f>
        <x:v>1</x:v>
      </x:c>
      <x:c r="O37" s="56" t="n">
        <x:v>1</x:v>
      </x:c>
      <x:c r="P37" s="56" t="n">
        <x:f>--(N37=O37)</x:f>
        <x:v>1</x:v>
      </x:c>
      <x:c r="Q37" s="56" t="str">
        <x:v>PRESENT</x:v>
      </x:c>
      <x:c r="R37" s="59" t="str">
        <x:v>IRM,SUSC-T(PSD/SD/MD MAGN)</x:v>
      </x:c>
      <x:c r="S37" s="59" t="str">
        <x:v>IRM,SUSC-T(PSD/SD/MD MAGN)</x:v>
      </x:c>
      <x:c r="T37" s="56" t="n">
        <x:f>--(Q37="PRESENT")</x:f>
        <x:v>1</x:v>
      </x:c>
      <x:c r="U37" s="56" t="n">
        <x:f>--(T37=N37)</x:f>
        <x:v>1</x:v>
      </x:c>
      <x:c r="V37" s="56" t="n">
        <x:f>--(T37=O37)</x:f>
        <x:v>1</x:v>
      </x:c>
      <x:c r="W37" s="56" t="n">
        <x:f>--(OR(Q37="PRESENT",Q37="ABSENT"))</x:f>
        <x:v>1</x:v>
      </x:c>
      <x:c r="X37" s="56" t="str">
        <x:v>MEDIUM</x:v>
      </x:c>
      <x:c r="Y37" s="56" t="str">
        <x:v>METADATA_UNIQUE</x:v>
      </x:c>
      <x:c r="Z37" s="57" t="b">
        <x:v>1</x:v>
      </x:c>
      <x:c r="AA37" s="57" t="b">
        <x:v>1</x:v>
      </x:c>
      <x:c r="AB37" s="56" t="n">
        <x:v>0</x:v>
      </x:c>
      <x:c r="AC37" s="56" t="str">
        <x:v>IRM,SUSC-T</x:v>
      </x:c>
      <x:c r="AD37" s="56" t="str">
        <x:v>MAGN</x:v>
      </x:c>
      <x:c r="AE37" s="56" t="str">
        <x:v>PSD,SD,MD</x:v>
      </x:c>
      <x:c r="AF37" s="56" t="str">
        <x:v>3, 4, 6, 11</x:v>
      </x:c>
      <x:c r="AG37" s="59" t="str">
        <x:v>p.6: (a) Susceptibility versus temperature (z/T) behavior for the Millindinna Complex gabbro. | p.3: susceptibility versus temperature | p.6: IRM</x:v>
      </x:c>
      <x:c r="AH37" s="58" t="n">
        <x:v>0.9284902725492094</x:v>
      </x:c>
      <x:c r="AI37" s="56" t="n">
        <x:f>--(AH37&gt;=0.5)</x:f>
        <x:v>1</x:v>
      </x:c>
      <x:c r="AJ37" s="56" t="n">
        <x:f>--(AI37=O37)</x:f>
        <x:v>1</x:v>
      </x:c>
      <x:c r="AK37" s="58" t="n">
        <x:v>0.9767064616792662</x:v>
      </x:c>
      <x:c r="AL37" s="56" t="n">
        <x:f>--(AK37&gt;=0.5)</x:f>
        <x:v>1</x:v>
      </x:c>
      <x:c r="AM37" s="56" t="n">
        <x:f>--(AL37=O37)</x:f>
        <x:v>1</x:v>
      </x:c>
    </x:row>
    <x:row r="38" ht="32" customHeight="1">
      <x:c r="A38" s="56" t="str">
        <x:v>1278</x:v>
      </x:c>
      <x:c r="B38" s="56" t="str">
        <x:v>309</x:v>
      </x:c>
      <x:c r="C38" s="56" t="str">
        <x:v>286</x:v>
      </x:c>
      <x:c r="D38" s="56" t="str">
        <x:v>Mount Jope Volcanics</x:v>
      </x:c>
      <x:c r="E38" s="56" t="str">
        <x:v>-22.799999</x:v>
      </x:c>
      <x:c r="F38" s="56" t="str">
        <x:v>117.3</x:v>
      </x:c>
      <x:c r="G38" s="56" t="str">
        <x:v>Prefolding</x:v>
      </x:c>
      <x:c r="H38" s="56" t="str">
        <x:v>154.10001</x:v>
      </x:c>
      <x:c r="I38" s="56" t="str">
        <x:v>79.599998</x:v>
      </x:c>
      <x:c r="J38" s="56" t="str">
        <x:v>-40.5</x:v>
      </x:c>
      <x:c r="K38" s="56" t="str">
        <x:v>128.7</x:v>
      </x:c>
      <x:c r="L38" s="56" t="str">
        <x:v>D</x:v>
      </x:c>
      <x:c r="M38" s="59" t="str"/>
      <x:c r="N38" s="56" t="n">
        <x:f>--(LEN(M38)&gt;0)</x:f>
        <x:v>0</x:v>
      </x:c>
      <x:c r="O38" s="56" t="n">
        <x:v>0</x:v>
      </x:c>
      <x:c r="P38" s="56" t="n">
        <x:f>--(N38=O38)</x:f>
        <x:v>1</x:v>
      </x:c>
      <x:c r="Q38" s="56" t="str">
        <x:v>PRESENT</x:v>
      </x:c>
      <x:c r="R38" s="59" t="str">
        <x:v>IRM,HYST(MAGN,HEM)</x:v>
      </x:c>
      <x:c r="S38" s="59" t="str">
        <x:v>IRM,HYST(MAGN,HEM)</x:v>
      </x:c>
      <x:c r="T38" s="56" t="n">
        <x:f>--(Q38="PRESENT")</x:f>
        <x:v>1</x:v>
      </x:c>
      <x:c r="U38" s="56" t="n">
        <x:f>--(T38=N38)</x:f>
        <x:v>0</x:v>
      </x:c>
      <x:c r="V38" s="56" t="n">
        <x:f>--(T38=O38)</x:f>
        <x:v>0</x:v>
      </x:c>
      <x:c r="W38" s="56" t="n">
        <x:f>--(OR(Q38="PRESENT",Q38="ABSENT"))</x:f>
        <x:v>1</x:v>
      </x:c>
      <x:c r="X38" s="56" t="str">
        <x:v>HIGH</x:v>
      </x:c>
      <x:c r="Y38" s="56" t="str">
        <x:v>PAPER_ROW_MATCH</x:v>
      </x:c>
      <x:c r="Z38" s="57" t="b">
        <x:v>1</x:v>
      </x:c>
      <x:c r="AA38" s="57" t="b">
        <x:v>1</x:v>
      </x:c>
      <x:c r="AB38" s="56" t="n">
        <x:v>1</x:v>
      </x:c>
      <x:c r="AC38" s="56" t="str">
        <x:v>IRM,HYST</x:v>
      </x:c>
      <x:c r="AD38" s="56" t="str">
        <x:v>MAGN,HEM</x:v>
      </x:c>
      <x:c r="AE38" s="56" t="str">
        <x:v>SD</x:v>
      </x:c>
      <x:c r="AF38" s="56" t="str">
        <x:v>1, 6, 7, 11, 12, 16, 17</x:v>
      </x:c>
      <x:c r="AG38" s="59" t="str">
        <x:v>p.12: Either because these lavas have a simple thermal history or because of the pervasive IRM's encountered no consistent overprint direc- tions have been recognized comparable to those found in the Mount Jope Volcanics. | p.11: IRM | p.12: SIRM</x:v>
      </x:c>
      <x:c r="AH38" s="58" t="n">
        <x:v>0.8419400601066731</x:v>
      </x:c>
      <x:c r="AI38" s="56" t="n">
        <x:f>--(AH38&gt;=0.5)</x:f>
        <x:v>1</x:v>
      </x:c>
      <x:c r="AJ38" s="56" t="n">
        <x:f>--(AI38=O38)</x:f>
        <x:v>0</x:v>
      </x:c>
      <x:c r="AK38" s="58" t="n">
        <x:v>0.8243081426642628</x:v>
      </x:c>
      <x:c r="AL38" s="56" t="n">
        <x:f>--(AK38&gt;=0.5)</x:f>
        <x:v>1</x:v>
      </x:c>
      <x:c r="AM38" s="56" t="n">
        <x:f>--(AL38=O38)</x:f>
        <x:v>0</x:v>
      </x:c>
    </x:row>
    <x:row r="39" ht="32" customHeight="1">
      <x:c r="A39" s="56" t="str">
        <x:v>1278</x:v>
      </x:c>
      <x:c r="B39" s="56" t="str">
        <x:v>310</x:v>
      </x:c>
      <x:c r="C39" s="56" t="str">
        <x:v>286</x:v>
      </x:c>
      <x:c r="D39" s="56" t="str">
        <x:v>Mount Jope Volcanics</x:v>
      </x:c>
      <x:c r="E39" s="56" t="str">
        <x:v>-22.799999</x:v>
      </x:c>
      <x:c r="F39" s="56" t="str">
        <x:v>117.3</x:v>
      </x:c>
      <x:c r="G39" s="56" t="str">
        <x:v>Synfolding</x:v>
      </x:c>
      <x:c r="H39" s="56" t="str">
        <x:v>304</x:v>
      </x:c>
      <x:c r="I39" s="56" t="str">
        <x:v>-18.700001</x:v>
      </x:c>
      <x:c r="J39" s="56" t="str">
        <x:v>-35</x:v>
      </x:c>
      <x:c r="K39" s="56" t="str">
        <x:v>211.5</x:v>
      </x:c>
      <x:c r="L39" s="56" t="str">
        <x:v>D</x:v>
      </x:c>
      <x:c r="M39" s="59" t="str"/>
      <x:c r="N39" s="56" t="n">
        <x:f>--(LEN(M39)&gt;0)</x:f>
        <x:v>0</x:v>
      </x:c>
      <x:c r="O39" s="56" t="n">
        <x:v>0</x:v>
      </x:c>
      <x:c r="P39" s="56" t="n">
        <x:f>--(N39=O39)</x:f>
        <x:v>1</x:v>
      </x:c>
      <x:c r="Q39" s="56" t="str">
        <x:v>PRESENT</x:v>
      </x:c>
      <x:c r="R39" s="59" t="str">
        <x:v>IRM(SD MAGN)</x:v>
      </x:c>
      <x:c r="S39" s="59" t="str">
        <x:v>IRM(SD MAGN)</x:v>
      </x:c>
      <x:c r="T39" s="56" t="n">
        <x:f>--(Q39="PRESENT")</x:f>
        <x:v>1</x:v>
      </x:c>
      <x:c r="U39" s="56" t="n">
        <x:f>--(T39=N39)</x:f>
        <x:v>0</x:v>
      </x:c>
      <x:c r="V39" s="56" t="n">
        <x:f>--(T39=O39)</x:f>
        <x:v>0</x:v>
      </x:c>
      <x:c r="W39" s="56" t="n">
        <x:f>--(OR(Q39="PRESENT",Q39="ABSENT"))</x:f>
        <x:v>1</x:v>
      </x:c>
      <x:c r="X39" s="56" t="str">
        <x:v>MEDIUM</x:v>
      </x:c>
      <x:c r="Y39" s="56" t="str">
        <x:v>METADATA_UNIQUE</x:v>
      </x:c>
      <x:c r="Z39" s="57" t="b">
        <x:v>1</x:v>
      </x:c>
      <x:c r="AA39" s="57" t="b">
        <x:v>1</x:v>
      </x:c>
      <x:c r="AB39" s="56" t="n">
        <x:v>1</x:v>
      </x:c>
      <x:c r="AC39" s="56" t="str">
        <x:v>IRM</x:v>
      </x:c>
      <x:c r="AD39" s="56" t="str">
        <x:v>MAGN</x:v>
      </x:c>
      <x:c r="AE39" s="56" t="str">
        <x:v>SD</x:v>
      </x:c>
      <x:c r="AF39" s="56" t="str">
        <x:v>11, 12</x:v>
      </x:c>
      <x:c r="AG39" s="59" t="str">
        <x:v>p.12: Either because these lavas have a simple thermal history or because of the pervasive IRM's encountered no consistent overprint direc- tions have been recognized comparable to those found in the Mount Jope Volcanics. | p.11: IRM | p.12: SIRM</x:v>
      </x:c>
      <x:c r="AH39" s="58" t="n">
        <x:v>0.8419400601066731</x:v>
      </x:c>
      <x:c r="AI39" s="56" t="n">
        <x:f>--(AH39&gt;=0.5)</x:f>
        <x:v>1</x:v>
      </x:c>
      <x:c r="AJ39" s="56" t="n">
        <x:f>--(AI39=O39)</x:f>
        <x:v>0</x:v>
      </x:c>
      <x:c r="AK39" s="58" t="n">
        <x:v>0.8243081426642628</x:v>
      </x:c>
      <x:c r="AL39" s="56" t="n">
        <x:f>--(AK39&gt;=0.5)</x:f>
        <x:v>1</x:v>
      </x:c>
      <x:c r="AM39" s="56" t="n">
        <x:f>--(AL39=O39)</x:f>
        <x:v>0</x:v>
      </x:c>
    </x:row>
    <x:row r="40" ht="32" customHeight="1">
      <x:c r="A40" s="56" t="str">
        <x:v>1278</x:v>
      </x:c>
      <x:c r="B40" s="56" t="str">
        <x:v>311</x:v>
      </x:c>
      <x:c r="C40" s="56" t="str">
        <x:v>287</x:v>
      </x:c>
      <x:c r="D40" s="56" t="str">
        <x:v>Mount Roe Basalt</x:v>
      </x:c>
      <x:c r="E40" s="56" t="str">
        <x:v>-21</x:v>
      </x:c>
      <x:c r="F40" s="56" t="str">
        <x:v>117.8</x:v>
      </x:c>
      <x:c r="G40" s="56" t="str"/>
      <x:c r="H40" s="56" t="str">
        <x:v>320</x:v>
      </x:c>
      <x:c r="I40" s="56" t="str">
        <x:v>-53.799999</x:v>
      </x:c>
      <x:c r="J40" s="56" t="str">
        <x:v>-52.400002</x:v>
      </x:c>
      <x:c r="K40" s="56" t="str">
        <x:v>178</x:v>
      </x:c>
      <x:c r="L40" s="56" t="str">
        <x:v>D</x:v>
      </x:c>
      <x:c r="M40" s="59" t="str">
        <x:v>Hcr,Hc,Jrs,Js and X/T measured</x:v>
      </x:c>
      <x:c r="N40" s="56" t="n">
        <x:f>--(LEN(M40)&gt;0)</x:f>
        <x:v>1</x:v>
      </x:c>
      <x:c r="O40" s="56" t="n">
        <x:v>1</x:v>
      </x:c>
      <x:c r="P40" s="56" t="n">
        <x:f>--(N40=O40)</x:f>
        <x:v>1</x:v>
      </x:c>
      <x:c r="Q40" s="56" t="str">
        <x:v>PRESENT</x:v>
      </x:c>
      <x:c r="R40" s="59" t="str">
        <x:v>IRM,HYST(PSD/SD MAGN)</x:v>
      </x:c>
      <x:c r="S40" s="59" t="str">
        <x:v>IRM,HYST(PSD/SD MAGN)</x:v>
      </x:c>
      <x:c r="T40" s="56" t="n">
        <x:f>--(Q40="PRESENT")</x:f>
        <x:v>1</x:v>
      </x:c>
      <x:c r="U40" s="56" t="n">
        <x:f>--(T40=N40)</x:f>
        <x:v>1</x:v>
      </x:c>
      <x:c r="V40" s="56" t="n">
        <x:f>--(T40=O40)</x:f>
        <x:v>1</x:v>
      </x:c>
      <x:c r="W40" s="56" t="n">
        <x:f>--(OR(Q40="PRESENT",Q40="ABSENT"))</x:f>
        <x:v>1</x:v>
      </x:c>
      <x:c r="X40" s="56" t="str">
        <x:v>MEDIUM</x:v>
      </x:c>
      <x:c r="Y40" s="56" t="str">
        <x:v>METADATA_UNIQUE</x:v>
      </x:c>
      <x:c r="Z40" s="57" t="b">
        <x:v>1</x:v>
      </x:c>
      <x:c r="AA40" s="57" t="b">
        <x:v>1</x:v>
      </x:c>
      <x:c r="AB40" s="56" t="n">
        <x:v>0</x:v>
      </x:c>
      <x:c r="AC40" s="56" t="str">
        <x:v>IRM,HYST</x:v>
      </x:c>
      <x:c r="AD40" s="56" t="str">
        <x:v>MAGN</x:v>
      </x:c>
      <x:c r="AE40" s="56" t="str">
        <x:v>PSD,SD</x:v>
      </x:c>
      <x:c r="AF40" s="56" t="str">
        <x:v>3, 11, 12, 13</x:v>
      </x:c>
      <x:c r="AG40" s="59" t="str">
        <x:v>p.12: DC demagnetization of SIRM for specimens of Mount Roe Basalt (see Figure 4b), defining saturation remanence Jrs and coercivities of remanence Her. | p.12: DC demagnetization of SIRM for specimens of Mount Roe Basalt (see Figure 4b), defining saturation remanence Jrs and coercivities of remanence Her. | p.11: IRM</x:v>
      </x:c>
      <x:c r="AH40" s="58" t="n">
        <x:v>0.8523721382522691</x:v>
      </x:c>
      <x:c r="AI40" s="56" t="n">
        <x:f>--(AH40&gt;=0.5)</x:f>
        <x:v>1</x:v>
      </x:c>
      <x:c r="AJ40" s="56" t="n">
        <x:f>--(AI40=O40)</x:f>
        <x:v>1</x:v>
      </x:c>
      <x:c r="AK40" s="58" t="n">
        <x:v>0.6973875339739251</x:v>
      </x:c>
      <x:c r="AL40" s="56" t="n">
        <x:f>--(AK40&gt;=0.5)</x:f>
        <x:v>1</x:v>
      </x:c>
      <x:c r="AM40" s="56" t="n">
        <x:f>--(AL40=O40)</x:f>
        <x:v>1</x:v>
      </x:c>
    </x:row>
    <x:row r="41" ht="32" customHeight="1">
      <x:c r="A41" s="56" t="str">
        <x:v>1599</x:v>
      </x:c>
      <x:c r="B41" s="56" t="str">
        <x:v>1077</x:v>
      </x:c>
      <x:c r="C41" s="56" t="str">
        <x:v>893</x:v>
      </x:c>
      <x:c r="D41" s="56" t="str">
        <x:v>Granitic rocks, Wright Valley</x:v>
      </x:c>
      <x:c r="E41" s="56" t="str">
        <x:v>-77.5</x:v>
      </x:c>
      <x:c r="F41" s="56" t="str">
        <x:v>161.60001</x:v>
      </x:c>
      <x:c r="G41" s="56" t="str"/>
      <x:c r="H41" s="56" t="str">
        <x:v>216.7</x:v>
      </x:c>
      <x:c r="I41" s="56" t="str">
        <x:v>-9</x:v>
      </x:c>
      <x:c r="J41" s="56" t="str">
        <x:v>5.4000001</x:v>
      </x:c>
      <x:c r="K41" s="56" t="str">
        <x:v>198.5</x:v>
      </x:c>
      <x:c r="L41" s="56" t="str">
        <x:v>D</x:v>
      </x:c>
      <x:c r="M41" s="59" t="str">
        <x:v>Hc(11.5-56 Oe)</x:v>
      </x:c>
      <x:c r="N41" s="56" t="n">
        <x:f>--(LEN(M41)&gt;0)</x:f>
        <x:v>1</x:v>
      </x:c>
      <x:c r="O41" s="56" t="n">
        <x:v>0</x:v>
      </x:c>
      <x:c r="P41" s="56" t="n">
        <x:f>--(N41=O41)</x:f>
        <x:v>0</x:v>
      </x:c>
      <x:c r="Q41" s="56" t="str">
        <x:v>PRESENT</x:v>
      </x:c>
      <x:c r="R41" s="59" t="str">
        <x:v>IRM,SUSC-T,HYST(MD MAGN)</x:v>
      </x:c>
      <x:c r="S41" s="59" t="str">
        <x:v>IRM,SUSC-T,HYST(MD MAGN)</x:v>
      </x:c>
      <x:c r="T41" s="56" t="n">
        <x:f>--(Q41="PRESENT")</x:f>
        <x:v>1</x:v>
      </x:c>
      <x:c r="U41" s="56" t="n">
        <x:f>--(T41=N41)</x:f>
        <x:v>1</x:v>
      </x:c>
      <x:c r="V41" s="56" t="n">
        <x:f>--(T41=O41)</x:f>
        <x:v>0</x:v>
      </x:c>
      <x:c r="W41" s="56" t="n">
        <x:f>--(OR(Q41="PRESENT",Q41="ABSENT"))</x:f>
        <x:v>1</x:v>
      </x:c>
      <x:c r="X41" s="56" t="str">
        <x:v>MEDIUM</x:v>
      </x:c>
      <x:c r="Y41" s="56" t="str">
        <x:v>METADATA_UNIQUE</x:v>
      </x:c>
      <x:c r="Z41" s="57" t="b">
        <x:v>1</x:v>
      </x:c>
      <x:c r="AA41" s="57" t="b">
        <x:v>1</x:v>
      </x:c>
      <x:c r="AB41" s="56" t="n">
        <x:v>0</x:v>
      </x:c>
      <x:c r="AC41" s="56" t="str">
        <x:v>IRM,SUSC-T,HYST</x:v>
      </x:c>
      <x:c r="AD41" s="56" t="str">
        <x:v>MAGN</x:v>
      </x:c>
      <x:c r="AE41" s="56" t="str">
        <x:v>MD</x:v>
      </x:c>
      <x:c r="AF41" s="56" t="str">
        <x:v>1, 6</x:v>
      </x:c>
      <x:c r="AG41" s="59" t="str">
        <x:v>p.1: Geoelectr., 36, 529-563, 1984 Investigation of the Paleomagnetism of the Basement Complex of Wright Valley, Southern Victoria Land, Antarctica Minoru FUNAKI National Institute of Polar Research, Tokyo, Japan (Received July 21, 1983) The basic magnetic properties, hysteresis, AF demagnetization, thermal demagnetization and thermo-magnetic properties of samples from five kinds of formations in the basement complex of Wright Valley(77.53°S latitude and 161.63ｰElongitude), Southern Victoria Land, An | p.1: Geoelectr., 36, 529-563, 1984 Investigation of the Paleomagnetism of the Basement Complex of Wright Valley, Southern Victoria Land, Antarctica Minoru FUNAKI National Institute of Polar Research, Tokyo, Japan (Received July 21, 1983) The basic magnetic properties, hysteresis, AF demagnetization, thermal demagnetization and thermo-magnetic properties of samples from five kinds of formations in the basement complex of Wright Valley(77.53°S latitude and 161.63ｰElongitude), Southern Victoria Land, An | p.1: Geoelectr., 36, 529-563, 1984 Investigation of the Paleomagnetism of the Basement Complex of Wright Valley, Southern Victoria Land, Antarctica Minoru FUNAKI National Institute of Polar Research, Tokyo, Japan (Received July 21, 1983) The basic magnetic properties, hysteresis, AF demagnetization, thermal demagnetization and thermo-magnetic properties of samples from five kinds of formations in the basement complex of Wright Valley(77.53°S latitude and 161.63ｰElongitude), Southern Victoria Land, An</x:v>
      </x:c>
      <x:c r="AH41" s="58" t="n">
        <x:v>0.8985006864505991</x:v>
      </x:c>
      <x:c r="AI41" s="56" t="n">
        <x:f>--(AH41&gt;=0.5)</x:f>
        <x:v>1</x:v>
      </x:c>
      <x:c r="AJ41" s="56" t="n">
        <x:f>--(AI41=O41)</x:f>
        <x:v>0</x:v>
      </x:c>
      <x:c r="AK41" s="58" t="n">
        <x:v>0.8985006864505991</x:v>
      </x:c>
      <x:c r="AL41" s="56" t="n">
        <x:f>--(AK41&gt;=0.5)</x:f>
        <x:v>1</x:v>
      </x:c>
      <x:c r="AM41" s="56" t="n">
        <x:f>--(AL41=O41)</x:f>
        <x:v>0</x:v>
      </x:c>
    </x:row>
    <x:row r="42" ht="32" customHeight="1">
      <x:c r="A42" s="56" t="str">
        <x:v>1599</x:v>
      </x:c>
      <x:c r="B42" s="56" t="str">
        <x:v>1078</x:v>
      </x:c>
      <x:c r="C42" s="56" t="str">
        <x:v>894</x:v>
      </x:c>
      <x:c r="D42" s="56" t="str">
        <x:v>Vanda lamprophyre and porphyry</x:v>
      </x:c>
      <x:c r="E42" s="56" t="str">
        <x:v>-77.5</x:v>
      </x:c>
      <x:c r="F42" s="56" t="str">
        <x:v>161.60001</x:v>
      </x:c>
      <x:c r="G42" s="56" t="str"/>
      <x:c r="H42" s="56" t="str">
        <x:v>222.39999</x:v>
      </x:c>
      <x:c r="I42" s="56" t="str">
        <x:v>-13.2</x:v>
      </x:c>
      <x:c r="J42" s="56" t="str">
        <x:v>2.5</x:v>
      </x:c>
      <x:c r="K42" s="56" t="str">
        <x:v>203.8</x:v>
      </x:c>
      <x:c r="L42" s="56" t="str">
        <x:v>D</x:v>
      </x:c>
      <x:c r="M42" s="59" t="str">
        <x:v>Js-T(220-570C)</x:v>
      </x:c>
      <x:c r="N42" s="56" t="n">
        <x:f>--(LEN(M42)&gt;0)</x:f>
        <x:v>1</x:v>
      </x:c>
      <x:c r="O42" s="56" t="n">
        <x:v>1</x:v>
      </x:c>
      <x:c r="P42" s="56" t="n">
        <x:f>--(N42=O42)</x:f>
        <x:v>1</x:v>
      </x:c>
      <x:c r="Q42" s="56" t="str">
        <x:v>PRESENT</x:v>
      </x:c>
      <x:c r="R42" s="59" t="str">
        <x:v>IRM,SUSC-T(MAGN,TM)</x:v>
      </x:c>
      <x:c r="S42" s="59" t="str">
        <x:v>IRM,SUSC-T(MAGN,TM)</x:v>
      </x:c>
      <x:c r="T42" s="56" t="n">
        <x:f>--(Q42="PRESENT")</x:f>
        <x:v>1</x:v>
      </x:c>
      <x:c r="U42" s="56" t="n">
        <x:f>--(T42=N42)</x:f>
        <x:v>1</x:v>
      </x:c>
      <x:c r="V42" s="56" t="n">
        <x:f>--(T42=O42)</x:f>
        <x:v>1</x:v>
      </x:c>
      <x:c r="W42" s="56" t="n">
        <x:f>--(OR(Q42="PRESENT",Q42="ABSENT"))</x:f>
        <x:v>1</x:v>
      </x:c>
      <x:c r="X42" s="56" t="str">
        <x:v>MEDIUM</x:v>
      </x:c>
      <x:c r="Y42" s="56" t="str">
        <x:v>METADATA_UNIQUE</x:v>
      </x:c>
      <x:c r="Z42" s="57" t="b">
        <x:v>1</x:v>
      </x:c>
      <x:c r="AA42" s="57" t="b">
        <x:v>1</x:v>
      </x:c>
      <x:c r="AB42" s="56" t="n">
        <x:v>0</x:v>
      </x:c>
      <x:c r="AC42" s="56" t="str">
        <x:v>IRM,SUSC-T</x:v>
      </x:c>
      <x:c r="AD42" s="56" t="str">
        <x:v>MAGN,TM</x:v>
      </x:c>
      <x:c r="AE42" s="56" t="str">
        <x:v>MD</x:v>
      </x:c>
      <x:c r="AF42" s="56" t="str">
        <x:v>6, 18, 19</x:v>
      </x:c>
      <x:c r="AG42" s="59" t="str">
        <x:v>p.19: Classification into 6 types of the thermomagnetic curves for Vanda lamprophyre and "red dyke" samples. | p.6: IRM | p.18: A relationship between the inclination of NRM and Curie point for these samples is recognized in the samples of Vanda lamprophyre: samples of Type 1 and 3, which show the distinct Curie point of magnetite, have low inclination NRM, at about-20°;those of Type s and 6,which have lower Curie points less than 500℃, have high inclinations of-70° to-80°;those of Type 4 1ie between the two other cases.</x:v>
      </x:c>
      <x:c r="AH42" s="58" t="n">
        <x:v>0.907314120624048</x:v>
      </x:c>
      <x:c r="AI42" s="56" t="n">
        <x:f>--(AH42&gt;=0.5)</x:f>
        <x:v>1</x:v>
      </x:c>
      <x:c r="AJ42" s="56" t="n">
        <x:f>--(AI42=O42)</x:f>
        <x:v>1</x:v>
      </x:c>
      <x:c r="AK42" s="58" t="n">
        <x:v>0.907314120624048</x:v>
      </x:c>
      <x:c r="AL42" s="56" t="n">
        <x:f>--(AK42&gt;=0.5)</x:f>
        <x:v>1</x:v>
      </x:c>
      <x:c r="AM42" s="56" t="n">
        <x:f>--(AL42=O42)</x:f>
        <x:v>1</x:v>
      </x:c>
    </x:row>
    <x:row r="43" ht="32" customHeight="1">
      <x:c r="A43" s="56" t="str">
        <x:v>1900</x:v>
      </x:c>
      <x:c r="B43" s="56" t="str">
        <x:v>1706</x:v>
      </x:c>
      <x:c r="C43" s="56" t="str">
        <x:v>1428</x:v>
      </x:c>
      <x:c r="D43" s="56" t="str">
        <x:v>Wabigoon gabbro</x:v>
      </x:c>
      <x:c r="E43" s="56" t="str">
        <x:v>49.700001</x:v>
      </x:c>
      <x:c r="F43" s="56" t="str">
        <x:v>-92.599998</x:v>
      </x:c>
      <x:c r="G43" s="56" t="str"/>
      <x:c r="H43" s="56" t="str">
        <x:v>245.60001</x:v>
      </x:c>
      <x:c r="I43" s="56" t="str">
        <x:v>11.9</x:v>
      </x:c>
      <x:c r="J43" s="56" t="str">
        <x:v>-10.7</x:v>
      </x:c>
      <x:c r="K43" s="56" t="str">
        <x:v>200.2</x:v>
      </x:c>
      <x:c r="L43" s="56" t="str">
        <x:v>D</x:v>
      </x:c>
      <x:c r="M43" s="59" t="str">
        <x:v>Js-T(CT 550-580C)</x:v>
      </x:c>
      <x:c r="N43" s="56" t="n">
        <x:f>--(LEN(M43)&gt;0)</x:f>
        <x:v>1</x:v>
      </x:c>
      <x:c r="O43" s="56" t="n">
        <x:v>1</x:v>
      </x:c>
      <x:c r="P43" s="56" t="n">
        <x:f>--(N43=O43)</x:f>
        <x:v>1</x:v>
      </x:c>
      <x:c r="Q43" s="56" t="str">
        <x:v>PRESENT</x:v>
      </x:c>
      <x:c r="R43" s="59" t="str">
        <x:v>SUSC-T(MAGN)</x:v>
      </x:c>
      <x:c r="S43" s="59" t="str">
        <x:v>SUSC-T(MAGN)</x:v>
      </x:c>
      <x:c r="T43" s="56" t="n">
        <x:f>--(Q43="PRESENT")</x:f>
        <x:v>1</x:v>
      </x:c>
      <x:c r="U43" s="56" t="n">
        <x:f>--(T43=N43)</x:f>
        <x:v>1</x:v>
      </x:c>
      <x:c r="V43" s="56" t="n">
        <x:f>--(T43=O43)</x:f>
        <x:v>1</x:v>
      </x:c>
      <x:c r="W43" s="56" t="n">
        <x:f>--(OR(Q43="PRESENT",Q43="ABSENT"))</x:f>
        <x:v>1</x:v>
      </x:c>
      <x:c r="X43" s="56" t="str">
        <x:v>HIGH</x:v>
      </x:c>
      <x:c r="Y43" s="56" t="str">
        <x:v>PAPER_ROW_MATCH</x:v>
      </x:c>
      <x:c r="Z43" s="57" t="b">
        <x:v>1</x:v>
      </x:c>
      <x:c r="AA43" s="57" t="b">
        <x:v>1</x:v>
      </x:c>
      <x:c r="AB43" s="56" t="n">
        <x:v>0</x:v>
      </x:c>
      <x:c r="AC43" s="56" t="str">
        <x:v>SUSC-T</x:v>
      </x:c>
      <x:c r="AD43" s="56" t="str">
        <x:v>MAGN</x:v>
      </x:c>
      <x:c r="AE43" s="56" t="str"/>
      <x:c r="AF43" s="56" t="str">
        <x:v>1, 3, 8</x:v>
      </x:c>
      <x:c r="AG43" s="59" t="str">
        <x:v>p.3: Results--Wabigoon gabbro Thermomagnetic analysis Strong-field, vacuum thermomagnetic curves, of which Fig. 3 is a particularly noise-free example, indicate that magnetite with a Curie temperature between 550 and 580°C is the principal magnetic phase. | p.3: Results--Wabigoon gabbro Thermomagnetic analysis Strong-field, vacuum thermomagnetic curves, of which Fig. 3 is a particularly noise-free example, indicate that magnetite with a Curie temperature between 550 and 580°C is the principal magnetic phase. | p.3: Results--Wabigoon gabbro Thermomagnetic analysis Strong-field, vacuum thermomagnetic curves, of which Fig. 3 is a particularly noise-free example, indicate that magnetite with a Curie temperature between 550 and 580°C is the principal magnetic phase.</x:v>
      </x:c>
      <x:c r="AH43" s="58" t="n">
        <x:v>0.8035237465475134</x:v>
      </x:c>
      <x:c r="AI43" s="56" t="n">
        <x:f>--(AH43&gt;=0.5)</x:f>
        <x:v>1</x:v>
      </x:c>
      <x:c r="AJ43" s="56" t="n">
        <x:f>--(AI43=O43)</x:f>
        <x:v>1</x:v>
      </x:c>
      <x:c r="AK43" s="58" t="n">
        <x:v>0.8035237465475134</x:v>
      </x:c>
      <x:c r="AL43" s="56" t="n">
        <x:f>--(AK43&gt;=0.5)</x:f>
        <x:v>1</x:v>
      </x:c>
      <x:c r="AM43" s="56" t="n">
        <x:f>--(AL43=O43)</x:f>
        <x:v>1</x:v>
      </x:c>
    </x:row>
    <x:row r="44" ht="32" customHeight="1">
      <x:c r="A44" s="56" t="str">
        <x:v>1900</x:v>
      </x:c>
      <x:c r="B44" s="56" t="str">
        <x:v>1708</x:v>
      </x:c>
      <x:c r="C44" s="56" t="str">
        <x:v>1430</x:v>
      </x:c>
      <x:c r="D44" s="56" t="str">
        <x:v>Wabigoon dyke</x:v>
      </x:c>
      <x:c r="E44" s="56" t="str">
        <x:v>49.700001</x:v>
      </x:c>
      <x:c r="F44" s="56" t="str">
        <x:v>-92.900002</x:v>
      </x:c>
      <x:c r="G44" s="56" t="str"/>
      <x:c r="H44" s="56" t="str">
        <x:v>267</x:v>
      </x:c>
      <x:c r="I44" s="56" t="str">
        <x:v>79.800003</x:v>
      </x:c>
      <x:c r="J44" s="56" t="str">
        <x:v>45</x:v>
      </x:c>
      <x:c r="K44" s="56" t="str">
        <x:v>238.5</x:v>
      </x:c>
      <x:c r="L44" s="56" t="str">
        <x:v>D</x:v>
      </x:c>
      <x:c r="M44" s="59" t="str"/>
      <x:c r="N44" s="56" t="n">
        <x:f>--(LEN(M44)&gt;0)</x:f>
        <x:v>0</x:v>
      </x:c>
      <x:c r="O44" s="56" t="n">
        <x:v>0</x:v>
      </x:c>
      <x:c r="P44" s="56" t="n">
        <x:f>--(N44=O44)</x:f>
        <x:v>1</x:v>
      </x:c>
      <x:c r="Q44" s="56" t="str">
        <x:v>ABSTAIN_INSUFFICIENT</x:v>
      </x:c>
      <x:c r="R44" s="59" t="str"/>
      <x:c r="S44" s="59" t="str"/>
      <x:c r="T44" s="56" t="n">
        <x:f>--(Q44="PRESENT")</x:f>
        <x:v>0</x:v>
      </x:c>
      <x:c r="U44" s="56" t="n">
        <x:f>--(T44=N44)</x:f>
        <x:v>1</x:v>
      </x:c>
      <x:c r="V44" s="56" t="n">
        <x:f>--(T44=O44)</x:f>
        <x:v>1</x:v>
      </x:c>
      <x:c r="W44" s="56" t="n">
        <x:f>--(OR(Q44="PRESENT",Q44="ABSENT"))</x:f>
        <x:v>0</x:v>
      </x:c>
      <x:c r="X44" s="56" t="str">
        <x:v>LOW</x:v>
      </x:c>
      <x:c r="Y44" s="56" t="str">
        <x:v>METADATA_UNIQUE</x:v>
      </x:c>
      <x:c r="Z44" s="57" t="b">
        <x:v>1</x:v>
      </x:c>
      <x:c r="AA44" s="57" t="b">
        <x:v>1</x:v>
      </x:c>
      <x:c r="AB44" s="56" t="n">
        <x:v>0</x:v>
      </x:c>
      <x:c r="AC44" s="56" t="str"/>
      <x:c r="AD44" s="56" t="str"/>
      <x:c r="AE44" s="56" t="str"/>
      <x:c r="AF44" s="56" t="str"/>
      <x:c r="AG44" s="59" t="str"/>
      <x:c r="AH44" s="58" t="n">
        <x:v>0.8161861669349789</x:v>
      </x:c>
      <x:c r="AI44" s="56" t="n">
        <x:f>--(AH44&gt;=0.5)</x:f>
        <x:v>1</x:v>
      </x:c>
      <x:c r="AJ44" s="56" t="n">
        <x:f>--(AI44=O44)</x:f>
        <x:v>0</x:v>
      </x:c>
      <x:c r="AK44" s="58" t="n">
        <x:v>0.816186166934979</x:v>
      </x:c>
      <x:c r="AL44" s="56" t="n">
        <x:f>--(AK44&gt;=0.5)</x:f>
        <x:v>1</x:v>
      </x:c>
      <x:c r="AM44" s="56" t="n">
        <x:f>--(AL44=O44)</x:f>
        <x:v>0</x:v>
      </x:c>
    </x:row>
    <x:row r="45" ht="32" customHeight="1">
      <x:c r="A45" s="56" t="str">
        <x:v>1064</x:v>
      </x:c>
      <x:c r="B45" s="56" t="str">
        <x:v>2149</x:v>
      </x:c>
      <x:c r="C45" s="56" t="str">
        <x:v>1804</x:v>
      </x:c>
      <x:c r="D45" s="56" t="str">
        <x:v>Superior Province Dykes Combined, West Directions</x:v>
      </x:c>
      <x:c r="E45" s="56" t="str">
        <x:v>48</x:v>
      </x:c>
      <x:c r="F45" s="56" t="str">
        <x:v>-80</x:v>
      </x:c>
      <x:c r="G45" s="56" t="str">
        <x:v>Combined W Mag</x:v>
      </x:c>
      <x:c r="H45" s="56" t="str">
        <x:v>267</x:v>
      </x:c>
      <x:c r="I45" s="56" t="str">
        <x:v>63</x:v>
      </x:c>
      <x:c r="J45" s="56" t="str">
        <x:v>30</x:v>
      </x:c>
      <x:c r="K45" s="56" t="str">
        <x:v>225</x:v>
      </x:c>
      <x:c r="L45" s="56" t="str">
        <x:v>D</x:v>
      </x:c>
      <x:c r="M45" s="59" t="str">
        <x:v>OP(MAGN + exs.ILM)</x:v>
      </x:c>
      <x:c r="N45" s="56" t="n">
        <x:f>--(LEN(M45)&gt;0)</x:f>
        <x:v>1</x:v>
      </x:c>
      <x:c r="O45" s="56" t="n">
        <x:v>1</x:v>
      </x:c>
      <x:c r="P45" s="56" t="n">
        <x:f>--(N45=O45)</x:f>
        <x:v>1</x:v>
      </x:c>
      <x:c r="Q45" s="56" t="str">
        <x:v>ABSTAIN_INSUFFICIENT</x:v>
      </x:c>
      <x:c r="R45" s="59" t="str"/>
      <x:c r="S45" s="59" t="str"/>
      <x:c r="T45" s="56" t="n">
        <x:f>--(Q45="PRESENT")</x:f>
        <x:v>0</x:v>
      </x:c>
      <x:c r="U45" s="56" t="n">
        <x:f>--(T45=N45)</x:f>
        <x:v>0</x:v>
      </x:c>
      <x:c r="V45" s="56" t="n">
        <x:f>--(T45=O45)</x:f>
        <x:v>0</x:v>
      </x:c>
      <x:c r="W45" s="56" t="n">
        <x:f>--(OR(Q45="PRESENT",Q45="ABSENT"))</x:f>
        <x:v>0</x:v>
      </x:c>
      <x:c r="X45" s="56" t="str">
        <x:v>LOW</x:v>
      </x:c>
      <x:c r="Y45" s="56" t="str">
        <x:v>PAPER_ROW_MATCH</x:v>
      </x:c>
      <x:c r="Z45" s="57" t="b">
        <x:v>1</x:v>
      </x:c>
      <x:c r="AA45" s="57" t="b">
        <x:v>1</x:v>
      </x:c>
      <x:c r="AB45" s="56" t="n">
        <x:v>0</x:v>
      </x:c>
      <x:c r="AC45" s="56" t="str"/>
      <x:c r="AD45" s="56" t="str"/>
      <x:c r="AE45" s="56" t="str"/>
      <x:c r="AF45" s="56" t="str">
        <x:v>16</x:v>
      </x:c>
      <x:c r="AG45" s="59" t="str">
        <x:v>p.16: E. IRVING AND A. J. NALDRETT TABLE 2 SUMMARY OF RESULTS B k 62° 950 1 Abitibi dikes directions (earlier) 10 264, +61 102 5 2 Abitibi dikes directions (herein) 12 267, + 63 117 7 4 3 Abitibi dikes poles (herein) 12 30N, 135W 58 10 6 4 Matachewan dikes directions (earlier) 5 Matachewan dikes directions 10 207, 16 54 10 7 6 Matachewan dikes poles 10 44N, 60E 97 8 5 11 Pike's Hill laval corrected direction 1 178, 12 (24) (16) (6) 12 Pike's Hill lava corrected pole 1 47N, 103E (5) 7 Kamiskotia comple</x:v>
      </x:c>
      <x:c r="AH45" s="58" t="n">
        <x:v>0.38747950658726876</x:v>
      </x:c>
      <x:c r="AI45" s="56" t="n">
        <x:f>--(AH45&gt;=0.5)</x:f>
        <x:v>0</x:v>
      </x:c>
      <x:c r="AJ45" s="56" t="n">
        <x:f>--(AI45=O45)</x:f>
        <x:v>0</x:v>
      </x:c>
      <x:c r="AK45" s="58" t="n">
        <x:v>0.38747950658726876</x:v>
      </x:c>
      <x:c r="AL45" s="56" t="n">
        <x:f>--(AK45&gt;=0.5)</x:f>
        <x:v>0</x:v>
      </x:c>
      <x:c r="AM45" s="56" t="n">
        <x:f>--(AL45=O45)</x:f>
        <x:v>0</x:v>
      </x:c>
    </x:row>
    <x:row r="46" ht="32" customHeight="1">
      <x:c r="A46" s="56" t="str">
        <x:v>1064</x:v>
      </x:c>
      <x:c r="B46" s="56" t="str">
        <x:v>2150</x:v>
      </x:c>
      <x:c r="C46" s="56" t="str">
        <x:v>1805</x:v>
      </x:c>
      <x:c r="D46" s="56" t="str">
        <x:v>Archean Gabbro</x:v>
      </x:c>
      <x:c r="E46" s="56" t="str">
        <x:v>48.200001</x:v>
      </x:c>
      <x:c r="F46" s="56" t="str">
        <x:v>-80.5</x:v>
      </x:c>
      <x:c r="G46" s="56" t="str"/>
      <x:c r="H46" s="56" t="str">
        <x:v>189</x:v>
      </x:c>
      <x:c r="I46" s="56" t="str">
        <x:v>-23</x:v>
      </x:c>
      <x:c r="J46" s="56" t="str">
        <x:v>52.700001</x:v>
      </x:c>
      <x:c r="K46" s="56" t="str">
        <x:v>85.099998</x:v>
      </x:c>
      <x:c r="L46" s="56" t="str">
        <x:v>D</x:v>
      </x:c>
      <x:c r="M46" s="59" t="str">
        <x:v>OP(MAGN + ILM exs.lam.)</x:v>
      </x:c>
      <x:c r="N46" s="56" t="n">
        <x:f>--(LEN(M46)&gt;0)</x:f>
        <x:v>1</x:v>
      </x:c>
      <x:c r="O46" s="56" t="n">
        <x:v>1</x:v>
      </x:c>
      <x:c r="P46" s="56" t="n">
        <x:f>--(N46=O46)</x:f>
        <x:v>1</x:v>
      </x:c>
      <x:c r="Q46" s="56" t="str">
        <x:v>ABSTAIN_INSUFFICIENT</x:v>
      </x:c>
      <x:c r="R46" s="59" t="str"/>
      <x:c r="S46" s="59" t="str"/>
      <x:c r="T46" s="56" t="n">
        <x:f>--(Q46="PRESENT")</x:f>
        <x:v>0</x:v>
      </x:c>
      <x:c r="U46" s="56" t="n">
        <x:f>--(T46=N46)</x:f>
        <x:v>0</x:v>
      </x:c>
      <x:c r="V46" s="56" t="n">
        <x:f>--(T46=O46)</x:f>
        <x:v>0</x:v>
      </x:c>
      <x:c r="W46" s="56" t="n">
        <x:f>--(OR(Q46="PRESENT",Q46="ABSENT"))</x:f>
        <x:v>0</x:v>
      </x:c>
      <x:c r="X46" s="56" t="str">
        <x:v>LOW</x:v>
      </x:c>
      <x:c r="Y46" s="56" t="str">
        <x:v>METADATA_UNIQUE</x:v>
      </x:c>
      <x:c r="Z46" s="57" t="b">
        <x:v>1</x:v>
      </x:c>
      <x:c r="AA46" s="57" t="b">
        <x:v>1</x:v>
      </x:c>
      <x:c r="AB46" s="56" t="n">
        <x:v>0</x:v>
      </x:c>
      <x:c r="AC46" s="56" t="str"/>
      <x:c r="AD46" s="56" t="str"/>
      <x:c r="AE46" s="56" t="str"/>
      <x:c r="AF46" s="56" t="str"/>
      <x:c r="AG46" s="59" t="str"/>
      <x:c r="AH46" s="58" t="n">
        <x:v>0.4411263484785258</x:v>
      </x:c>
      <x:c r="AI46" s="56" t="n">
        <x:f>--(AH46&gt;=0.5)</x:f>
        <x:v>0</x:v>
      </x:c>
      <x:c r="AJ46" s="56" t="n">
        <x:f>--(AI46=O46)</x:f>
        <x:v>0</x:v>
      </x:c>
      <x:c r="AK46" s="58" t="n">
        <x:v>0.4411263484785257</x:v>
      </x:c>
      <x:c r="AL46" s="56" t="n">
        <x:f>--(AK46&gt;=0.5)</x:f>
        <x:v>0</x:v>
      </x:c>
      <x:c r="AM46" s="56" t="n">
        <x:f>--(AL46=O46)</x:f>
        <x:v>0</x:v>
      </x:c>
    </x:row>
    <x:row r="47" ht="32" customHeight="1">
      <x:c r="A47" s="56" t="str">
        <x:v>1064</x:v>
      </x:c>
      <x:c r="B47" s="56" t="str">
        <x:v>2151</x:v>
      </x:c>
      <x:c r="C47" s="56" t="str">
        <x:v>1806</x:v>
      </x:c>
      <x:c r="D47" s="56" t="str">
        <x:v>Dundonald Sill</x:v>
      </x:c>
      <x:c r="E47" s="56" t="str">
        <x:v>48.599998</x:v>
      </x:c>
      <x:c r="F47" s="56" t="str">
        <x:v>-80.900002</x:v>
      </x:c>
      <x:c r="G47" s="56" t="str"/>
      <x:c r="H47" s="56" t="str">
        <x:v>269</x:v>
      </x:c>
      <x:c r="I47" s="56" t="str">
        <x:v>32</x:v>
      </x:c>
      <x:c r="J47" s="56" t="str">
        <x:v>-13</x:v>
      </x:c>
      <x:c r="K47" s="56" t="str">
        <x:v>21</x:v>
      </x:c>
      <x:c r="L47" s="56" t="str">
        <x:v>D</x:v>
      </x:c>
      <x:c r="M47" s="59" t="str"/>
      <x:c r="N47" s="56" t="n">
        <x:f>--(LEN(M47)&gt;0)</x:f>
        <x:v>0</x:v>
      </x:c>
      <x:c r="O47" s="56" t="n">
        <x:v>0</x:v>
      </x:c>
      <x:c r="P47" s="56" t="n">
        <x:f>--(N47=O47)</x:f>
        <x:v>1</x:v>
      </x:c>
      <x:c r="Q47" s="56" t="str">
        <x:v>PRESENT</x:v>
      </x:c>
      <x:c r="R47" s="59" t="str">
        <x:v>OP(MAGN,ILM,PYRR)</x:v>
      </x:c>
      <x:c r="S47" s="59" t="str">
        <x:v>OP(MAGN,ILM,PYRR)</x:v>
      </x:c>
      <x:c r="T47" s="56" t="n">
        <x:f>--(Q47="PRESENT")</x:f>
        <x:v>1</x:v>
      </x:c>
      <x:c r="U47" s="56" t="n">
        <x:f>--(T47=N47)</x:f>
        <x:v>0</x:v>
      </x:c>
      <x:c r="V47" s="56" t="n">
        <x:f>--(T47=O47)</x:f>
        <x:v>0</x:v>
      </x:c>
      <x:c r="W47" s="56" t="n">
        <x:f>--(OR(Q47="PRESENT",Q47="ABSENT"))</x:f>
        <x:v>1</x:v>
      </x:c>
      <x:c r="X47" s="56" t="str">
        <x:v>HIGH</x:v>
      </x:c>
      <x:c r="Y47" s="56" t="str">
        <x:v>PAPER_ROW_MATCH</x:v>
      </x:c>
      <x:c r="Z47" s="57" t="b">
        <x:v>1</x:v>
      </x:c>
      <x:c r="AA47" s="57" t="b">
        <x:v>1</x:v>
      </x:c>
      <x:c r="AB47" s="56" t="n">
        <x:v>0</x:v>
      </x:c>
      <x:c r="AC47" s="56" t="str">
        <x:v>OP</x:v>
      </x:c>
      <x:c r="AD47" s="56" t="str">
        <x:v>MAGN,ILM,PYRR</x:v>
      </x:c>
      <x:c r="AE47" s="56" t="str"/>
      <x:c r="AF47" s="56" t="str">
        <x:v>4, 8, 16</x:v>
      </x:c>
      <x:c r="AG47" s="59" t="str">
        <x:v>p.4: opaque mineral | p.4: magnetite | p.4: Magnetite</x:v>
      </x:c>
      <x:c r="AH47" s="58" t="n">
        <x:v>0.4082826483170912</x:v>
      </x:c>
      <x:c r="AI47" s="56" t="n">
        <x:f>--(AH47&gt;=0.5)</x:f>
        <x:v>0</x:v>
      </x:c>
      <x:c r="AJ47" s="56" t="n">
        <x:f>--(AI47=O47)</x:f>
        <x:v>1</x:v>
      </x:c>
      <x:c r="AK47" s="58" t="n">
        <x:v>0.40828264831709116</x:v>
      </x:c>
      <x:c r="AL47" s="56" t="n">
        <x:f>--(AK47&gt;=0.5)</x:f>
        <x:v>0</x:v>
      </x:c>
      <x:c r="AM47" s="56" t="n">
        <x:f>--(AL47=O47)</x:f>
        <x:v>1</x:v>
      </x:c>
    </x:row>
    <x:row r="48" ht="32" customHeight="1">
      <x:c r="A48" s="56" t="str">
        <x:v>1064</x:v>
      </x:c>
      <x:c r="B48" s="56" t="str">
        <x:v>2152</x:v>
      </x:c>
      <x:c r="C48" s="56" t="str">
        <x:v>1807</x:v>
      </x:c>
      <x:c r="D48" s="56" t="str">
        <x:v>Kamiskotia Complex</x:v>
      </x:c>
      <x:c r="E48" s="56" t="str">
        <x:v>48.5</x:v>
      </x:c>
      <x:c r="F48" s="56" t="str">
        <x:v>-81.599998</x:v>
      </x:c>
      <x:c r="G48" s="56" t="str"/>
      <x:c r="H48" s="56" t="str">
        <x:v>289</x:v>
      </x:c>
      <x:c r="I48" s="56" t="str">
        <x:v>23</x:v>
      </x:c>
      <x:c r="J48" s="56" t="str">
        <x:v>-21</x:v>
      </x:c>
      <x:c r="K48" s="56" t="str">
        <x:v>2</x:v>
      </x:c>
      <x:c r="L48" s="56" t="str">
        <x:v>D</x:v>
      </x:c>
      <x:c r="M48" s="59" t="str">
        <x:v>OP(MAGN,ILM)</x:v>
      </x:c>
      <x:c r="N48" s="56" t="n">
        <x:f>--(LEN(M48)&gt;0)</x:f>
        <x:v>1</x:v>
      </x:c>
      <x:c r="O48" s="56" t="n">
        <x:v>1</x:v>
      </x:c>
      <x:c r="P48" s="56" t="n">
        <x:f>--(N48=O48)</x:f>
        <x:v>1</x:v>
      </x:c>
      <x:c r="Q48" s="56" t="str">
        <x:v>PRESENT</x:v>
      </x:c>
      <x:c r="R48" s="59" t="str">
        <x:v>OP(MAGN,ILM,HEM,PYRR)</x:v>
      </x:c>
      <x:c r="S48" s="59" t="str">
        <x:v>OP(MAGN,ILM,HEM,PYRR)</x:v>
      </x:c>
      <x:c r="T48" s="56" t="n">
        <x:f>--(Q48="PRESENT")</x:f>
        <x:v>1</x:v>
      </x:c>
      <x:c r="U48" s="56" t="n">
        <x:f>--(T48=N48)</x:f>
        <x:v>1</x:v>
      </x:c>
      <x:c r="V48" s="56" t="n">
        <x:f>--(T48=O48)</x:f>
        <x:v>1</x:v>
      </x:c>
      <x:c r="W48" s="56" t="n">
        <x:f>--(OR(Q48="PRESENT",Q48="ABSENT"))</x:f>
        <x:v>1</x:v>
      </x:c>
      <x:c r="X48" s="56" t="str">
        <x:v>HIGH</x:v>
      </x:c>
      <x:c r="Y48" s="56" t="str">
        <x:v>PAPER_ROW_MATCH</x:v>
      </x:c>
      <x:c r="Z48" s="57" t="b">
        <x:v>1</x:v>
      </x:c>
      <x:c r="AA48" s="57" t="b">
        <x:v>1</x:v>
      </x:c>
      <x:c r="AB48" s="56" t="n">
        <x:v>0</x:v>
      </x:c>
      <x:c r="AC48" s="56" t="str">
        <x:v>OP</x:v>
      </x:c>
      <x:c r="AD48" s="56" t="str">
        <x:v>MAGN,ILM,HEM,PYRR</x:v>
      </x:c>
      <x:c r="AE48" s="56" t="str"/>
      <x:c r="AF48" s="56" t="str">
        <x:v>4, 8, 11, 12, 16</x:v>
      </x:c>
      <x:c r="AG48" s="59" t="str">
        <x:v>p.4: opaque mineral | p.12: Opaque mineral | p.4: The Kamiskotia complex belongs petro- logically to a group of anorthositic magnetite rich intrusions including the Dord Lake and Bell River complexes (Class I subclass ii(b) of Naldrett and Cabri 1976), which are probably com- parable in age to the basement.</x:v>
      </x:c>
      <x:c r="AH48" s="58" t="n">
        <x:v>0.43381334996610527</x:v>
      </x:c>
      <x:c r="AI48" s="56" t="n">
        <x:f>--(AH48&gt;=0.5)</x:f>
        <x:v>0</x:v>
      </x:c>
      <x:c r="AJ48" s="56" t="n">
        <x:f>--(AI48=O48)</x:f>
        <x:v>0</x:v>
      </x:c>
      <x:c r="AK48" s="58" t="n">
        <x:v>0.4338133499661052</x:v>
      </x:c>
      <x:c r="AL48" s="56" t="n">
        <x:f>--(AK48&gt;=0.5)</x:f>
        <x:v>0</x:v>
      </x:c>
      <x:c r="AM48" s="56" t="n">
        <x:f>--(AL48=O48)</x:f>
        <x:v>0</x:v>
      </x:c>
    </x:row>
    <x:row r="49" ht="32" customHeight="1">
      <x:c r="A49" s="56" t="str">
        <x:v>1064</x:v>
      </x:c>
      <x:c r="B49" s="56" t="str">
        <x:v>2153</x:v>
      </x:c>
      <x:c r="C49" s="56" t="str">
        <x:v>1808</x:v>
      </x:c>
      <x:c r="D49" s="56" t="str">
        <x:v>Matachewan Dykes</x:v>
      </x:c>
      <x:c r="E49" s="56" t="str">
        <x:v>48.200001</x:v>
      </x:c>
      <x:c r="F49" s="56" t="str">
        <x:v>-80.5</x:v>
      </x:c>
      <x:c r="G49" s="56" t="str"/>
      <x:c r="H49" s="56" t="str">
        <x:v>207</x:v>
      </x:c>
      <x:c r="I49" s="56" t="str">
        <x:v>-16</x:v>
      </x:c>
      <x:c r="J49" s="56" t="str">
        <x:v>44</x:v>
      </x:c>
      <x:c r="K49" s="56" t="str">
        <x:v>60</x:v>
      </x:c>
      <x:c r="L49" s="56" t="str">
        <x:v>V</x:v>
      </x:c>
      <x:c r="M49" s="59" t="str"/>
      <x:c r="N49" s="56" t="n">
        <x:f>--(LEN(M49)&gt;0)</x:f>
        <x:v>0</x:v>
      </x:c>
      <x:c r="O49" s="56" t="n">
        <x:v>0</x:v>
      </x:c>
      <x:c r="P49" s="56" t="n">
        <x:f>--(N49=O49)</x:f>
        <x:v>1</x:v>
      </x:c>
      <x:c r="Q49" s="56" t="str">
        <x:v>ABSTAIN_INSUFFICIENT</x:v>
      </x:c>
      <x:c r="R49" s="59" t="str"/>
      <x:c r="S49" s="59" t="str"/>
      <x:c r="T49" s="56" t="n">
        <x:f>--(Q49="PRESENT")</x:f>
        <x:v>0</x:v>
      </x:c>
      <x:c r="U49" s="56" t="n">
        <x:f>--(T49=N49)</x:f>
        <x:v>1</x:v>
      </x:c>
      <x:c r="V49" s="56" t="n">
        <x:f>--(T49=O49)</x:f>
        <x:v>1</x:v>
      </x:c>
      <x:c r="W49" s="56" t="n">
        <x:f>--(OR(Q49="PRESENT",Q49="ABSENT"))</x:f>
        <x:v>0</x:v>
      </x:c>
      <x:c r="X49" s="56" t="str">
        <x:v>LOW</x:v>
      </x:c>
      <x:c r="Y49" s="56" t="str">
        <x:v>PAPER_ROW_MATCH</x:v>
      </x:c>
      <x:c r="Z49" s="57" t="b">
        <x:v>1</x:v>
      </x:c>
      <x:c r="AA49" s="57" t="b">
        <x:v>1</x:v>
      </x:c>
      <x:c r="AB49" s="56" t="n">
        <x:v>0</x:v>
      </x:c>
      <x:c r="AC49" s="56" t="str"/>
      <x:c r="AD49" s="56" t="str"/>
      <x:c r="AE49" s="56" t="str"/>
      <x:c r="AF49" s="56" t="str">
        <x:v>16</x:v>
      </x:c>
      <x:c r="AG49" s="59" t="str">
        <x:v>p.16: E. IRVING AND A. J. NALDRETT TABLE 2 SUMMARY OF RESULTS B k 62° 950 1 Abitibi dikes directions (earlier) 10 264, +61 102 5 2 Abitibi dikes directions (herein) 12 267, + 63 117 7 4 3 Abitibi dikes poles (herein) 12 30N, 135W 58 10 6 4 Matachewan dikes directions (earlier) 5 Matachewan dikes directions 10 207, 16 54 10 7 6 Matachewan dikes poles 10 44N, 60E 97 8 5 11 Pike's Hill laval corrected direction 1 178, 12 (24) (16) (6) 12 Pike's Hill lava corrected pole 1 47N, 103E (5) 7 Kamiskotia comple</x:v>
      </x:c>
      <x:c r="AH49" s="58" t="n">
        <x:v>0.39877055552893537</x:v>
      </x:c>
      <x:c r="AI49" s="56" t="n">
        <x:f>--(AH49&gt;=0.5)</x:f>
        <x:v>0</x:v>
      </x:c>
      <x:c r="AJ49" s="56" t="n">
        <x:f>--(AI49=O49)</x:f>
        <x:v>1</x:v>
      </x:c>
      <x:c r="AK49" s="58" t="n">
        <x:v>0.39877055552893537</x:v>
      </x:c>
      <x:c r="AL49" s="56" t="n">
        <x:f>--(AK49&gt;=0.5)</x:f>
        <x:v>0</x:v>
      </x:c>
      <x:c r="AM49" s="56" t="n">
        <x:f>--(AL49=O49)</x:f>
        <x:v>1</x:v>
      </x:c>
    </x:row>
    <x:row r="50" ht="32" customHeight="1">
      <x:c r="A50" s="56" t="str">
        <x:v>1064</x:v>
      </x:c>
      <x:c r="B50" s="56" t="str">
        <x:v>2154</x:v>
      </x:c>
      <x:c r="C50" s="56" t="str">
        <x:v>1809</x:v>
      </x:c>
      <x:c r="D50" s="56" t="str">
        <x:v>Munro Formation</x:v>
      </x:c>
      <x:c r="E50" s="56" t="str">
        <x:v>48.599998</x:v>
      </x:c>
      <x:c r="F50" s="56" t="str">
        <x:v>-80.199997</x:v>
      </x:c>
      <x:c r="G50" s="56" t="str"/>
      <x:c r="H50" s="56" t="str">
        <x:v>178</x:v>
      </x:c>
      <x:c r="I50" s="56" t="str">
        <x:v>-12</x:v>
      </x:c>
      <x:c r="J50" s="56" t="str">
        <x:v>47</x:v>
      </x:c>
      <x:c r="K50" s="56" t="str">
        <x:v>103</x:v>
      </x:c>
      <x:c r="L50" s="56" t="str">
        <x:v>V</x:v>
      </x:c>
      <x:c r="M50" s="59" t="str">
        <x:v>OP(MAGN,HEM)</x:v>
      </x:c>
      <x:c r="N50" s="56" t="n">
        <x:f>--(LEN(M50)&gt;0)</x:f>
        <x:v>1</x:v>
      </x:c>
      <x:c r="O50" s="56" t="n">
        <x:v>1</x:v>
      </x:c>
      <x:c r="P50" s="56" t="n">
        <x:f>--(N50=O50)</x:f>
        <x:v>1</x:v>
      </x:c>
      <x:c r="Q50" s="56" t="str">
        <x:v>ABSTAIN_INSUFFICIENT</x:v>
      </x:c>
      <x:c r="R50" s="59" t="str"/>
      <x:c r="S50" s="59" t="str"/>
      <x:c r="T50" s="56" t="n">
        <x:f>--(Q50="PRESENT")</x:f>
        <x:v>0</x:v>
      </x:c>
      <x:c r="U50" s="56" t="n">
        <x:f>--(T50=N50)</x:f>
        <x:v>0</x:v>
      </x:c>
      <x:c r="V50" s="56" t="n">
        <x:f>--(T50=O50)</x:f>
        <x:v>0</x:v>
      </x:c>
      <x:c r="W50" s="56" t="n">
        <x:f>--(OR(Q50="PRESENT",Q50="ABSENT"))</x:f>
        <x:v>0</x:v>
      </x:c>
      <x:c r="X50" s="56" t="str">
        <x:v>LOW</x:v>
      </x:c>
      <x:c r="Y50" s="56" t="str">
        <x:v>METADATA_UNIQUE</x:v>
      </x:c>
      <x:c r="Z50" s="57" t="b">
        <x:v>1</x:v>
      </x:c>
      <x:c r="AA50" s="57" t="b">
        <x:v>1</x:v>
      </x:c>
      <x:c r="AB50" s="56" t="n">
        <x:v>0</x:v>
      </x:c>
      <x:c r="AC50" s="56" t="str"/>
      <x:c r="AD50" s="56" t="str"/>
      <x:c r="AE50" s="56" t="str"/>
      <x:c r="AF50" s="56" t="str"/>
      <x:c r="AG50" s="59" t="str"/>
      <x:c r="AH50" s="58" t="n">
        <x:v>0.41048461144466886</x:v>
      </x:c>
      <x:c r="AI50" s="56" t="n">
        <x:f>--(AH50&gt;=0.5)</x:f>
        <x:v>0</x:v>
      </x:c>
      <x:c r="AJ50" s="56" t="n">
        <x:f>--(AI50=O50)</x:f>
        <x:v>0</x:v>
      </x:c>
      <x:c r="AK50" s="58" t="n">
        <x:v>0.4104846114446689</x:v>
      </x:c>
      <x:c r="AL50" s="56" t="n">
        <x:f>--(AK50&gt;=0.5)</x:f>
        <x:v>0</x:v>
      </x:c>
      <x:c r="AM50" s="56" t="n">
        <x:f>--(AL50=O50)</x:f>
        <x:v>0</x:v>
      </x:c>
    </x:row>
    <x:row r="51" ht="32" customHeight="1">
      <x:c r="A51" s="56" t="str">
        <x:v>739</x:v>
      </x:c>
      <x:c r="B51" s="56" t="str">
        <x:v>2400</x:v>
      </x:c>
      <x:c r="C51" s="56" t="str">
        <x:v>2034</x:v>
      </x:c>
      <x:c r="D51" s="56" t="str">
        <x:v>Big Spruce Complex</x:v>
      </x:c>
      <x:c r="E51" s="56" t="str">
        <x:v>63.599998</x:v>
      </x:c>
      <x:c r="F51" s="56" t="str">
        <x:v>-115.9</x:v>
      </x:c>
      <x:c r="G51" s="56" t="str">
        <x:v>D Magnetization</x:v>
      </x:c>
      <x:c r="H51" s="56" t="str">
        <x:v>22</x:v>
      </x:c>
      <x:c r="I51" s="56" t="str">
        <x:v>88</x:v>
      </x:c>
      <x:c r="J51" s="56" t="str">
        <x:v>67</x:v>
      </x:c>
      <x:c r="K51" s="56" t="str">
        <x:v>247</x:v>
      </x:c>
      <x:c r="L51" s="56" t="str">
        <x:v>D</x:v>
      </x:c>
      <x:c r="M51" s="59" t="str">
        <x:v>OP(MAGN + ILM lam.)</x:v>
      </x:c>
      <x:c r="N51" s="56" t="n">
        <x:f>--(LEN(M51)&gt;0)</x:f>
        <x:v>1</x:v>
      </x:c>
      <x:c r="O51" s="56" t="n">
        <x:v>1</x:v>
      </x:c>
      <x:c r="P51" s="56" t="n">
        <x:f>--(N51=O51)</x:f>
        <x:v>1</x:v>
      </x:c>
      <x:c r="Q51" s="56" t="str">
        <x:v>PRESENT</x:v>
      </x:c>
      <x:c r="R51" s="59" t="str">
        <x:v>OP(MAGN,HEM,ILM)</x:v>
      </x:c>
      <x:c r="S51" s="59" t="str">
        <x:v>OP(MAGN,HEM,ILM)</x:v>
      </x:c>
      <x:c r="T51" s="56" t="n">
        <x:f>--(Q51="PRESENT")</x:f>
        <x:v>1</x:v>
      </x:c>
      <x:c r="U51" s="56" t="n">
        <x:f>--(T51=N51)</x:f>
        <x:v>1</x:v>
      </x:c>
      <x:c r="V51" s="56" t="n">
        <x:f>--(T51=O51)</x:f>
        <x:v>1</x:v>
      </x:c>
      <x:c r="W51" s="56" t="n">
        <x:f>--(OR(Q51="PRESENT",Q51="ABSENT"))</x:f>
        <x:v>1</x:v>
      </x:c>
      <x:c r="X51" s="56" t="str">
        <x:v>HIGH</x:v>
      </x:c>
      <x:c r="Y51" s="56" t="str">
        <x:v>PAPER_ROW_MATCH</x:v>
      </x:c>
      <x:c r="Z51" s="57" t="b">
        <x:v>1</x:v>
      </x:c>
      <x:c r="AA51" s="57" t="b">
        <x:v>1</x:v>
      </x:c>
      <x:c r="AB51" s="56" t="n">
        <x:v>1</x:v>
      </x:c>
      <x:c r="AC51" s="56" t="str">
        <x:v>OP</x:v>
      </x:c>
      <x:c r="AD51" s="56" t="str">
        <x:v>MAGN,HEM,ILM</x:v>
      </x:c>
      <x:c r="AE51" s="56" t="str"/>
      <x:c r="AF51" s="56" t="str">
        <x:v>1, 9, 10, 12</x:v>
      </x:c>
      <x:c r="AG51" s="59" t="str">
        <x:v>p.9: 484 CAN. J. EARTH SCI. VOL. 13, 1976 of sites Clll and (2115. There is, however, no coherence between the removed magnetizations in other specimens at this site and no significance is attached to them. The oxide phases are similar to those observed at site Clll except that the ilmenite is fresh and leucoxene rare. The magnetite-ilmenite grains contain small blebs of a mineral that could not be firmly identified, but which may be hema- tite. As before, hematite occurs as fine needles in the silic | p.10: shown. They form a reasonably coherent array, stretching from what is nowadays the Mackenzie delta to Peru. This APW path is referred to as track 5. Readers are referred to papers by McGlynn et al. (1975) and Irving and McGlynn (1976) for a discussion of track 5 and its tectonic significance. One notable feature is the excellent agreement be- tween the poles for the Otto Stock and the D magnetization of the Big Spruce Complex. These bodies have statistically similar Rb-Sr ages (see caption to Fi | p.12: IRVING AND McGLYNN 487 specimens being 600 to 650°C. The blocking temperatures of the Y magnetization are mainly between 500 and 600 "C, at one site (C118) be- tween 600 and 650 "C. The blocking tempera- tures of the Z magnetization are in the range 500 to 600 "C. The blocking temperatures of the X magnetization are between 200 to 400 "C. The highest blocking temperatures (above 600 "C) occur in the D magnetization associated with hematite in the basic phases of the northern part of the intrusio</x:v>
      </x:c>
      <x:c r="AH51" s="58" t="n">
        <x:v>0.375193501553032</x:v>
      </x:c>
      <x:c r="AI51" s="56" t="n">
        <x:f>--(AH51&gt;=0.5)</x:f>
        <x:v>0</x:v>
      </x:c>
      <x:c r="AJ51" s="56" t="n">
        <x:f>--(AI51=O51)</x:f>
        <x:v>0</x:v>
      </x:c>
      <x:c r="AK51" s="58" t="n">
        <x:v>0.375193501553032</x:v>
      </x:c>
      <x:c r="AL51" s="56" t="n">
        <x:f>--(AK51&gt;=0.5)</x:f>
        <x:v>0</x:v>
      </x:c>
      <x:c r="AM51" s="56" t="n">
        <x:f>--(AL51=O51)</x:f>
        <x:v>0</x:v>
      </x:c>
    </x:row>
    <x:row r="52" ht="32" customHeight="1">
      <x:c r="A52" s="56" t="str">
        <x:v>739</x:v>
      </x:c>
      <x:c r="B52" s="56" t="str">
        <x:v>2403</x:v>
      </x:c>
      <x:c r="C52" s="56" t="str">
        <x:v>2034</x:v>
      </x:c>
      <x:c r="D52" s="56" t="str">
        <x:v>Big Spruce Complex</x:v>
      </x:c>
      <x:c r="E52" s="56" t="str">
        <x:v>63.599998</x:v>
      </x:c>
      <x:c r="F52" s="56" t="str">
        <x:v>-115.9</x:v>
      </x:c>
      <x:c r="G52" s="56" t="str">
        <x:v>NW Magnetiz.</x:v>
      </x:c>
      <x:c r="H52" s="56" t="str">
        <x:v>291</x:v>
      </x:c>
      <x:c r="I52" s="56" t="str">
        <x:v>2</x:v>
      </x:c>
      <x:c r="J52" s="56" t="str">
        <x:v>-10</x:v>
      </x:c>
      <x:c r="K52" s="56" t="str">
        <x:v>316</x:v>
      </x:c>
      <x:c r="L52" s="56" t="str">
        <x:v>D</x:v>
      </x:c>
      <x:c r="M52" s="59" t="str"/>
      <x:c r="N52" s="56" t="n">
        <x:f>--(LEN(M52)&gt;0)</x:f>
        <x:v>0</x:v>
      </x:c>
      <x:c r="O52" s="56" t="n">
        <x:v>0</x:v>
      </x:c>
      <x:c r="P52" s="56" t="n">
        <x:f>--(N52=O52)</x:f>
        <x:v>1</x:v>
      </x:c>
      <x:c r="Q52" s="56" t="str">
        <x:v>ABSTAIN_INSUFFICIENT</x:v>
      </x:c>
      <x:c r="R52" s="59" t="str"/>
      <x:c r="S52" s="59" t="str"/>
      <x:c r="T52" s="56" t="n">
        <x:f>--(Q52="PRESENT")</x:f>
        <x:v>0</x:v>
      </x:c>
      <x:c r="U52" s="56" t="n">
        <x:f>--(T52=N52)</x:f>
        <x:v>1</x:v>
      </x:c>
      <x:c r="V52" s="56" t="n">
        <x:f>--(T52=O52)</x:f>
        <x:v>1</x:v>
      </x:c>
      <x:c r="W52" s="56" t="n">
        <x:f>--(OR(Q52="PRESENT",Q52="ABSENT"))</x:f>
        <x:v>0</x:v>
      </x:c>
      <x:c r="X52" s="56" t="str">
        <x:v>LOW</x:v>
      </x:c>
      <x:c r="Y52" s="56" t="str">
        <x:v>PAPER_ROW_MATCH</x:v>
      </x:c>
      <x:c r="Z52" s="57" t="b">
        <x:v>1</x:v>
      </x:c>
      <x:c r="AA52" s="57" t="b">
        <x:v>1</x:v>
      </x:c>
      <x:c r="AB52" s="56" t="n">
        <x:v>1</x:v>
      </x:c>
      <x:c r="AC52" s="56" t="str"/>
      <x:c r="AD52" s="56" t="str"/>
      <x:c r="AE52" s="56" t="str"/>
      <x:c r="AF52" s="56" t="str">
        <x:v>10</x:v>
      </x:c>
      <x:c r="AG52" s="59" t="str">
        <x:v>p.10: IRVING AND McGLYNN TABLE 3. Summary of results Magnetization B(N) D,I k So aogS Pole A095 %N D 19(85) 022, + 88 17 19 8 67" N 113" W 15 100 Y 5(25) 137, + 46 67 12 9 07" N 078" W 10 60 Z 4(16) 291,+02 14 19 26 10" S 044" W 16 0 X 2(9) 210, + 27 - - - 09" S 145" W - 100 - - B is the number of collecting localities and N is the number of cores. Since more than one magnetization is present in the same specimen the sum of the B's (= 30) is greater than the number of sites (= 20. two A114 and C112 ga</x:v>
      </x:c>
      <x:c r="AH52" s="58" t="n">
        <x:v>0.375193501553032</x:v>
      </x:c>
      <x:c r="AI52" s="56" t="n">
        <x:f>--(AH52&gt;=0.5)</x:f>
        <x:v>0</x:v>
      </x:c>
      <x:c r="AJ52" s="56" t="n">
        <x:f>--(AI52=O52)</x:f>
        <x:v>1</x:v>
      </x:c>
      <x:c r="AK52" s="58" t="n">
        <x:v>0.375193501553032</x:v>
      </x:c>
      <x:c r="AL52" s="56" t="n">
        <x:f>--(AK52&gt;=0.5)</x:f>
        <x:v>0</x:v>
      </x:c>
      <x:c r="AM52" s="56" t="n">
        <x:f>--(AL52=O52)</x:f>
        <x:v>1</x:v>
      </x:c>
    </x:row>
    <x:row r="53" ht="32" customHeight="1">
      <x:c r="A53" s="56" t="str">
        <x:v>252</x:v>
      </x:c>
      <x:c r="B53" s="56" t="str">
        <x:v>2522</x:v>
      </x:c>
      <x:c r="C53" s="56" t="str">
        <x:v>2146</x:v>
      </x:c>
      <x:c r="D53" s="56" t="str">
        <x:v>Obuasi Greenstone</x:v>
      </x:c>
      <x:c r="E53" s="56" t="str">
        <x:v>6.1999998</x:v>
      </x:c>
      <x:c r="F53" s="56" t="str">
        <x:v>-1.7</x:v>
      </x:c>
      <x:c r="G53" s="56" t="str"/>
      <x:c r="H53" s="56" t="str">
        <x:v>320</x:v>
      </x:c>
      <x:c r="I53" s="56" t="str">
        <x:v>26</x:v>
      </x:c>
      <x:c r="J53" s="56" t="str">
        <x:v>50</x:v>
      </x:c>
      <x:c r="K53" s="56" t="str">
        <x:v>282</x:v>
      </x:c>
      <x:c r="L53" s="56" t="str">
        <x:v>D</x:v>
      </x:c>
      <x:c r="M53" s="59" t="str">
        <x:v>OP(unoxidised MAGN)</x:v>
      </x:c>
      <x:c r="N53" s="56" t="n">
        <x:f>--(LEN(M53)&gt;0)</x:f>
        <x:v>1</x:v>
      </x:c>
      <x:c r="O53" s="56" t="n">
        <x:v>1</x:v>
      </x:c>
      <x:c r="P53" s="56" t="n">
        <x:f>--(N53=O53)</x:f>
        <x:v>1</x:v>
      </x:c>
      <x:c r="Q53" s="56" t="str">
        <x:v>PRESENT</x:v>
      </x:c>
      <x:c r="R53" s="59" t="str">
        <x:v>IRM,HYST,OP(MAGN,ILM,HEM)</x:v>
      </x:c>
      <x:c r="S53" s="59" t="str">
        <x:v>IRM,HYST,OP(MAGN,ILM,HEM)</x:v>
      </x:c>
      <x:c r="T53" s="56" t="n">
        <x:f>--(Q53="PRESENT")</x:f>
        <x:v>1</x:v>
      </x:c>
      <x:c r="U53" s="56" t="n">
        <x:f>--(T53=N53)</x:f>
        <x:v>1</x:v>
      </x:c>
      <x:c r="V53" s="56" t="n">
        <x:f>--(T53=O53)</x:f>
        <x:v>1</x:v>
      </x:c>
      <x:c r="W53" s="56" t="n">
        <x:f>--(OR(Q53="PRESENT",Q53="ABSENT"))</x:f>
        <x:v>1</x:v>
      </x:c>
      <x:c r="X53" s="56" t="str">
        <x:v>HIGH</x:v>
      </x:c>
      <x:c r="Y53" s="56" t="str">
        <x:v>PAPER_ROW_MATCH</x:v>
      </x:c>
      <x:c r="Z53" s="57" t="b">
        <x:v>1</x:v>
      </x:c>
      <x:c r="AA53" s="57" t="b">
        <x:v>1</x:v>
      </x:c>
      <x:c r="AB53" s="56" t="n">
        <x:v>0</x:v>
      </x:c>
      <x:c r="AC53" s="56" t="str">
        <x:v>IRM,HYST,OP</x:v>
      </x:c>
      <x:c r="AD53" s="56" t="str">
        <x:v>MAGN,ILM,HEM</x:v>
      </x:c>
      <x:c r="AE53" s="56" t="str">
        <x:v>SD,MD</x:v>
      </x:c>
      <x:c r="AF53" s="56" t="str">
        <x:v>1, 7, 8, 10, 11</x:v>
      </x:c>
      <x:c r="AG53" s="59" t="str">
        <x:v>p.8: The magnetic properties of the Obuasi greenstone suggests that the remanence is dominated by multidomain carriers, and petrographic observa- tion shows that these must be unoxidized magnetite. | p.10: IRM studies on samples from the unstable sites 15 and 21 (Fig. 4(b) and (d)) show characteristics similar to those found from the greenstone. | p.1: IRM</x:v>
      </x:c>
      <x:c r="AH53" s="58" t="n">
        <x:v>0.8927337862822906</x:v>
      </x:c>
      <x:c r="AI53" s="56" t="n">
        <x:f>--(AH53&gt;=0.5)</x:f>
        <x:v>1</x:v>
      </x:c>
      <x:c r="AJ53" s="56" t="n">
        <x:f>--(AI53=O53)</x:f>
        <x:v>1</x:v>
      </x:c>
      <x:c r="AK53" s="58" t="n">
        <x:v>0.8927337862822905</x:v>
      </x:c>
      <x:c r="AL53" s="56" t="n">
        <x:f>--(AK53&gt;=0.5)</x:f>
        <x:v>1</x:v>
      </x:c>
      <x:c r="AM53" s="56" t="n">
        <x:f>--(AL53=O53)</x:f>
        <x:v>1</x:v>
      </x:c>
    </x:row>
    <x:row r="54" ht="32" customHeight="1">
      <x:c r="A54" s="56" t="str">
        <x:v>252</x:v>
      </x:c>
      <x:c r="B54" s="56" t="str">
        <x:v>2523</x:v>
      </x:c>
      <x:c r="C54" s="56" t="str">
        <x:v>2147</x:v>
      </x:c>
      <x:c r="D54" s="56" t="str">
        <x:v>Dolerite intrusions</x:v>
      </x:c>
      <x:c r="E54" s="56" t="str">
        <x:v>5.3000002</x:v>
      </x:c>
      <x:c r="F54" s="56" t="str">
        <x:v>-2</x:v>
      </x:c>
      <x:c r="G54" s="56" t="str"/>
      <x:c r="H54" s="56" t="str">
        <x:v>156</x:v>
      </x:c>
      <x:c r="I54" s="56" t="str">
        <x:v>40</x:v>
      </x:c>
      <x:c r="J54" s="56" t="str">
        <x:v>53</x:v>
      </x:c>
      <x:c r="K54" s="56" t="str">
        <x:v>216</x:v>
      </x:c>
      <x:c r="L54" s="56" t="str">
        <x:v>D</x:v>
      </x:c>
      <x:c r="M54" s="59" t="str">
        <x:v>OP(TM,some alteration to HEM)</x:v>
      </x:c>
      <x:c r="N54" s="56" t="n">
        <x:f>--(LEN(M54)&gt;0)</x:f>
        <x:v>1</x:v>
      </x:c>
      <x:c r="O54" s="56" t="n">
        <x:v>1</x:v>
      </x:c>
      <x:c r="P54" s="56" t="n">
        <x:f>--(N54=O54)</x:f>
        <x:v>1</x:v>
      </x:c>
      <x:c r="Q54" s="56" t="str">
        <x:v>PRESENT</x:v>
      </x:c>
      <x:c r="R54" s="59" t="str">
        <x:v>IRM,HYST,OP(TM,MAGN,ILM,HEM)</x:v>
      </x:c>
      <x:c r="S54" s="59" t="str">
        <x:v>IRM,HYST,OP(TM,MAGN,ILM,HEM)</x:v>
      </x:c>
      <x:c r="T54" s="56" t="n">
        <x:f>--(Q54="PRESENT")</x:f>
        <x:v>1</x:v>
      </x:c>
      <x:c r="U54" s="56" t="n">
        <x:f>--(T54=N54)</x:f>
        <x:v>1</x:v>
      </x:c>
      <x:c r="V54" s="56" t="n">
        <x:f>--(T54=O54)</x:f>
        <x:v>1</x:v>
      </x:c>
      <x:c r="W54" s="56" t="n">
        <x:f>--(OR(Q54="PRESENT",Q54="ABSENT"))</x:f>
        <x:v>1</x:v>
      </x:c>
      <x:c r="X54" s="56" t="str">
        <x:v>HIGH</x:v>
      </x:c>
      <x:c r="Y54" s="56" t="str">
        <x:v>PAPER_ROW_MATCH</x:v>
      </x:c>
      <x:c r="Z54" s="57" t="b">
        <x:v>1</x:v>
      </x:c>
      <x:c r="AA54" s="57" t="b">
        <x:v>1</x:v>
      </x:c>
      <x:c r="AB54" s="56" t="n">
        <x:v>0</x:v>
      </x:c>
      <x:c r="AC54" s="56" t="str">
        <x:v>IRM,HYST,OP</x:v>
      </x:c>
      <x:c r="AD54" s="56" t="str">
        <x:v>TM,MAGN,ILM,HEM</x:v>
      </x:c>
      <x:c r="AE54" s="56" t="str">
        <x:v>SD,MD</x:v>
      </x:c>
      <x:c r="AF54" s="56" t="str">
        <x:v>1, 3, 7, 11, 12</x:v>
      </x:c>
      <x:c r="AG54" s="59" t="str">
        <x:v>p.12: Petrographic examination shows that the titanomagnetite in the dolerite intrusions from Ivory Coast is clearly magmatic in origin but no deuteric oxidation has been detected, and this probably accounts for the low stability of this collection. | p.1: IRM | p.7: Hysteresis</x:v>
      </x:c>
      <x:c r="AH54" s="58" t="n">
        <x:v>0.8551355532906358</x:v>
      </x:c>
      <x:c r="AI54" s="56" t="n">
        <x:f>--(AH54&gt;=0.5)</x:f>
        <x:v>1</x:v>
      </x:c>
      <x:c r="AJ54" s="56" t="n">
        <x:f>--(AI54=O54)</x:f>
        <x:v>1</x:v>
      </x:c>
      <x:c r="AK54" s="58" t="n">
        <x:v>0.8551355532906357</x:v>
      </x:c>
      <x:c r="AL54" s="56" t="n">
        <x:f>--(AK54&gt;=0.5)</x:f>
        <x:v>1</x:v>
      </x:c>
      <x:c r="AM54" s="56" t="n">
        <x:f>--(AL54=O54)</x:f>
        <x:v>1</x:v>
      </x:c>
    </x:row>
    <x:row r="55" ht="32" customHeight="1">
      <x:c r="A55" s="56" t="str">
        <x:v>252</x:v>
      </x:c>
      <x:c r="B55" s="56" t="str">
        <x:v>2524</x:v>
      </x:c>
      <x:c r="C55" s="56" t="str">
        <x:v>2148</x:v>
      </x:c>
      <x:c r="D55" s="56" t="str">
        <x:v>Dolerite dyke, Obuasi</x:v>
      </x:c>
      <x:c r="E55" s="56" t="str">
        <x:v>6.1999998</x:v>
      </x:c>
      <x:c r="F55" s="56" t="str">
        <x:v>-1.7</x:v>
      </x:c>
      <x:c r="G55" s="56" t="str"/>
      <x:c r="H55" s="56" t="str">
        <x:v>328</x:v>
      </x:c>
      <x:c r="I55" s="56" t="str">
        <x:v>-11</x:v>
      </x:c>
      <x:c r="J55" s="56" t="str">
        <x:v>56</x:v>
      </x:c>
      <x:c r="K55" s="56" t="str">
        <x:v>249</x:v>
      </x:c>
      <x:c r="L55" s="56" t="str">
        <x:v>D</x:v>
      </x:c>
      <x:c r="M55" s="59" t="str"/>
      <x:c r="N55" s="56" t="n">
        <x:f>--(LEN(M55)&gt;0)</x:f>
        <x:v>0</x:v>
      </x:c>
      <x:c r="O55" s="56" t="n">
        <x:v>0</x:v>
      </x:c>
      <x:c r="P55" s="56" t="n">
        <x:f>--(N55=O55)</x:f>
        <x:v>1</x:v>
      </x:c>
      <x:c r="Q55" s="56" t="str">
        <x:v>PRESENT</x:v>
      </x:c>
      <x:c r="R55" s="59" t="str">
        <x:v>IRM,HYST(MAGN,ILM,HEM)</x:v>
      </x:c>
      <x:c r="S55" s="59" t="str">
        <x:v>IRM,HYST(MAGN,ILM,HEM)</x:v>
      </x:c>
      <x:c r="T55" s="56" t="n">
        <x:f>--(Q55="PRESENT")</x:f>
        <x:v>1</x:v>
      </x:c>
      <x:c r="U55" s="56" t="n">
        <x:f>--(T55=N55)</x:f>
        <x:v>0</x:v>
      </x:c>
      <x:c r="V55" s="56" t="n">
        <x:f>--(T55=O55)</x:f>
        <x:v>0</x:v>
      </x:c>
      <x:c r="W55" s="56" t="n">
        <x:f>--(OR(Q55="PRESENT",Q55="ABSENT"))</x:f>
        <x:v>1</x:v>
      </x:c>
      <x:c r="X55" s="56" t="str">
        <x:v>HIGH</x:v>
      </x:c>
      <x:c r="Y55" s="56" t="str">
        <x:v>PAPER_ROW_MATCH</x:v>
      </x:c>
      <x:c r="Z55" s="57" t="b">
        <x:v>1</x:v>
      </x:c>
      <x:c r="AA55" s="57" t="b">
        <x:v>1</x:v>
      </x:c>
      <x:c r="AB55" s="56" t="n">
        <x:v>0</x:v>
      </x:c>
      <x:c r="AC55" s="56" t="str">
        <x:v>IRM,HYST</x:v>
      </x:c>
      <x:c r="AD55" s="56" t="str">
        <x:v>MAGN,ILM,HEM</x:v>
      </x:c>
      <x:c r="AE55" s="56" t="str">
        <x:v>SD,MD</x:v>
      </x:c>
      <x:c r="AF55" s="56" t="str">
        <x:v>1, 5, 7, 10, 11, 12</x:v>
      </x:c>
      <x:c r="AG55" s="59" t="str">
        <x:v>p.1: IRM | p.5: IRM | p.7: Hysteresis</x:v>
      </x:c>
      <x:c r="AH55" s="58" t="n">
        <x:v>0.8404810875384018</x:v>
      </x:c>
      <x:c r="AI55" s="56" t="n">
        <x:f>--(AH55&gt;=0.5)</x:f>
        <x:v>1</x:v>
      </x:c>
      <x:c r="AJ55" s="56" t="n">
        <x:f>--(AI55=O55)</x:f>
        <x:v>0</x:v>
      </x:c>
      <x:c r="AK55" s="58" t="n">
        <x:v>0.8404810875384017</x:v>
      </x:c>
      <x:c r="AL55" s="56" t="n">
        <x:f>--(AK55&gt;=0.5)</x:f>
        <x:v>1</x:v>
      </x:c>
      <x:c r="AM55" s="56" t="n">
        <x:f>--(AL55=O55)</x:f>
        <x:v>0</x:v>
      </x:c>
    </x:row>
    <x:row r="56" ht="32" customHeight="1">
      <x:c r="A56" s="56" t="str">
        <x:v>2238</x:v>
      </x:c>
      <x:c r="B56" s="56" t="str">
        <x:v>5860</x:v>
      </x:c>
      <x:c r="C56" s="56" t="str">
        <x:v>4690</x:v>
      </x:c>
      <x:c r="D56" s="56" t="str">
        <x:v>Griffith Mine Host Rocks</x:v>
      </x:c>
      <x:c r="E56" s="56" t="str">
        <x:v>50.799999</x:v>
      </x:c>
      <x:c r="F56" s="56" t="str">
        <x:v>-93.400002</x:v>
      </x:c>
      <x:c r="G56" s="56" t="str">
        <x:v>A Component</x:v>
      </x:c>
      <x:c r="H56" s="56" t="str">
        <x:v>225.8</x:v>
      </x:c>
      <x:c r="I56" s="56" t="str">
        <x:v>14.2</x:v>
      </x:c>
      <x:c r="J56" s="56" t="str">
        <x:v>19</x:v>
      </x:c>
      <x:c r="K56" s="56" t="str">
        <x:v>37</x:v>
      </x:c>
      <x:c r="L56" s="56" t="str">
        <x:v>D</x:v>
      </x:c>
      <x:c r="M56" s="59" t="str"/>
      <x:c r="N56" s="56" t="n">
        <x:f>--(LEN(M56)&gt;0)</x:f>
        <x:v>0</x:v>
      </x:c>
      <x:c r="O56" s="56" t="n">
        <x:v>0</x:v>
      </x:c>
      <x:c r="P56" s="56" t="n">
        <x:f>--(N56=O56)</x:f>
        <x:v>1</x:v>
      </x:c>
      <x:c r="Q56" s="56" t="str">
        <x:v>ABSTAIN_INSUFFICIENT</x:v>
      </x:c>
      <x:c r="R56" s="59" t="str"/>
      <x:c r="S56" s="59" t="str"/>
      <x:c r="T56" s="56" t="n">
        <x:f>--(Q56="PRESENT")</x:f>
        <x:v>0</x:v>
      </x:c>
      <x:c r="U56" s="56" t="n">
        <x:f>--(T56=N56)</x:f>
        <x:v>1</x:v>
      </x:c>
      <x:c r="V56" s="56" t="n">
        <x:f>--(T56=O56)</x:f>
        <x:v>1</x:v>
      </x:c>
      <x:c r="W56" s="56" t="n">
        <x:f>--(OR(Q56="PRESENT",Q56="ABSENT"))</x:f>
        <x:v>0</x:v>
      </x:c>
      <x:c r="X56" s="56" t="str">
        <x:v>LOW</x:v>
      </x:c>
      <x:c r="Y56" s="56" t="str">
        <x:v>PAPER_ROW_MATCH</x:v>
      </x:c>
      <x:c r="Z56" s="57" t="b">
        <x:v>1</x:v>
      </x:c>
      <x:c r="AA56" s="57" t="b">
        <x:v>1</x:v>
      </x:c>
      <x:c r="AB56" s="56" t="n">
        <x:v>1</x:v>
      </x:c>
      <x:c r="AC56" s="56" t="str"/>
      <x:c r="AD56" s="56" t="str"/>
      <x:c r="AE56" s="56" t="str"/>
      <x:c r="AF56" s="56" t="str">
        <x:v>26</x:v>
      </x:c>
      <x:c r="AG56" s="59" t="str">
        <x:v>p.26: mponent predates the well defined portion of the Archean APWP, or alternatively that differential motions occurred between the Belts. Conversely the prefolding SM1, AMI and MM1 components from the Abitibi Belt form a well defined cluster at -2.75 Ga. These are considered to be primary depositional remanence components that have survived metamorphism. Metamorphic or secondary remanence components that predate the Kenoran deformation include the SM2, MM2, and GM2. These form a. second group of pol</x:v>
      </x:c>
      <x:c r="AH56" s="58" t="n">
        <x:v>0.2122052406218668</x:v>
      </x:c>
      <x:c r="AI56" s="56" t="n">
        <x:f>--(AH56&gt;=0.5)</x:f>
        <x:v>0</x:v>
      </x:c>
      <x:c r="AJ56" s="56" t="n">
        <x:f>--(AI56=O56)</x:f>
        <x:v>1</x:v>
      </x:c>
      <x:c r="AK56" s="58" t="n">
        <x:v>0.21220524062186683</x:v>
      </x:c>
      <x:c r="AL56" s="56" t="n">
        <x:f>--(AK56&gt;=0.5)</x:f>
        <x:v>0</x:v>
      </x:c>
      <x:c r="AM56" s="56" t="n">
        <x:f>--(AL56=O56)</x:f>
        <x:v>1</x:v>
      </x:c>
    </x:row>
    <x:row r="57" ht="32" customHeight="1">
      <x:c r="A57" s="56" t="str">
        <x:v>2238</x:v>
      </x:c>
      <x:c r="B57" s="56" t="str">
        <x:v>5861</x:v>
      </x:c>
      <x:c r="C57" s="56" t="str">
        <x:v>4690</x:v>
      </x:c>
      <x:c r="D57" s="56" t="str">
        <x:v>Griffith Mine Host Rocks</x:v>
      </x:c>
      <x:c r="E57" s="56" t="str">
        <x:v>50.799999</x:v>
      </x:c>
      <x:c r="F57" s="56" t="str">
        <x:v>-93.400002</x:v>
      </x:c>
      <x:c r="G57" s="56" t="str">
        <x:v>B Component</x:v>
      </x:c>
      <x:c r="H57" s="56" t="str">
        <x:v>60.799999</x:v>
      </x:c>
      <x:c r="I57" s="56" t="str">
        <x:v>27.9</x:v>
      </x:c>
      <x:c r="J57" s="56" t="str">
        <x:v>29.799999</x:v>
      </x:c>
      <x:c r="K57" s="56" t="str">
        <x:v>10.2</x:v>
      </x:c>
      <x:c r="L57" s="56" t="str">
        <x:v>D</x:v>
      </x:c>
      <x:c r="M57" s="59" t="str"/>
      <x:c r="N57" s="56" t="n">
        <x:f>--(LEN(M57)&gt;0)</x:f>
        <x:v>0</x:v>
      </x:c>
      <x:c r="O57" s="56" t="n">
        <x:v>0</x:v>
      </x:c>
      <x:c r="P57" s="56" t="n">
        <x:f>--(N57=O57)</x:f>
        <x:v>1</x:v>
      </x:c>
      <x:c r="Q57" s="56" t="str">
        <x:v>ABSTAIN_INSUFFICIENT</x:v>
      </x:c>
      <x:c r="R57" s="59" t="str"/>
      <x:c r="S57" s="59" t="str"/>
      <x:c r="T57" s="56" t="n">
        <x:f>--(Q57="PRESENT")</x:f>
        <x:v>0</x:v>
      </x:c>
      <x:c r="U57" s="56" t="n">
        <x:f>--(T57=N57)</x:f>
        <x:v>1</x:v>
      </x:c>
      <x:c r="V57" s="56" t="n">
        <x:f>--(T57=O57)</x:f>
        <x:v>1</x:v>
      </x:c>
      <x:c r="W57" s="56" t="n">
        <x:f>--(OR(Q57="PRESENT",Q57="ABSENT"))</x:f>
        <x:v>0</x:v>
      </x:c>
      <x:c r="X57" s="56" t="str">
        <x:v>LOW</x:v>
      </x:c>
      <x:c r="Y57" s="56" t="str">
        <x:v>METADATA_UNIQUE</x:v>
      </x:c>
      <x:c r="Z57" s="57" t="b">
        <x:v>1</x:v>
      </x:c>
      <x:c r="AA57" s="57" t="b">
        <x:v>1</x:v>
      </x:c>
      <x:c r="AB57" s="56" t="n">
        <x:v>1</x:v>
      </x:c>
      <x:c r="AC57" s="56" t="str"/>
      <x:c r="AD57" s="56" t="str"/>
      <x:c r="AE57" s="56" t="str"/>
      <x:c r="AF57" s="56" t="str"/>
      <x:c r="AG57" s="59" t="str"/>
      <x:c r="AH57" s="58" t="n">
        <x:v>0.2122052406218668</x:v>
      </x:c>
      <x:c r="AI57" s="56" t="n">
        <x:f>--(AH57&gt;=0.5)</x:f>
        <x:v>0</x:v>
      </x:c>
      <x:c r="AJ57" s="56" t="n">
        <x:f>--(AI57=O57)</x:f>
        <x:v>1</x:v>
      </x:c>
      <x:c r="AK57" s="58" t="n">
        <x:v>0.21220524062186683</x:v>
      </x:c>
      <x:c r="AL57" s="56" t="n">
        <x:f>--(AK57&gt;=0.5)</x:f>
        <x:v>0</x:v>
      </x:c>
      <x:c r="AM57" s="56" t="n">
        <x:f>--(AL57=O57)</x:f>
        <x:v>1</x:v>
      </x:c>
    </x:row>
    <x:row r="58" ht="32" customHeight="1">
      <x:c r="A58" s="56" t="str">
        <x:v>2238</x:v>
      </x:c>
      <x:c r="B58" s="56" t="str">
        <x:v>5862</x:v>
      </x:c>
      <x:c r="C58" s="56" t="str">
        <x:v>4690</x:v>
      </x:c>
      <x:c r="D58" s="56" t="str">
        <x:v>Griffith Mine Host Rocks</x:v>
      </x:c>
      <x:c r="E58" s="56" t="str">
        <x:v>50.799999</x:v>
      </x:c>
      <x:c r="F58" s="56" t="str">
        <x:v>-93.400002</x:v>
      </x:c>
      <x:c r="G58" s="56" t="str">
        <x:v>C Component</x:v>
      </x:c>
      <x:c r="H58" s="56" t="str">
        <x:v>14</x:v>
      </x:c>
      <x:c r="I58" s="56" t="str">
        <x:v>41</x:v>
      </x:c>
      <x:c r="J58" s="56" t="str">
        <x:v>60.599998</x:v>
      </x:c>
      <x:c r="K58" s="56" t="str">
        <x:v>59.700001</x:v>
      </x:c>
      <x:c r="L58" s="56" t="str">
        <x:v>D</x:v>
      </x:c>
      <x:c r="M58" s="59" t="str"/>
      <x:c r="N58" s="56" t="n">
        <x:f>--(LEN(M58)&gt;0)</x:f>
        <x:v>0</x:v>
      </x:c>
      <x:c r="O58" s="56" t="n">
        <x:v>0</x:v>
      </x:c>
      <x:c r="P58" s="56" t="n">
        <x:f>--(N58=O58)</x:f>
        <x:v>1</x:v>
      </x:c>
      <x:c r="Q58" s="56" t="str">
        <x:v>ABSTAIN_INSUFFICIENT</x:v>
      </x:c>
      <x:c r="R58" s="59" t="str"/>
      <x:c r="S58" s="59" t="str"/>
      <x:c r="T58" s="56" t="n">
        <x:f>--(Q58="PRESENT")</x:f>
        <x:v>0</x:v>
      </x:c>
      <x:c r="U58" s="56" t="n">
        <x:f>--(T58=N58)</x:f>
        <x:v>1</x:v>
      </x:c>
      <x:c r="V58" s="56" t="n">
        <x:f>--(T58=O58)</x:f>
        <x:v>1</x:v>
      </x:c>
      <x:c r="W58" s="56" t="n">
        <x:f>--(OR(Q58="PRESENT",Q58="ABSENT"))</x:f>
        <x:v>0</x:v>
      </x:c>
      <x:c r="X58" s="56" t="str">
        <x:v>LOW</x:v>
      </x:c>
      <x:c r="Y58" s="56" t="str">
        <x:v>METADATA_UNIQUE</x:v>
      </x:c>
      <x:c r="Z58" s="57" t="b">
        <x:v>1</x:v>
      </x:c>
      <x:c r="AA58" s="57" t="b">
        <x:v>1</x:v>
      </x:c>
      <x:c r="AB58" s="56" t="n">
        <x:v>1</x:v>
      </x:c>
      <x:c r="AC58" s="56" t="str"/>
      <x:c r="AD58" s="56" t="str"/>
      <x:c r="AE58" s="56" t="str"/>
      <x:c r="AF58" s="56" t="str"/>
      <x:c r="AG58" s="59" t="str"/>
      <x:c r="AH58" s="58" t="n">
        <x:v>0.2122052406218668</x:v>
      </x:c>
      <x:c r="AI58" s="56" t="n">
        <x:f>--(AH58&gt;=0.5)</x:f>
        <x:v>0</x:v>
      </x:c>
      <x:c r="AJ58" s="56" t="n">
        <x:f>--(AI58=O58)</x:f>
        <x:v>1</x:v>
      </x:c>
      <x:c r="AK58" s="58" t="n">
        <x:v>0.21220524062186683</x:v>
      </x:c>
      <x:c r="AL58" s="56" t="n">
        <x:f>--(AK58&gt;=0.5)</x:f>
        <x:v>0</x:v>
      </x:c>
      <x:c r="AM58" s="56" t="n">
        <x:f>--(AL58=O58)</x:f>
        <x:v>1</x:v>
      </x:c>
    </x:row>
    <x:row r="59" ht="32" customHeight="1">
      <x:c r="A59" s="56" t="str">
        <x:v>2238</x:v>
      </x:c>
      <x:c r="B59" s="56" t="str">
        <x:v>5863</x:v>
      </x:c>
      <x:c r="C59" s="56" t="str">
        <x:v>4691</x:v>
      </x:c>
      <x:c r="D59" s="56" t="str">
        <x:v>Griffith Mine Iron Formation</x:v>
      </x:c>
      <x:c r="E59" s="56" t="str">
        <x:v>50.799999</x:v>
      </x:c>
      <x:c r="F59" s="56" t="str">
        <x:v>-93.400002</x:v>
      </x:c>
      <x:c r="G59" s="56" t="str">
        <x:v>A Component</x:v>
      </x:c>
      <x:c r="H59" s="56" t="str">
        <x:v>207.5</x:v>
      </x:c>
      <x:c r="I59" s="56" t="str">
        <x:v>37.200001</x:v>
      </x:c>
      <x:c r="J59" s="56" t="str">
        <x:v>14.5</x:v>
      </x:c>
      <x:c r="K59" s="56" t="str">
        <x:v>60</x:v>
      </x:c>
      <x:c r="L59" s="56" t="str">
        <x:v>D</x:v>
      </x:c>
      <x:c r="M59" s="59" t="str"/>
      <x:c r="N59" s="56" t="n">
        <x:f>--(LEN(M59)&gt;0)</x:f>
        <x:v>0</x:v>
      </x:c>
      <x:c r="O59" s="56" t="n">
        <x:v>1</x:v>
      </x:c>
      <x:c r="P59" s="56" t="n">
        <x:f>--(N59=O59)</x:f>
        <x:v>0</x:v>
      </x:c>
      <x:c r="Q59" s="56" t="str">
        <x:v>ABSTAIN_INSUFFICIENT</x:v>
      </x:c>
      <x:c r="R59" s="59" t="str"/>
      <x:c r="S59" s="59" t="str"/>
      <x:c r="T59" s="56" t="n">
        <x:f>--(Q59="PRESENT")</x:f>
        <x:v>0</x:v>
      </x:c>
      <x:c r="U59" s="56" t="n">
        <x:f>--(T59=N59)</x:f>
        <x:v>1</x:v>
      </x:c>
      <x:c r="V59" s="56" t="n">
        <x:f>--(T59=O59)</x:f>
        <x:v>0</x:v>
      </x:c>
      <x:c r="W59" s="56" t="n">
        <x:f>--(OR(Q59="PRESENT",Q59="ABSENT"))</x:f>
        <x:v>0</x:v>
      </x:c>
      <x:c r="X59" s="56" t="str">
        <x:v>LOW</x:v>
      </x:c>
      <x:c r="Y59" s="56" t="str">
        <x:v>PAPER_ROW_MATCH</x:v>
      </x:c>
      <x:c r="Z59" s="57" t="b">
        <x:v>1</x:v>
      </x:c>
      <x:c r="AA59" s="57" t="b">
        <x:v>1</x:v>
      </x:c>
      <x:c r="AB59" s="56" t="n">
        <x:v>1</x:v>
      </x:c>
      <x:c r="AC59" s="56" t="str"/>
      <x:c r="AD59" s="56" t="str"/>
      <x:c r="AE59" s="56" t="str"/>
      <x:c r="AF59" s="56" t="str">
        <x:v>26</x:v>
      </x:c>
      <x:c r="AG59" s="59" t="str">
        <x:v>p.26: mponent predates the well defined portion of the Archean APWP, or alternatively that differential motions occurred between the Belts. Conversely the prefolding SM1, AMI and MM1 components from the Abitibi Belt form a well defined cluster at -2.75 Ga. These are considered to be primary depositional remanence components that have survived metamorphism. Metamorphic or secondary remanence components that predate the Kenoran deformation include the SM2, MM2, and GM2. These form a. second group of pol</x:v>
      </x:c>
      <x:c r="AH59" s="58" t="n">
        <x:v>0.22121460221143663</x:v>
      </x:c>
      <x:c r="AI59" s="56" t="n">
        <x:f>--(AH59&gt;=0.5)</x:f>
        <x:v>0</x:v>
      </x:c>
      <x:c r="AJ59" s="56" t="n">
        <x:f>--(AI59=O59)</x:f>
        <x:v>0</x:v>
      </x:c>
      <x:c r="AK59" s="58" t="n">
        <x:v>0.2212146022114366</x:v>
      </x:c>
      <x:c r="AL59" s="56" t="n">
        <x:f>--(AK59&gt;=0.5)</x:f>
        <x:v>0</x:v>
      </x:c>
      <x:c r="AM59" s="56" t="n">
        <x:f>--(AL59=O59)</x:f>
        <x:v>0</x:v>
      </x:c>
    </x:row>
    <x:row r="60" ht="32" customHeight="1">
      <x:c r="A60" s="56" t="str">
        <x:v>2238</x:v>
      </x:c>
      <x:c r="B60" s="56" t="str">
        <x:v>5864</x:v>
      </x:c>
      <x:c r="C60" s="56" t="str">
        <x:v>4691</x:v>
      </x:c>
      <x:c r="D60" s="56" t="str">
        <x:v>Griffith Mine Iron Formation</x:v>
      </x:c>
      <x:c r="E60" s="56" t="str">
        <x:v>50.799999</x:v>
      </x:c>
      <x:c r="F60" s="56" t="str">
        <x:v>-93.400002</x:v>
      </x:c>
      <x:c r="G60" s="56" t="str">
        <x:v>B Component</x:v>
      </x:c>
      <x:c r="H60" s="56" t="str">
        <x:v>118.1</x:v>
      </x:c>
      <x:c r="I60" s="56" t="str">
        <x:v>71.300003</x:v>
      </x:c>
      <x:c r="J60" s="56" t="str">
        <x:v>28.299999</x:v>
      </x:c>
      <x:c r="K60" s="56" t="str">
        <x:v>300.79999</x:v>
      </x:c>
      <x:c r="L60" s="56" t="str">
        <x:v>D</x:v>
      </x:c>
      <x:c r="M60" s="59" t="str"/>
      <x:c r="N60" s="56" t="n">
        <x:f>--(LEN(M60)&gt;0)</x:f>
        <x:v>0</x:v>
      </x:c>
      <x:c r="O60" s="56" t="n">
        <x:v>1</x:v>
      </x:c>
      <x:c r="P60" s="56" t="n">
        <x:f>--(N60=O60)</x:f>
        <x:v>0</x:v>
      </x:c>
      <x:c r="Q60" s="56" t="str">
        <x:v>ABSTAIN_INSUFFICIENT</x:v>
      </x:c>
      <x:c r="R60" s="59" t="str"/>
      <x:c r="S60" s="59" t="str"/>
      <x:c r="T60" s="56" t="n">
        <x:f>--(Q60="PRESENT")</x:f>
        <x:v>0</x:v>
      </x:c>
      <x:c r="U60" s="56" t="n">
        <x:f>--(T60=N60)</x:f>
        <x:v>1</x:v>
      </x:c>
      <x:c r="V60" s="56" t="n">
        <x:f>--(T60=O60)</x:f>
        <x:v>0</x:v>
      </x:c>
      <x:c r="W60" s="56" t="n">
        <x:f>--(OR(Q60="PRESENT",Q60="ABSENT"))</x:f>
        <x:v>0</x:v>
      </x:c>
      <x:c r="X60" s="56" t="str">
        <x:v>LOW</x:v>
      </x:c>
      <x:c r="Y60" s="56" t="str">
        <x:v>METADATA_UNIQUE</x:v>
      </x:c>
      <x:c r="Z60" s="57" t="b">
        <x:v>1</x:v>
      </x:c>
      <x:c r="AA60" s="57" t="b">
        <x:v>1</x:v>
      </x:c>
      <x:c r="AB60" s="56" t="n">
        <x:v>1</x:v>
      </x:c>
      <x:c r="AC60" s="56" t="str"/>
      <x:c r="AD60" s="56" t="str"/>
      <x:c r="AE60" s="56" t="str"/>
      <x:c r="AF60" s="56" t="str"/>
      <x:c r="AG60" s="59" t="str"/>
      <x:c r="AH60" s="58" t="n">
        <x:v>0.22121460221143663</x:v>
      </x:c>
      <x:c r="AI60" s="56" t="n">
        <x:f>--(AH60&gt;=0.5)</x:f>
        <x:v>0</x:v>
      </x:c>
      <x:c r="AJ60" s="56" t="n">
        <x:f>--(AI60=O60)</x:f>
        <x:v>0</x:v>
      </x:c>
      <x:c r="AK60" s="58" t="n">
        <x:v>0.2212146022114366</x:v>
      </x:c>
      <x:c r="AL60" s="56" t="n">
        <x:f>--(AK60&gt;=0.5)</x:f>
        <x:v>0</x:v>
      </x:c>
      <x:c r="AM60" s="56" t="n">
        <x:f>--(AL60=O60)</x:f>
        <x:v>0</x:v>
      </x:c>
    </x:row>
    <x:row r="61" ht="32" customHeight="1">
      <x:c r="A61" s="56" t="str">
        <x:v>2238</x:v>
      </x:c>
      <x:c r="B61" s="56" t="str">
        <x:v>5865</x:v>
      </x:c>
      <x:c r="C61" s="56" t="str">
        <x:v>4691</x:v>
      </x:c>
      <x:c r="D61" s="56" t="str">
        <x:v>Griffith Mine Iron Formation</x:v>
      </x:c>
      <x:c r="E61" s="56" t="str">
        <x:v>50.799999</x:v>
      </x:c>
      <x:c r="F61" s="56" t="str">
        <x:v>-93.400002</x:v>
      </x:c>
      <x:c r="G61" s="56" t="str">
        <x:v>C Component</x:v>
      </x:c>
      <x:c r="H61" s="56" t="str">
        <x:v>22.5</x:v>
      </x:c>
      <x:c r="I61" s="56" t="str">
        <x:v>28</x:v>
      </x:c>
      <x:c r="J61" s="56" t="str">
        <x:v>49.799999</x:v>
      </x:c>
      <x:c r="K61" s="56" t="str">
        <x:v>51.700001</x:v>
      </x:c>
      <x:c r="L61" s="56" t="str">
        <x:v>D</x:v>
      </x:c>
      <x:c r="M61" s="59" t="str"/>
      <x:c r="N61" s="56" t="n">
        <x:f>--(LEN(M61)&gt;0)</x:f>
        <x:v>0</x:v>
      </x:c>
      <x:c r="O61" s="56" t="n">
        <x:v>0</x:v>
      </x:c>
      <x:c r="P61" s="56" t="n">
        <x:f>--(N61=O61)</x:f>
        <x:v>1</x:v>
      </x:c>
      <x:c r="Q61" s="56" t="str">
        <x:v>ABSTAIN_INSUFFICIENT</x:v>
      </x:c>
      <x:c r="R61" s="59" t="str"/>
      <x:c r="S61" s="59" t="str"/>
      <x:c r="T61" s="56" t="n">
        <x:f>--(Q61="PRESENT")</x:f>
        <x:v>0</x:v>
      </x:c>
      <x:c r="U61" s="56" t="n">
        <x:f>--(T61=N61)</x:f>
        <x:v>1</x:v>
      </x:c>
      <x:c r="V61" s="56" t="n">
        <x:f>--(T61=O61)</x:f>
        <x:v>1</x:v>
      </x:c>
      <x:c r="W61" s="56" t="n">
        <x:f>--(OR(Q61="PRESENT",Q61="ABSENT"))</x:f>
        <x:v>0</x:v>
      </x:c>
      <x:c r="X61" s="56" t="str">
        <x:v>LOW</x:v>
      </x:c>
      <x:c r="Y61" s="56" t="str">
        <x:v>METADATA_UNIQUE</x:v>
      </x:c>
      <x:c r="Z61" s="57" t="b">
        <x:v>1</x:v>
      </x:c>
      <x:c r="AA61" s="57" t="b">
        <x:v>1</x:v>
      </x:c>
      <x:c r="AB61" s="56" t="n">
        <x:v>1</x:v>
      </x:c>
      <x:c r="AC61" s="56" t="str"/>
      <x:c r="AD61" s="56" t="str"/>
      <x:c r="AE61" s="56" t="str"/>
      <x:c r="AF61" s="56" t="str"/>
      <x:c r="AG61" s="59" t="str"/>
      <x:c r="AH61" s="58" t="n">
        <x:v>0.22121460221143663</x:v>
      </x:c>
      <x:c r="AI61" s="56" t="n">
        <x:f>--(AH61&gt;=0.5)</x:f>
        <x:v>0</x:v>
      </x:c>
      <x:c r="AJ61" s="56" t="n">
        <x:f>--(AI61=O61)</x:f>
        <x:v>1</x:v>
      </x:c>
      <x:c r="AK61" s="58" t="n">
        <x:v>0.2212146022114366</x:v>
      </x:c>
      <x:c r="AL61" s="56" t="n">
        <x:f>--(AK61&gt;=0.5)</x:f>
        <x:v>0</x:v>
      </x:c>
      <x:c r="AM61" s="56" t="n">
        <x:f>--(AL61=O61)</x:f>
        <x:v>1</x:v>
      </x:c>
    </x:row>
    <x:row r="62" ht="32" customHeight="1">
      <x:c r="A62" s="56" t="str">
        <x:v>2483</x:v>
      </x:c>
      <x:c r="B62" s="56" t="str">
        <x:v>6392</x:v>
      </x:c>
      <x:c r="C62" s="56" t="str">
        <x:v>5101</x:v>
      </x:c>
      <x:c r="D62" s="56" t="str">
        <x:v>Matachewan (Gamitagama) Dykes</x:v>
      </x:c>
      <x:c r="E62" s="56" t="str">
        <x:v>48</x:v>
      </x:c>
      <x:c r="F62" s="56" t="str">
        <x:v>-85</x:v>
      </x:c>
      <x:c r="G62" s="56" t="str"/>
      <x:c r="H62" s="56" t="str">
        <x:v>207.7</x:v>
      </x:c>
      <x:c r="I62" s="56" t="str">
        <x:v>-10</x:v>
      </x:c>
      <x:c r="J62" s="56" t="str">
        <x:v>41</x:v>
      </x:c>
      <x:c r="K62" s="56" t="str">
        <x:v>57</x:v>
      </x:c>
      <x:c r="L62" s="56" t="str">
        <x:v>D</x:v>
      </x:c>
      <x:c r="M62" s="59" t="str">
        <x:v>IRM(sat.0.3T)</x:v>
      </x:c>
      <x:c r="N62" s="56" t="n">
        <x:f>--(LEN(M62)&gt;0)</x:f>
        <x:v>1</x:v>
      </x:c>
      <x:c r="O62" s="56" t="n">
        <x:v>1</x:v>
      </x:c>
      <x:c r="P62" s="56" t="n">
        <x:f>--(N62=O62)</x:f>
        <x:v>1</x:v>
      </x:c>
      <x:c r="Q62" s="56" t="str">
        <x:v>PRESENT</x:v>
      </x:c>
      <x:c r="R62" s="59" t="str">
        <x:v>IRM</x:v>
      </x:c>
      <x:c r="S62" s="59" t="str">
        <x:v>IRM</x:v>
      </x:c>
      <x:c r="T62" s="56" t="n">
        <x:f>--(Q62="PRESENT")</x:f>
        <x:v>1</x:v>
      </x:c>
      <x:c r="U62" s="56" t="n">
        <x:f>--(T62=N62)</x:f>
        <x:v>1</x:v>
      </x:c>
      <x:c r="V62" s="56" t="n">
        <x:f>--(T62=O62)</x:f>
        <x:v>1</x:v>
      </x:c>
      <x:c r="W62" s="56" t="n">
        <x:f>--(OR(Q62="PRESENT",Q62="ABSENT"))</x:f>
        <x:v>1</x:v>
      </x:c>
      <x:c r="X62" s="56" t="str">
        <x:v>MEDIUM</x:v>
      </x:c>
      <x:c r="Y62" s="56" t="str">
        <x:v>PAPER_ROW_MATCH</x:v>
      </x:c>
      <x:c r="Z62" s="57" t="b">
        <x:v>1</x:v>
      </x:c>
      <x:c r="AA62" s="57" t="b">
        <x:v>1</x:v>
      </x:c>
      <x:c r="AB62" s="56" t="n">
        <x:v>0</x:v>
      </x:c>
      <x:c r="AC62" s="56" t="str">
        <x:v>IRM</x:v>
      </x:c>
      <x:c r="AD62" s="56" t="str"/>
      <x:c r="AE62" s="56" t="str"/>
      <x:c r="AF62" s="56" t="str">
        <x:v>1, 2, 5</x:v>
      </x:c>
      <x:c r="AG62" s="59" t="str">
        <x:v>p.2: SIRM | p.2: remanent magnetization (SIRM) analysis to characterize their magnetic remanence carriers | p.2: coercivity</x:v>
      </x:c>
      <x:c r="AH62" s="58" t="n">
        <x:v>0.8593227380220169</x:v>
      </x:c>
      <x:c r="AI62" s="56" t="n">
        <x:f>--(AH62&gt;=0.5)</x:f>
        <x:v>1</x:v>
      </x:c>
      <x:c r="AJ62" s="56" t="n">
        <x:f>--(AI62=O62)</x:f>
        <x:v>1</x:v>
      </x:c>
      <x:c r="AK62" s="58" t="n">
        <x:v>0.8593227380220169</x:v>
      </x:c>
      <x:c r="AL62" s="56" t="n">
        <x:f>--(AK62&gt;=0.5)</x:f>
        <x:v>1</x:v>
      </x:c>
      <x:c r="AM62" s="56" t="n">
        <x:f>--(AL62=O62)</x:f>
        <x:v>1</x:v>
      </x:c>
    </x:row>
    <x:row r="63" ht="32" customHeight="1">
      <x:c r="A63" s="56" t="str">
        <x:v>2483</x:v>
      </x:c>
      <x:c r="B63" s="56" t="str">
        <x:v>6393</x:v>
      </x:c>
      <x:c r="C63" s="56" t="str">
        <x:v>5102</x:v>
      </x:c>
      <x:c r="D63" s="56" t="str">
        <x:v>Northern External and Baldhead River Granites</x:v>
      </x:c>
      <x:c r="E63" s="56" t="str">
        <x:v>48</x:v>
      </x:c>
      <x:c r="F63" s="56" t="str">
        <x:v>-85</x:v>
      </x:c>
      <x:c r="G63" s="56" t="str"/>
      <x:c r="H63" s="56" t="str">
        <x:v>283</x:v>
      </x:c>
      <x:c r="I63" s="56" t="str">
        <x:v>44.299999</x:v>
      </x:c>
      <x:c r="J63" s="56" t="str">
        <x:v>-27</x:v>
      </x:c>
      <x:c r="K63" s="56" t="str">
        <x:v>15</x:v>
      </x:c>
      <x:c r="L63" s="56" t="str">
        <x:v>D</x:v>
      </x:c>
      <x:c r="M63" s="59" t="str">
        <x:v>IRM(sat.0.2T)</x:v>
      </x:c>
      <x:c r="N63" s="56" t="n">
        <x:f>--(LEN(M63)&gt;0)</x:f>
        <x:v>1</x:v>
      </x:c>
      <x:c r="O63" s="56" t="n">
        <x:v>1</x:v>
      </x:c>
      <x:c r="P63" s="56" t="n">
        <x:f>--(N63=O63)</x:f>
        <x:v>1</x:v>
      </x:c>
      <x:c r="Q63" s="56" t="str">
        <x:v>PRESENT</x:v>
      </x:c>
      <x:c r="R63" s="59" t="str">
        <x:v>IRM(HEM,MAGN)</x:v>
      </x:c>
      <x:c r="S63" s="59" t="str">
        <x:v>IRM(HEM,MAGN)</x:v>
      </x:c>
      <x:c r="T63" s="56" t="n">
        <x:f>--(Q63="PRESENT")</x:f>
        <x:v>1</x:v>
      </x:c>
      <x:c r="U63" s="56" t="n">
        <x:f>--(T63=N63)</x:f>
        <x:v>1</x:v>
      </x:c>
      <x:c r="V63" s="56" t="n">
        <x:f>--(T63=O63)</x:f>
        <x:v>1</x:v>
      </x:c>
      <x:c r="W63" s="56" t="n">
        <x:f>--(OR(Q63="PRESENT",Q63="ABSENT"))</x:f>
        <x:v>1</x:v>
      </x:c>
      <x:c r="X63" s="56" t="str">
        <x:v>MEDIUM</x:v>
      </x:c>
      <x:c r="Y63" s="56" t="str">
        <x:v>METADATA_UNIQUE</x:v>
      </x:c>
      <x:c r="Z63" s="57" t="b">
        <x:v>1</x:v>
      </x:c>
      <x:c r="AA63" s="57" t="b">
        <x:v>1</x:v>
      </x:c>
      <x:c r="AB63" s="56" t="n">
        <x:v>0</x:v>
      </x:c>
      <x:c r="AC63" s="56" t="str">
        <x:v>IRM</x:v>
      </x:c>
      <x:c r="AD63" s="56" t="str">
        <x:v>HEM,MAGN</x:v>
      </x:c>
      <x:c r="AE63" s="56" t="str">
        <x:v>PSD,SD,MD</x:v>
      </x:c>
      <x:c r="AF63" s="56" t="str">
        <x:v>2, 3, 4</x:v>
      </x:c>
      <x:c r="AG63" s="59" t="str">
        <x:v>p.3: SIRM | p.2: remanent magnetization (SIRM) analysis to characterize their magnetic remanence carriers | p.4: hematite</x:v>
      </x:c>
      <x:c r="AH63" s="58" t="n">
        <x:v>0.8991556030460277</x:v>
      </x:c>
      <x:c r="AI63" s="56" t="n">
        <x:f>--(AH63&gt;=0.5)</x:f>
        <x:v>1</x:v>
      </x:c>
      <x:c r="AJ63" s="56" t="n">
        <x:f>--(AI63=O63)</x:f>
        <x:v>1</x:v>
      </x:c>
      <x:c r="AK63" s="58" t="n">
        <x:v>0.8991556030460277</x:v>
      </x:c>
      <x:c r="AL63" s="56" t="n">
        <x:f>--(AK63&gt;=0.5)</x:f>
        <x:v>1</x:v>
      </x:c>
      <x:c r="AM63" s="56" t="n">
        <x:f>--(AL63=O63)</x:f>
        <x:v>1</x:v>
      </x:c>
    </x:row>
    <x:row r="64" ht="32" customHeight="1">
      <x:c r="A64" s="56" t="str">
        <x:v>2483</x:v>
      </x:c>
      <x:c r="B64" s="56" t="str">
        <x:v>6394</x:v>
      </x:c>
      <x:c r="C64" s="56" t="str">
        <x:v>5103</x:v>
      </x:c>
      <x:c r="D64" s="56" t="str">
        <x:v>Hawk Lake, Southern and Eastern External Granites</x:v>
      </x:c>
      <x:c r="E64" s="56" t="str">
        <x:v>48</x:v>
      </x:c>
      <x:c r="F64" s="56" t="str">
        <x:v>-85</x:v>
      </x:c>
      <x:c r="G64" s="56" t="str"/>
      <x:c r="H64" s="56" t="str">
        <x:v>308.89999</x:v>
      </x:c>
      <x:c r="I64" s="56" t="str">
        <x:v>38.099998</x:v>
      </x:c>
      <x:c r="J64" s="56" t="str">
        <x:v>-41</x:v>
      </x:c>
      <x:c r="K64" s="56" t="str">
        <x:v>350</x:v>
      </x:c>
      <x:c r="L64" s="56" t="str">
        <x:v>D</x:v>
      </x:c>
      <x:c r="M64" s="59" t="str"/>
      <x:c r="N64" s="56" t="n">
        <x:f>--(LEN(M64)&gt;0)</x:f>
        <x:v>0</x:v>
      </x:c>
      <x:c r="O64" s="56" t="n">
        <x:v>0</x:v>
      </x:c>
      <x:c r="P64" s="56" t="n">
        <x:f>--(N64=O64)</x:f>
        <x:v>1</x:v>
      </x:c>
      <x:c r="Q64" s="56" t="str">
        <x:v>PRESENT</x:v>
      </x:c>
      <x:c r="R64" s="59" t="str">
        <x:v>IRM</x:v>
      </x:c>
      <x:c r="S64" s="59" t="str">
        <x:v>IRM</x:v>
      </x:c>
      <x:c r="T64" s="56" t="n">
        <x:f>--(Q64="PRESENT")</x:f>
        <x:v>1</x:v>
      </x:c>
      <x:c r="U64" s="56" t="n">
        <x:f>--(T64=N64)</x:f>
        <x:v>0</x:v>
      </x:c>
      <x:c r="V64" s="56" t="n">
        <x:f>--(T64=O64)</x:f>
        <x:v>0</x:v>
      </x:c>
      <x:c r="W64" s="56" t="n">
        <x:f>--(OR(Q64="PRESENT",Q64="ABSENT"))</x:f>
        <x:v>1</x:v>
      </x:c>
      <x:c r="X64" s="56" t="str">
        <x:v>MEDIUM</x:v>
      </x:c>
      <x:c r="Y64" s="56" t="str">
        <x:v>METADATA_UNIQUE</x:v>
      </x:c>
      <x:c r="Z64" s="57" t="b">
        <x:v>1</x:v>
      </x:c>
      <x:c r="AA64" s="57" t="b">
        <x:v>1</x:v>
      </x:c>
      <x:c r="AB64" s="56" t="n">
        <x:v>0</x:v>
      </x:c>
      <x:c r="AC64" s="56" t="str">
        <x:v>IRM</x:v>
      </x:c>
      <x:c r="AD64" s="56" t="str"/>
      <x:c r="AE64" s="56" t="str"/>
      <x:c r="AF64" s="56" t="str">
        <x:v>2</x:v>
      </x:c>
      <x:c r="AG64" s="59" t="str">
        <x:v>p.2: SIRM | p.2: remanent magnetization (SIRM) analysis to characterize their magnetic remanence carriers | p.2: coercivity</x:v>
      </x:c>
      <x:c r="AH64" s="58" t="n">
        <x:v>0.8984908437803418</x:v>
      </x:c>
      <x:c r="AI64" s="56" t="n">
        <x:f>--(AH64&gt;=0.5)</x:f>
        <x:v>1</x:v>
      </x:c>
      <x:c r="AJ64" s="56" t="n">
        <x:f>--(AI64=O64)</x:f>
        <x:v>0</x:v>
      </x:c>
      <x:c r="AK64" s="58" t="n">
        <x:v>0.8984908437803419</x:v>
      </x:c>
      <x:c r="AL64" s="56" t="n">
        <x:f>--(AK64&gt;=0.5)</x:f>
        <x:v>1</x:v>
      </x:c>
      <x:c r="AM64" s="56" t="n">
        <x:f>--(AL64=O64)</x:f>
        <x:v>0</x:v>
      </x:c>
    </x:row>
    <x:row r="65" ht="32" customHeight="1">
      <x:c r="A65" s="56" t="str">
        <x:v>2850</x:v>
      </x:c>
      <x:c r="B65" s="56" t="str">
        <x:v>7404</x:v>
      </x:c>
      <x:c r="C65" s="56" t="str">
        <x:v>5940</x:v>
      </x:c>
      <x:c r="D65" s="56" t="str">
        <x:v>Kolvitza porphyrites</x:v>
      </x:c>
      <x:c r="E65" s="56" t="str">
        <x:v>67.199997</x:v>
      </x:c>
      <x:c r="F65" s="56" t="str">
        <x:v>32.599998</x:v>
      </x:c>
      <x:c r="G65" s="56" t="str">
        <x:v>High-temp.</x:v>
      </x:c>
      <x:c r="H65" s="56" t="str">
        <x:v>244.7</x:v>
      </x:c>
      <x:c r="I65" s="56" t="str">
        <x:v>-38.200001</x:v>
      </x:c>
      <x:c r="J65" s="56" t="str">
        <x:v>-29</x:v>
      </x:c>
      <x:c r="K65" s="56" t="str">
        <x:v>317.39999</x:v>
      </x:c>
      <x:c r="L65" s="56" t="str">
        <x:v>V</x:v>
      </x:c>
      <x:c r="M65" s="59" t="str">
        <x:v>OP(MAGN)</x:v>
      </x:c>
      <x:c r="N65" s="56" t="n">
        <x:f>--(LEN(M65)&gt;0)</x:f>
        <x:v>1</x:v>
      </x:c>
      <x:c r="O65" s="56" t="n">
        <x:v>1</x:v>
      </x:c>
      <x:c r="P65" s="56" t="n">
        <x:f>--(N65=O65)</x:f>
        <x:v>1</x:v>
      </x:c>
      <x:c r="Q65" s="56" t="str">
        <x:v>ABSTAIN_ANCHOR</x:v>
      </x:c>
      <x:c r="R65" s="59" t="str"/>
      <x:c r="S65" s="59" t="str"/>
      <x:c r="T65" s="56" t="n">
        <x:f>--(Q65="PRESENT")</x:f>
        <x:v>0</x:v>
      </x:c>
      <x:c r="U65" s="56" t="n">
        <x:f>--(T65=N65)</x:f>
        <x:v>0</x:v>
      </x:c>
      <x:c r="V65" s="56" t="n">
        <x:f>--(T65=O65)</x:f>
        <x:v>0</x:v>
      </x:c>
      <x:c r="W65" s="56" t="n">
        <x:f>--(OR(Q65="PRESENT",Q65="ABSENT"))</x:f>
        <x:v>0</x:v>
      </x:c>
      <x:c r="X65" s="56" t="str">
        <x:v>LOW</x:v>
      </x:c>
      <x:c r="Y65" s="56" t="str">
        <x:v>METADATA_UNIQUE</x:v>
      </x:c>
      <x:c r="Z65" s="57" t="b">
        <x:v>1</x:v>
      </x:c>
      <x:c r="AA65" s="57" t="b">
        <x:v>1</x:v>
      </x:c>
      <x:c r="AB65" s="56" t="n">
        <x:v>0</x:v>
      </x:c>
      <x:c r="AC65" s="56" t="str"/>
      <x:c r="AD65" s="56" t="str"/>
      <x:c r="AE65" s="56" t="str"/>
      <x:c r="AF65" s="56" t="str"/>
      <x:c r="AG65" s="59" t="str"/>
      <x:c r="AH65" s="58" t="n">
        <x:v>0.5657253924926232</x:v>
      </x:c>
      <x:c r="AI65" s="56" t="n">
        <x:f>--(AH65&gt;=0.5)</x:f>
        <x:v>1</x:v>
      </x:c>
      <x:c r="AJ65" s="56" t="n">
        <x:f>--(AI65=O65)</x:f>
        <x:v>1</x:v>
      </x:c>
      <x:c r="AK65" s="58" t="n">
        <x:v>0.592707997165927</x:v>
      </x:c>
      <x:c r="AL65" s="56" t="n">
        <x:f>--(AK65&gt;=0.5)</x:f>
        <x:v>1</x:v>
      </x:c>
      <x:c r="AM65" s="56" t="n">
        <x:f>--(AL65=O65)</x:f>
        <x:v>1</x:v>
      </x:c>
    </x:row>
    <x:row r="66" ht="32" customHeight="1">
      <x:c r="A66" s="56" t="str">
        <x:v>2850</x:v>
      </x:c>
      <x:c r="B66" s="56" t="str">
        <x:v>7410</x:v>
      </x:c>
      <x:c r="C66" s="56" t="str">
        <x:v>5943</x:v>
      </x:c>
      <x:c r="D66" s="56" t="str">
        <x:v>Voche-Lambina Metamorphic Rocks</x:v>
      </x:c>
      <x:c r="E66" s="56" t="str">
        <x:v>67.699997</x:v>
      </x:c>
      <x:c r="F66" s="56" t="str">
        <x:v>32.5</x:v>
      </x:c>
      <x:c r="G66" s="56" t="str">
        <x:v>Component A</x:v>
      </x:c>
      <x:c r="H66" s="56" t="str">
        <x:v>265.79999</x:v>
      </x:c>
      <x:c r="I66" s="56" t="str">
        <x:v>-27.5</x:v>
      </x:c>
      <x:c r="J66" s="56" t="str">
        <x:v>-15.1</x:v>
      </x:c>
      <x:c r="K66" s="56" t="str">
        <x:v>300.70001</x:v>
      </x:c>
      <x:c r="L66" s="56" t="str">
        <x:v>V</x:v>
      </x:c>
      <x:c r="M66" s="59" t="str"/>
      <x:c r="N66" s="56" t="n">
        <x:f>--(LEN(M66)&gt;0)</x:f>
        <x:v>0</x:v>
      </x:c>
      <x:c r="O66" s="56" t="n">
        <x:v>0</x:v>
      </x:c>
      <x:c r="P66" s="56" t="n">
        <x:f>--(N66=O66)</x:f>
        <x:v>1</x:v>
      </x:c>
      <x:c r="Q66" s="56" t="str">
        <x:v>ABSTAIN_INSUFFICIENT</x:v>
      </x:c>
      <x:c r="R66" s="59" t="str"/>
      <x:c r="S66" s="59" t="str"/>
      <x:c r="T66" s="56" t="n">
        <x:f>--(Q66="PRESENT")</x:f>
        <x:v>0</x:v>
      </x:c>
      <x:c r="U66" s="56" t="n">
        <x:f>--(T66=N66)</x:f>
        <x:v>1</x:v>
      </x:c>
      <x:c r="V66" s="56" t="n">
        <x:f>--(T66=O66)</x:f>
        <x:v>1</x:v>
      </x:c>
      <x:c r="W66" s="56" t="n">
        <x:f>--(OR(Q66="PRESENT",Q66="ABSENT"))</x:f>
        <x:v>0</x:v>
      </x:c>
      <x:c r="X66" s="56" t="str">
        <x:v>LOW</x:v>
      </x:c>
      <x:c r="Y66" s="56" t="str">
        <x:v>PAPER_ROW_MATCH</x:v>
      </x:c>
      <x:c r="Z66" s="57" t="b">
        <x:v>1</x:v>
      </x:c>
      <x:c r="AA66" s="57" t="b">
        <x:v>1</x:v>
      </x:c>
      <x:c r="AB66" s="56" t="n">
        <x:v>1</x:v>
      </x:c>
      <x:c r="AC66" s="56" t="str"/>
      <x:c r="AD66" s="56" t="str"/>
      <x:c r="AE66" s="56" t="str"/>
      <x:c r="AF66" s="56" t="str">
        <x:v>13, 14</x:v>
      </x:c>
      <x:c r="AG66" s="59" t="str">
        <x:v>p.13: ntry metamorphicThe values of magnetic hardness Qrs in the strongly magnetic rocks, lead to a decrease in the values of the precision parametergabbro and dolerites do not exceed 160, indicating the presence K by factor of 1.5–6.5 (Table 1). One exception is the data setof magnetically soft magnetite. Such magnetite is the product from Voche–Lambina, whereS=K/Kcorr#1 due to the mono-of rather intense, metamorphic and metasomatic alterations, clinal structure of the area (Fig. 2). High values of t | p.14: 704 M. A. Fedotova et al. Figure 13. Thermomagnetic and di Verential thermomagnetic curves: decay of the SIRM, per cent per 25 ° C. Sample 111: Monchegorsk pluton pyroxenite; sample 35: Voche–Lambina dolerite; sample K17: Kolvitsa peridotite; sample K21: Kolvitsa porphyritic dyke; sample M1: Ladva gabbro-dolerite; sample B91: Shoksha dolerite. 1: ﬁrst heating, 2: second heating. been radiometrically dated). For the Kola and Belomorian A component isolated in the Moncha rocks gave a positive resu | p.14: stimate the age of the A component, isolated indoleritic dykes is dated from a U–Pb age of 2150 ± 60 Ma (Table 2, entries 2.3 and 2.4), and the B2 component from the the pluton pyroxenites, as 2406 ± 3 Ma—the age of the Main Range amphibolized gabbro (Mitrofanov et al. 1993). FieldRopruchey Sill is dated from a U–Pb age of 1770 ± 12 Ma (Table 2, entries 2.10, 2.11 and 2.12). The A component from relationships between the Moncha picritic dykes (entry 1.1) and the doleritic dykes of ﬁrst and secon</x:v>
      </x:c>
      <x:c r="AH66" s="58" t="n">
        <x:v>0.592956480201291</x:v>
      </x:c>
      <x:c r="AI66" s="56" t="n">
        <x:f>--(AH66&gt;=0.5)</x:f>
        <x:v>1</x:v>
      </x:c>
      <x:c r="AJ66" s="56" t="n">
        <x:f>--(AI66=O66)</x:f>
        <x:v>0</x:v>
      </x:c>
      <x:c r="AK66" s="58" t="n">
        <x:v>0.771847293568226</x:v>
      </x:c>
      <x:c r="AL66" s="56" t="n">
        <x:f>--(AK66&gt;=0.5)</x:f>
        <x:v>1</x:v>
      </x:c>
      <x:c r="AM66" s="56" t="n">
        <x:f>--(AL66=O66)</x:f>
        <x:v>0</x:v>
      </x:c>
    </x:row>
    <x:row r="67" ht="32" customHeight="1">
      <x:c r="A67" s="56" t="str">
        <x:v>2850</x:v>
      </x:c>
      <x:c r="B67" s="56" t="str">
        <x:v>7411</x:v>
      </x:c>
      <x:c r="C67" s="56" t="str">
        <x:v>5944</x:v>
      </x:c>
      <x:c r="D67" s="56" t="str">
        <x:v>Voche-Lambina Metamorphic Rocks</x:v>
      </x:c>
      <x:c r="E67" s="56" t="str">
        <x:v>67.699997</x:v>
      </x:c>
      <x:c r="F67" s="56" t="str">
        <x:v>32.5</x:v>
      </x:c>
      <x:c r="G67" s="56" t="str">
        <x:v>Component C</x:v>
      </x:c>
      <x:c r="H67" s="56" t="str">
        <x:v>264.39999</x:v>
      </x:c>
      <x:c r="I67" s="56" t="str">
        <x:v>30.4</x:v>
      </x:c>
      <x:c r="J67" s="56" t="str">
        <x:v>12.9</x:v>
      </x:c>
      <x:c r="K67" s="56" t="str">
        <x:v>314.10001</x:v>
      </x:c>
      <x:c r="L67" s="56" t="str">
        <x:v>V</x:v>
      </x:c>
      <x:c r="M67" s="59" t="str"/>
      <x:c r="N67" s="56" t="n">
        <x:f>--(LEN(M67)&gt;0)</x:f>
        <x:v>0</x:v>
      </x:c>
      <x:c r="O67" s="56" t="n">
        <x:v>0</x:v>
      </x:c>
      <x:c r="P67" s="56" t="n">
        <x:f>--(N67=O67)</x:f>
        <x:v>1</x:v>
      </x:c>
      <x:c r="Q67" s="56" t="str">
        <x:v>ABSTAIN_INSUFFICIENT</x:v>
      </x:c>
      <x:c r="R67" s="59" t="str"/>
      <x:c r="S67" s="59" t="str"/>
      <x:c r="T67" s="56" t="n">
        <x:f>--(Q67="PRESENT")</x:f>
        <x:v>0</x:v>
      </x:c>
      <x:c r="U67" s="56" t="n">
        <x:f>--(T67=N67)</x:f>
        <x:v>1</x:v>
      </x:c>
      <x:c r="V67" s="56" t="n">
        <x:f>--(T67=O67)</x:f>
        <x:v>1</x:v>
      </x:c>
      <x:c r="W67" s="56" t="n">
        <x:f>--(OR(Q67="PRESENT",Q67="ABSENT"))</x:f>
        <x:v>0</x:v>
      </x:c>
      <x:c r="X67" s="56" t="str">
        <x:v>LOW</x:v>
      </x:c>
      <x:c r="Y67" s="56" t="str">
        <x:v>PAPER_ROW_MATCH</x:v>
      </x:c>
      <x:c r="Z67" s="57" t="b">
        <x:v>1</x:v>
      </x:c>
      <x:c r="AA67" s="57" t="b">
        <x:v>1</x:v>
      </x:c>
      <x:c r="AB67" s="56" t="n">
        <x:v>1</x:v>
      </x:c>
      <x:c r="AC67" s="56" t="str"/>
      <x:c r="AD67" s="56" t="str"/>
      <x:c r="AE67" s="56" t="str"/>
      <x:c r="AF67" s="56" t="str">
        <x:v>13, 14, 15</x:v>
      </x:c>
      <x:c r="AG67" s="59" t="str">
        <x:v>p.13: hat many of the studied maﬁc and ultramaﬁc rocks of the Karelia–Kola region contain a ferrimagnetic mineral of the magnetite group, syngenetic with and synchronous with the formation of these rocks: magnesium-aluminium-chrome magnetite in most ultramaﬁc and maﬁc rocks, and titanomagnetite, with appreciable amounts (a) (b) (c) (d) (e) (f) of magnesium and aluminium, in dolerites. Such a mineralogy Figure 12. Directions of ChRM for Southern Onega rocks. (a) Shoksha appears most often in the stage  | p.14: stimate the age of the A component, isolated indoleritic dykes is dated from a U–Pb age of 2150 ± 60 Ma (Table 2, entries 2.3 and 2.4), and the B2 component from the the pluton pyroxenites, as 2406 ± 3 Ma—the age of the Main Range amphibolized gabbro (Mitrofanov et al. 1993). FieldRopruchey Sill is dated from a U–Pb age of 1770 ± 12 Ma (Table 2, entries 2.10, 2.11 and 2.12). The A component from relationships between the Moncha picritic dykes (entry 1.1) and the doleritic dykes of ﬁrst and secon | p.14: Moncha picritic dykes (entry 1.1) and the doleritic dykes of ﬁrst and second generations (entriesthe Burakovka gabbro-norites is dated from a U–Pb age of 2449± 1 Ma (Table 2, entries 2.15 and 2.16), a similar age to 1.4 and 1.5) indicate the following time succession of NRM component acquisition: A, C, B1,B2. Taking into considerationthat estimated in the Kola and Belmorian provinces above. The other NRM components that we isolated have been that the possible ages of the dykes carrying B 1 and B</x:v>
      </x:c>
      <x:c r="AH67" s="58" t="n">
        <x:v>0.592956480201291</x:v>
      </x:c>
      <x:c r="AI67" s="56" t="n">
        <x:f>--(AH67&gt;=0.5)</x:f>
        <x:v>1</x:v>
      </x:c>
      <x:c r="AJ67" s="56" t="n">
        <x:f>--(AI67=O67)</x:f>
        <x:v>0</x:v>
      </x:c>
      <x:c r="AK67" s="58" t="n">
        <x:v>0.771847293568226</x:v>
      </x:c>
      <x:c r="AL67" s="56" t="n">
        <x:f>--(AK67&gt;=0.5)</x:f>
        <x:v>1</x:v>
      </x:c>
      <x:c r="AM67" s="56" t="n">
        <x:f>--(AL67=O67)</x:f>
        <x:v>0</x:v>
      </x:c>
    </x:row>
    <x:row r="68" ht="32" customHeight="1">
      <x:c r="A68" s="56" t="str">
        <x:v>2850</x:v>
      </x:c>
      <x:c r="B68" s="56" t="str">
        <x:v>7416</x:v>
      </x:c>
      <x:c r="C68" s="56" t="str">
        <x:v>5949</x:v>
      </x:c>
      <x:c r="D68" s="56" t="str">
        <x:v>Matozero Dykes</x:v>
      </x:c>
      <x:c r="E68" s="56" t="str">
        <x:v>62.5</x:v>
      </x:c>
      <x:c r="F68" s="56" t="str">
        <x:v>35.5</x:v>
      </x:c>
      <x:c r="G68" s="56" t="str">
        <x:v>Component B1</x:v>
      </x:c>
      <x:c r="H68" s="56" t="str">
        <x:v>257.60001</x:v>
      </x:c>
      <x:c r="I68" s="56" t="str">
        <x:v>-31.1</x:v>
      </x:c>
      <x:c r="J68" s="56" t="str">
        <x:v>-20.6</x:v>
      </x:c>
      <x:c r="K68" s="56" t="str">
        <x:v>308.5</x:v>
      </x:c>
      <x:c r="L68" s="56" t="str">
        <x:v>V</x:v>
      </x:c>
      <x:c r="M68" s="59" t="str"/>
      <x:c r="N68" s="56" t="n">
        <x:f>--(LEN(M68)&gt;0)</x:f>
        <x:v>0</x:v>
      </x:c>
      <x:c r="O68" s="56" t="n">
        <x:v>0</x:v>
      </x:c>
      <x:c r="P68" s="56" t="n">
        <x:f>--(N68=O68)</x:f>
        <x:v>1</x:v>
      </x:c>
      <x:c r="Q68" s="56" t="str">
        <x:v>PRESENT</x:v>
      </x:c>
      <x:c r="R68" s="59" t="str">
        <x:v>IRM(MAGN,TM)</x:v>
      </x:c>
      <x:c r="S68" s="59" t="str">
        <x:v>IRM(MAGN,TM)</x:v>
      </x:c>
      <x:c r="T68" s="56" t="n">
        <x:f>--(Q68="PRESENT")</x:f>
        <x:v>1</x:v>
      </x:c>
      <x:c r="U68" s="56" t="n">
        <x:f>--(T68=N68)</x:f>
        <x:v>0</x:v>
      </x:c>
      <x:c r="V68" s="56" t="n">
        <x:f>--(T68=O68)</x:f>
        <x:v>0</x:v>
      </x:c>
      <x:c r="W68" s="56" t="n">
        <x:f>--(OR(Q68="PRESENT",Q68="ABSENT"))</x:f>
        <x:v>1</x:v>
      </x:c>
      <x:c r="X68" s="56" t="str">
        <x:v>HIGH</x:v>
      </x:c>
      <x:c r="Y68" s="56" t="str">
        <x:v>PAPER_ROW_MATCH</x:v>
      </x:c>
      <x:c r="Z68" s="57" t="b">
        <x:v>1</x:v>
      </x:c>
      <x:c r="AA68" s="57" t="b">
        <x:v>1</x:v>
      </x:c>
      <x:c r="AB68" s="56" t="n">
        <x:v>0</x:v>
      </x:c>
      <x:c r="AC68" s="56" t="str">
        <x:v>IRM</x:v>
      </x:c>
      <x:c r="AD68" s="56" t="str">
        <x:v>MAGN,TM</x:v>
      </x:c>
      <x:c r="AE68" s="56" t="str">
        <x:v>SD</x:v>
      </x:c>
      <x:c r="AF68" s="56" t="str">
        <x:v>11, 12, 13, 14, 15</x:v>
      </x:c>
      <x:c r="AG68" s="59" t="str">
        <x:v>p.12: SIRM | p.11: magnetite | p.12: magnetite</x:v>
      </x:c>
      <x:c r="AH68" s="58" t="n">
        <x:v>0.6336147198652964</x:v>
      </x:c>
      <x:c r="AI68" s="56" t="n">
        <x:f>--(AH68&gt;=0.5)</x:f>
        <x:v>1</x:v>
      </x:c>
      <x:c r="AJ68" s="56" t="n">
        <x:f>--(AI68=O68)</x:f>
        <x:v>0</x:v>
      </x:c>
      <x:c r="AK68" s="58" t="n">
        <x:v>0.6693202492441549</x:v>
      </x:c>
      <x:c r="AL68" s="56" t="n">
        <x:f>--(AK68&gt;=0.5)</x:f>
        <x:v>1</x:v>
      </x:c>
      <x:c r="AM68" s="56" t="n">
        <x:f>--(AL68=O68)</x:f>
        <x:v>0</x:v>
      </x:c>
    </x:row>
    <x:row r="69" ht="32" customHeight="1">
      <x:c r="A69" s="56" t="str">
        <x:v>2850</x:v>
      </x:c>
      <x:c r="B69" s="56" t="str">
        <x:v>7417</x:v>
      </x:c>
      <x:c r="C69" s="56" t="str">
        <x:v>5950</x:v>
      </x:c>
      <x:c r="D69" s="56" t="str">
        <x:v>Matozero Baked Schists</x:v>
      </x:c>
      <x:c r="E69" s="56" t="str">
        <x:v>62.5</x:v>
      </x:c>
      <x:c r="F69" s="56" t="str">
        <x:v>35.5</x:v>
      </x:c>
      <x:c r="G69" s="56" t="str">
        <x:v>Component B1</x:v>
      </x:c>
      <x:c r="H69" s="56" t="str">
        <x:v>249.8</x:v>
      </x:c>
      <x:c r="I69" s="56" t="str">
        <x:v>-27.299999</x:v>
      </x:c>
      <x:c r="J69" s="56" t="str">
        <x:v>-22.1</x:v>
      </x:c>
      <x:c r="K69" s="56" t="str">
        <x:v>316.79999</x:v>
      </x:c>
      <x:c r="L69" s="56" t="str">
        <x:v>V</x:v>
      </x:c>
      <x:c r="M69" s="59" t="str"/>
      <x:c r="N69" s="56" t="n">
        <x:f>--(LEN(M69)&gt;0)</x:f>
        <x:v>0</x:v>
      </x:c>
      <x:c r="O69" s="56" t="n">
        <x:v>0</x:v>
      </x:c>
      <x:c r="P69" s="56" t="n">
        <x:f>--(N69=O69)</x:f>
        <x:v>1</x:v>
      </x:c>
      <x:c r="Q69" s="56" t="str">
        <x:v>ABSTAIN_INSUFFICIENT</x:v>
      </x:c>
      <x:c r="R69" s="59" t="str"/>
      <x:c r="S69" s="59" t="str"/>
      <x:c r="T69" s="56" t="n">
        <x:f>--(Q69="PRESENT")</x:f>
        <x:v>0</x:v>
      </x:c>
      <x:c r="U69" s="56" t="n">
        <x:f>--(T69=N69)</x:f>
        <x:v>1</x:v>
      </x:c>
      <x:c r="V69" s="56" t="n">
        <x:f>--(T69=O69)</x:f>
        <x:v>1</x:v>
      </x:c>
      <x:c r="W69" s="56" t="n">
        <x:f>--(OR(Q69="PRESENT",Q69="ABSENT"))</x:f>
        <x:v>0</x:v>
      </x:c>
      <x:c r="X69" s="56" t="str">
        <x:v>LOW</x:v>
      </x:c>
      <x:c r="Y69" s="56" t="str">
        <x:v>PAPER_ROW_MATCH</x:v>
      </x:c>
      <x:c r="Z69" s="57" t="b">
        <x:v>1</x:v>
      </x:c>
      <x:c r="AA69" s="57" t="b">
        <x:v>1</x:v>
      </x:c>
      <x:c r="AB69" s="56" t="n">
        <x:v>0</x:v>
      </x:c>
      <x:c r="AC69" s="56" t="str"/>
      <x:c r="AD69" s="56" t="str"/>
      <x:c r="AE69" s="56" t="str"/>
      <x:c r="AF69" s="56" t="str">
        <x:v>11, 13, 14, 15</x:v>
      </x:c>
      <x:c r="AG69" s="59" t="str">
        <x:v>p.11: ambina and Moncha picrites and country rocks, component C; (e, f ) Kumuzhya dykes of second generation and altered Voche–Lambina rocks, component B2. similar inclinations ( I=54.0° to 65.4° ) but with declinations varying from D=69.5° for the Aganozero block to D=135.7° for the Central block (Figs 8, 12d, e and f, Table 2). Hautavaara amphibolized gabbro and andesites carry three NRM components (Figs 10c and d): the A component with a (a) (b) (c) NE-down direction, the B 2 component with a NW-do | p.13: rametergabbro and dolerites do not exceed 160, indicating the presence K by factor of 1.5–6.5 (Table 1). One exception is the data setof magnetically soft magnetite. Such magnetite is the product from Voche–Lambina, whereS=K/Kcorr#1 due to the mono-of rather intense, metamorphic and metasomatic alterations, clinal structure of the area (Fig. 2). High values of the ratio Sresulting in complete recrystallization of the primary magnetite characterize the between-group statistics too: S=6.8 for thea | p.14: Ma (Table 1, the mean directions for the normal and reverse magnetizations (Table 1, entries 1.2 and 1.3). This result implies a shortentry 1.2), whereas in the Kolvitsa porphyrities it is dated from a U–Pb age of 2450± 10 Ma. Two metamorphic events, time span between these magnetizations. Hence, the age of the A component for the Main Range rocks is nearly the same aswhich yield Rb–Sr ages of 2450± 83 Ma and 2198± 172 Ma, are possibly related to the A and C components isolated in the the age of</x:v>
      </x:c>
      <x:c r="AH69" s="58" t="n">
        <x:v>0.6316065802651658</x:v>
      </x:c>
      <x:c r="AI69" s="56" t="n">
        <x:f>--(AH69&gt;=0.5)</x:f>
        <x:v>1</x:v>
      </x:c>
      <x:c r="AJ69" s="56" t="n">
        <x:f>--(AI69=O69)</x:f>
        <x:v>0</x:v>
      </x:c>
      <x:c r="AK69" s="58" t="n">
        <x:v>0.4331013388182274</x:v>
      </x:c>
      <x:c r="AL69" s="56" t="n">
        <x:f>--(AK69&gt;=0.5)</x:f>
        <x:v>0</x:v>
      </x:c>
      <x:c r="AM69" s="56" t="n">
        <x:f>--(AL69=O69)</x:f>
        <x:v>1</x:v>
      </x:c>
    </x:row>
    <x:row r="70" ht="32" customHeight="1">
      <x:c r="A70" s="56" t="str">
        <x:v>2850</x:v>
      </x:c>
      <x:c r="B70" s="56" t="str">
        <x:v>7418</x:v>
      </x:c>
      <x:c r="C70" s="56" t="str">
        <x:v>5951</x:v>
      </x:c>
      <x:c r="D70" s="56" t="str">
        <x:v>Matozero Sill</x:v>
      </x:c>
      <x:c r="E70" s="56" t="str">
        <x:v>62.5</x:v>
      </x:c>
      <x:c r="F70" s="56" t="str">
        <x:v>35.5</x:v>
      </x:c>
      <x:c r="G70" s="56" t="str">
        <x:v>Component A</x:v>
      </x:c>
      <x:c r="H70" s="56" t="str">
        <x:v>78.900002</x:v>
      </x:c>
      <x:c r="I70" s="56" t="str">
        <x:v>57.299999</x:v>
      </x:c>
      <x:c r="J70" s="56" t="str">
        <x:v>-38</x:v>
      </x:c>
      <x:c r="K70" s="56" t="str">
        <x:v>294.60001</x:v>
      </x:c>
      <x:c r="L70" s="56" t="str">
        <x:v>V</x:v>
      </x:c>
      <x:c r="M70" s="59" t="str"/>
      <x:c r="N70" s="56" t="n">
        <x:f>--(LEN(M70)&gt;0)</x:f>
        <x:v>0</x:v>
      </x:c>
      <x:c r="O70" s="56" t="n">
        <x:v>0</x:v>
      </x:c>
      <x:c r="P70" s="56" t="n">
        <x:f>--(N70=O70)</x:f>
        <x:v>1</x:v>
      </x:c>
      <x:c r="Q70" s="56" t="str">
        <x:v>PRESENT</x:v>
      </x:c>
      <x:c r="R70" s="59" t="str">
        <x:v>IRM(MAGN,TM)</x:v>
      </x:c>
      <x:c r="S70" s="59" t="str">
        <x:v>IRM(MAGN,TM)</x:v>
      </x:c>
      <x:c r="T70" s="56" t="n">
        <x:f>--(Q70="PRESENT")</x:f>
        <x:v>1</x:v>
      </x:c>
      <x:c r="U70" s="56" t="n">
        <x:f>--(T70=N70)</x:f>
        <x:v>0</x:v>
      </x:c>
      <x:c r="V70" s="56" t="n">
        <x:f>--(T70=O70)</x:f>
        <x:v>0</x:v>
      </x:c>
      <x:c r="W70" s="56" t="n">
        <x:f>--(OR(Q70="PRESENT",Q70="ABSENT"))</x:f>
        <x:v>1</x:v>
      </x:c>
      <x:c r="X70" s="56" t="str">
        <x:v>HIGH</x:v>
      </x:c>
      <x:c r="Y70" s="56" t="str">
        <x:v>PAPER_ROW_MATCH</x:v>
      </x:c>
      <x:c r="Z70" s="57" t="b">
        <x:v>1</x:v>
      </x:c>
      <x:c r="AA70" s="57" t="b">
        <x:v>1</x:v>
      </x:c>
      <x:c r="AB70" s="56" t="n">
        <x:v>0</x:v>
      </x:c>
      <x:c r="AC70" s="56" t="str">
        <x:v>IRM</x:v>
      </x:c>
      <x:c r="AD70" s="56" t="str">
        <x:v>MAGN,TM</x:v>
      </x:c>
      <x:c r="AE70" s="56" t="str">
        <x:v>SD</x:v>
      </x:c>
      <x:c r="AF70" s="56" t="str">
        <x:v>8, 9, 10, 11, 12, 13</x:v>
      </x:c>
      <x:c r="AG70" s="59" t="str">
        <x:v>p.12: SIRM | p.11: magnetite | p.12: magnetite</x:v>
      </x:c>
      <x:c r="AH70" s="58" t="n">
        <x:v>0.6232340264115428</x:v>
      </x:c>
      <x:c r="AI70" s="56" t="n">
        <x:f>--(AH70&gt;=0.5)</x:f>
        <x:v>1</x:v>
      </x:c>
      <x:c r="AJ70" s="56" t="n">
        <x:f>--(AI70=O70)</x:f>
        <x:v>0</x:v>
      </x:c>
      <x:c r="AK70" s="58" t="n">
        <x:v>0.6389787877443885</x:v>
      </x:c>
      <x:c r="AL70" s="56" t="n">
        <x:f>--(AK70&gt;=0.5)</x:f>
        <x:v>1</x:v>
      </x:c>
      <x:c r="AM70" s="56" t="n">
        <x:f>--(AL70=O70)</x:f>
        <x:v>0</x:v>
      </x:c>
    </x:row>
    <x:row r="71" ht="32" customHeight="1">
      <x:c r="A71" s="56" t="str">
        <x:v>2850</x:v>
      </x:c>
      <x:c r="B71" s="56" t="str">
        <x:v>7419</x:v>
      </x:c>
      <x:c r="C71" s="56" t="str">
        <x:v>5952</x:v>
      </x:c>
      <x:c r="D71" s="56" t="str">
        <x:v>Matozero Host Schists</x:v>
      </x:c>
      <x:c r="E71" s="56" t="str">
        <x:v>62.5</x:v>
      </x:c>
      <x:c r="F71" s="56" t="str">
        <x:v>35.5</x:v>
      </x:c>
      <x:c r="G71" s="56" t="str">
        <x:v>Component A</x:v>
      </x:c>
      <x:c r="H71" s="56" t="str">
        <x:v>76.599998</x:v>
      </x:c>
      <x:c r="I71" s="56" t="str">
        <x:v>60.900002</x:v>
      </x:c>
      <x:c r="J71" s="56" t="str">
        <x:v>-42.299999</x:v>
      </x:c>
      <x:c r="K71" s="56" t="str">
        <x:v>293.39999</x:v>
      </x:c>
      <x:c r="L71" s="56" t="str">
        <x:v>V</x:v>
      </x:c>
      <x:c r="M71" s="59" t="str"/>
      <x:c r="N71" s="56" t="n">
        <x:f>--(LEN(M71)&gt;0)</x:f>
        <x:v>0</x:v>
      </x:c>
      <x:c r="O71" s="56" t="n">
        <x:v>0</x:v>
      </x:c>
      <x:c r="P71" s="56" t="n">
        <x:f>--(N71=O71)</x:f>
        <x:v>1</x:v>
      </x:c>
      <x:c r="Q71" s="56" t="str">
        <x:v>ABSTAIN_INSUFFICIENT</x:v>
      </x:c>
      <x:c r="R71" s="59" t="str"/>
      <x:c r="S71" s="59" t="str"/>
      <x:c r="T71" s="56" t="n">
        <x:f>--(Q71="PRESENT")</x:f>
        <x:v>0</x:v>
      </x:c>
      <x:c r="U71" s="56" t="n">
        <x:f>--(T71=N71)</x:f>
        <x:v>1</x:v>
      </x:c>
      <x:c r="V71" s="56" t="n">
        <x:f>--(T71=O71)</x:f>
        <x:v>1</x:v>
      </x:c>
      <x:c r="W71" s="56" t="n">
        <x:f>--(OR(Q71="PRESENT",Q71="ABSENT"))</x:f>
        <x:v>0</x:v>
      </x:c>
      <x:c r="X71" s="56" t="str">
        <x:v>LOW</x:v>
      </x:c>
      <x:c r="Y71" s="56" t="str">
        <x:v>PAPER_ROW_MATCH</x:v>
      </x:c>
      <x:c r="Z71" s="57" t="b">
        <x:v>1</x:v>
      </x:c>
      <x:c r="AA71" s="57" t="b">
        <x:v>1</x:v>
      </x:c>
      <x:c r="AB71" s="56" t="n">
        <x:v>0</x:v>
      </x:c>
      <x:c r="AC71" s="56" t="str"/>
      <x:c r="AD71" s="56" t="str"/>
      <x:c r="AE71" s="56" t="str"/>
      <x:c r="AF71" s="56" t="str">
        <x:v>6, 7, 8, 9</x:v>
      </x:c>
      <x:c r="AG71" s="59" t="str">
        <x:v>p.6: 696 M. A. Fedotova et al. majority of specimens. These components have diVerent ranges In the Voche–Lambina area, four groups of directions are isolated. They are similar to the directions of the Monchaof unblocking temperatures and coercive spectra. Moreover, diVerent rock types from the same site sometimes exhibit groups. The ﬁrst group (component A; Figs 6 and 9b) is of dual polarity with relatively high unblocking temperaturesdiVerent characteristic remanent magnetization (ChRM) directions ( | p.6: and for some pyroxenites of the Monchegorsk pluton (Figs 5 and 9a). It is a dual-polarity unblocking temperatures ( Tub=100–450° C). Component B1 is isolated in doleritic dykes, both in the Moncha and Voche–component with W-up/E-down directions. Dolerite dykes of the ﬁrst generation and micropyroxenites at the dyke contacts Lambina areas, whereas component C (Figs 6 and 9d), as well as component A (Figs 6 and 9b) are characteristic forcarry a single-polarity B 1 component (Fig. 9c). The second g | p.6: the In the Kolvitsa area, most specimens of the peridotitic dykes and basaltic porphyrites, as well as the country rock schists,Monchegorsk pluton and host gabbro. Components B2 and C are also of single polarity here (Table 1). contain two components of magnetization (Fig. 6). Bends in the Zijderveld diagrams, corresponding to the overlap of TubTub and Hc values (the isolation ranges) of the NRM components show that magnetite is the main carrier of spectra, are recorded at about 350–450 ° C, wit</x:v>
      </x:c>
      <x:c r="AH71" s="58" t="n">
        <x:v>0.6316132406180173</x:v>
      </x:c>
      <x:c r="AI71" s="56" t="n">
        <x:f>--(AH71&gt;=0.5)</x:f>
        <x:v>1</x:v>
      </x:c>
      <x:c r="AJ71" s="56" t="n">
        <x:f>--(AI71=O71)</x:f>
        <x:v>0</x:v>
      </x:c>
      <x:c r="AK71" s="58" t="n">
        <x:v>0.44572150095879165</x:v>
      </x:c>
      <x:c r="AL71" s="56" t="n">
        <x:f>--(AK71&gt;=0.5)</x:f>
        <x:v>0</x:v>
      </x:c>
      <x:c r="AM71" s="56" t="n">
        <x:f>--(AL71=O71)</x:f>
        <x:v>1</x:v>
      </x:c>
    </x:row>
    <x:row r="72" ht="32" customHeight="1">
      <x:c r="A72" s="56" t="str">
        <x:v>2850</x:v>
      </x:c>
      <x:c r="B72" s="56" t="str">
        <x:v>7420</x:v>
      </x:c>
      <x:c r="C72" s="56" t="str">
        <x:v>5953</x:v>
      </x:c>
      <x:c r="D72" s="56" t="str">
        <x:v>Matozero Rocks</x:v>
      </x:c>
      <x:c r="E72" s="56" t="str">
        <x:v>62.5</x:v>
      </x:c>
      <x:c r="F72" s="56" t="str">
        <x:v>35.5</x:v>
      </x:c>
      <x:c r="G72" s="56" t="str">
        <x:v>Component C</x:v>
      </x:c>
      <x:c r="H72" s="56" t="str">
        <x:v>276.10001</x:v>
      </x:c>
      <x:c r="I72" s="56" t="str">
        <x:v>32.099998</x:v>
      </x:c>
      <x:c r="J72" s="56" t="str">
        <x:v>18.200001</x:v>
      </x:c>
      <x:c r="K72" s="56" t="str">
        <x:v>308.39999</x:v>
      </x:c>
      <x:c r="L72" s="56" t="str">
        <x:v>V</x:v>
      </x:c>
      <x:c r="M72" s="59" t="str"/>
      <x:c r="N72" s="56" t="n">
        <x:f>--(LEN(M72)&gt;0)</x:f>
        <x:v>0</x:v>
      </x:c>
      <x:c r="O72" s="56" t="n">
        <x:v>0</x:v>
      </x:c>
      <x:c r="P72" s="56" t="n">
        <x:f>--(N72=O72)</x:f>
        <x:v>1</x:v>
      </x:c>
      <x:c r="Q72" s="56" t="str">
        <x:v>PRESENT</x:v>
      </x:c>
      <x:c r="R72" s="59" t="str">
        <x:v>IRM(MAGN,TM)</x:v>
      </x:c>
      <x:c r="S72" s="59" t="str">
        <x:v>IRM(MAGN,TM)</x:v>
      </x:c>
      <x:c r="T72" s="56" t="n">
        <x:f>--(Q72="PRESENT")</x:f>
        <x:v>1</x:v>
      </x:c>
      <x:c r="U72" s="56" t="n">
        <x:f>--(T72=N72)</x:f>
        <x:v>0</x:v>
      </x:c>
      <x:c r="V72" s="56" t="n">
        <x:f>--(T72=O72)</x:f>
        <x:v>0</x:v>
      </x:c>
      <x:c r="W72" s="56" t="n">
        <x:f>--(OR(Q72="PRESENT",Q72="ABSENT"))</x:f>
        <x:v>1</x:v>
      </x:c>
      <x:c r="X72" s="56" t="str">
        <x:v>HIGH</x:v>
      </x:c>
      <x:c r="Y72" s="56" t="str">
        <x:v>PAPER_ROW_MATCH</x:v>
      </x:c>
      <x:c r="Z72" s="57" t="b">
        <x:v>1</x:v>
      </x:c>
      <x:c r="AA72" s="57" t="b">
        <x:v>1</x:v>
      </x:c>
      <x:c r="AB72" s="56" t="n">
        <x:v>0</x:v>
      </x:c>
      <x:c r="AC72" s="56" t="str">
        <x:v>IRM</x:v>
      </x:c>
      <x:c r="AD72" s="56" t="str">
        <x:v>MAGN,TM</x:v>
      </x:c>
      <x:c r="AE72" s="56" t="str">
        <x:v>SD</x:v>
      </x:c>
      <x:c r="AF72" s="56" t="str">
        <x:v>8, 9, 11, 12, 13</x:v>
      </x:c>
      <x:c r="AG72" s="59" t="str">
        <x:v>p.12: SIRM | p.11: magnetite | p.12: magnetite</x:v>
      </x:c>
      <x:c r="AH72" s="58" t="n">
        <x:v>0.6515075507817002</x:v>
      </x:c>
      <x:c r="AI72" s="56" t="n">
        <x:f>--(AH72&gt;=0.5)</x:f>
        <x:v>1</x:v>
      </x:c>
      <x:c r="AJ72" s="56" t="n">
        <x:f>--(AI72=O72)</x:f>
        <x:v>0</x:v>
      </x:c>
      <x:c r="AK72" s="58" t="n">
        <x:v>0.680843481907552</x:v>
      </x:c>
      <x:c r="AL72" s="56" t="n">
        <x:f>--(AK72&gt;=0.5)</x:f>
        <x:v>1</x:v>
      </x:c>
      <x:c r="AM72" s="56" t="n">
        <x:f>--(AL72=O72)</x:f>
        <x:v>0</x:v>
      </x:c>
    </x:row>
    <x:row r="73" ht="32" customHeight="1">
      <x:c r="A73" s="56" t="str">
        <x:v>2850</x:v>
      </x:c>
      <x:c r="B73" s="56" t="str">
        <x:v>7422</x:v>
      </x:c>
      <x:c r="C73" s="56" t="str">
        <x:v>6871</x:v>
      </x:c>
      <x:c r="D73" s="56" t="str">
        <x:v>Dolerite Dykes, Moncha Pluton</x:v>
      </x:c>
      <x:c r="E73" s="56" t="str">
        <x:v>68</x:v>
      </x:c>
      <x:c r="F73" s="56" t="str">
        <x:v>32.5</x:v>
      </x:c>
      <x:c r="G73" s="56" t="str">
        <x:v>Component B1</x:v>
      </x:c>
      <x:c r="H73" s="56" t="str">
        <x:v>321.20001</x:v>
      </x:c>
      <x:c r="I73" s="56" t="str">
        <x:v>-18.200001</x:v>
      </x:c>
      <x:c r="J73" s="56" t="str">
        <x:v>7.9000001</x:v>
      </x:c>
      <x:c r="K73" s="56" t="str">
        <x:v>251.10001</x:v>
      </x:c>
      <x:c r="L73" s="56" t="str">
        <x:v>V</x:v>
      </x:c>
      <x:c r="M73" s="59" t="str"/>
      <x:c r="N73" s="56" t="n">
        <x:f>--(LEN(M73)&gt;0)</x:f>
        <x:v>0</x:v>
      </x:c>
      <x:c r="O73" s="56" t="n">
        <x:v>0</x:v>
      </x:c>
      <x:c r="P73" s="56" t="n">
        <x:f>--(N73=O73)</x:f>
        <x:v>1</x:v>
      </x:c>
      <x:c r="Q73" s="56" t="str">
        <x:v>ABSTAIN_INSUFFICIENT</x:v>
      </x:c>
      <x:c r="R73" s="59" t="str"/>
      <x:c r="S73" s="59" t="str"/>
      <x:c r="T73" s="56" t="n">
        <x:f>--(Q73="PRESENT")</x:f>
        <x:v>0</x:v>
      </x:c>
      <x:c r="U73" s="56" t="n">
        <x:f>--(T73=N73)</x:f>
        <x:v>1</x:v>
      </x:c>
      <x:c r="V73" s="56" t="n">
        <x:f>--(T73=O73)</x:f>
        <x:v>1</x:v>
      </x:c>
      <x:c r="W73" s="56" t="n">
        <x:f>--(OR(Q73="PRESENT",Q73="ABSENT"))</x:f>
        <x:v>0</x:v>
      </x:c>
      <x:c r="X73" s="56" t="str">
        <x:v>LOW</x:v>
      </x:c>
      <x:c r="Y73" s="56" t="str">
        <x:v>PAPER_ROW_MATCH</x:v>
      </x:c>
      <x:c r="Z73" s="57" t="b">
        <x:v>1</x:v>
      </x:c>
      <x:c r="AA73" s="57" t="b">
        <x:v>1</x:v>
      </x:c>
      <x:c r="AB73" s="56" t="n">
        <x:v>0</x:v>
      </x:c>
      <x:c r="AC73" s="56" t="str"/>
      <x:c r="AD73" s="56" t="str"/>
      <x:c r="AE73" s="56" t="str"/>
      <x:c r="AF73" s="56" t="str">
        <x:v>6, 7, 11, 13, 14, 15</x:v>
      </x:c>
      <x:c r="AG73" s="59" t="str">
        <x:v>p.6: ﬁrst group (component A; Figs 6 and 9b) is of dual polarity with relatively high unblocking temperaturesdiVerent characteristic remanent magnetization (ChRM) directions (Figs 5, 6, 7 and 8). ( Tub=300–500° C) and is typical for the country ultramaﬁcs, gneisses and amphibolites. The second group of directions,In the Moncha area, four groups of ChRM directions are isolated (Fig. 9). The ﬁrst group (component A) is typical component B 1 (Figs 6 and 9c), in contrast to the Moncha area, also display  | p.7: Early Proterozoic palaeomagnetism 697 Figure 5. Demagnetization data for samples from the Moncha area. The plots illustrate the demagnetization characteristics in NRM-decay curves, equal area stereographic projections and orthogonal projections (Zijderveld diagrams). For stereographic projections, closed (open) symbols represent projections on the lower (upper) hemisphere. For the orthogonal projections, closed (open) symbols represent projections onto the vertical (horizontal) plane, where N is | p.11: ambina and Moncha picrites and country rocks, component C; (e, f ) Kumuzhya dykes of second generation and altered Voche–Lambina rocks, component B2. similar inclinations ( I=54.0° to 65.4° ) but with declinations varying from D=69.5° for the Aganozero block to D=135.7° for the Central block (Figs 8, 12d, e and f, Table 2). Hautavaara amphibolized gabbro and andesites carry three NRM components (Figs 10c and d): the A component with a (a) (b) (c) NE-down direction, the B 2 component with a NW-do</x:v>
      </x:c>
      <x:c r="AH73" s="58" t="n">
        <x:v>0.7040915075314311</x:v>
      </x:c>
      <x:c r="AI73" s="56" t="n">
        <x:f>--(AH73&gt;=0.5)</x:f>
        <x:v>1</x:v>
      </x:c>
      <x:c r="AJ73" s="56" t="n">
        <x:f>--(AI73=O73)</x:f>
        <x:v>0</x:v>
      </x:c>
      <x:c r="AK73" s="58" t="n">
        <x:v>0.824925055243244</x:v>
      </x:c>
      <x:c r="AL73" s="56" t="n">
        <x:f>--(AK73&gt;=0.5)</x:f>
        <x:v>1</x:v>
      </x:c>
      <x:c r="AM73" s="56" t="n">
        <x:f>--(AL73=O73)</x:f>
        <x:v>0</x:v>
      </x:c>
    </x:row>
    <x:row r="74" ht="32" customHeight="1">
      <x:c r="A74" s="56" t="str">
        <x:v>2850</x:v>
      </x:c>
      <x:c r="B74" s="56" t="str">
        <x:v>7423</x:v>
      </x:c>
      <x:c r="C74" s="56" t="str">
        <x:v>6872</x:v>
      </x:c>
      <x:c r="D74" s="56" t="str">
        <x:v>Pyroxenites, Moncha Pluton</x:v>
      </x:c>
      <x:c r="E74" s="56" t="str">
        <x:v>68</x:v>
      </x:c>
      <x:c r="F74" s="56" t="str">
        <x:v>32.5</x:v>
      </x:c>
      <x:c r="G74" s="56" t="str">
        <x:v>Component A</x:v>
      </x:c>
      <x:c r="H74" s="56" t="str">
        <x:v>76.599998</x:v>
      </x:c>
      <x:c r="I74" s="56" t="str">
        <x:v>29</x:v>
      </x:c>
      <x:c r="J74" s="56" t="str">
        <x:v>-10.4</x:v>
      </x:c>
      <x:c r="K74" s="56" t="str">
        <x:v>309</x:v>
      </x:c>
      <x:c r="L74" s="56" t="str">
        <x:v>V</x:v>
      </x:c>
      <x:c r="M74" s="59" t="str"/>
      <x:c r="N74" s="56" t="n">
        <x:f>--(LEN(M74)&gt;0)</x:f>
        <x:v>0</x:v>
      </x:c>
      <x:c r="O74" s="56" t="n">
        <x:v>0</x:v>
      </x:c>
      <x:c r="P74" s="56" t="n">
        <x:f>--(N74=O74)</x:f>
        <x:v>1</x:v>
      </x:c>
      <x:c r="Q74" s="56" t="str">
        <x:v>PRESENT</x:v>
      </x:c>
      <x:c r="R74" s="59" t="str">
        <x:v>SUSC-T(MAGN)</x:v>
      </x:c>
      <x:c r="S74" s="59" t="str">
        <x:v>SUSC-T(MAGN)</x:v>
      </x:c>
      <x:c r="T74" s="56" t="n">
        <x:f>--(Q74="PRESENT")</x:f>
        <x:v>1</x:v>
      </x:c>
      <x:c r="U74" s="56" t="n">
        <x:f>--(T74=N74)</x:f>
        <x:v>0</x:v>
      </x:c>
      <x:c r="V74" s="56" t="n">
        <x:f>--(T74=O74)</x:f>
        <x:v>0</x:v>
      </x:c>
      <x:c r="W74" s="56" t="n">
        <x:f>--(OR(Q74="PRESENT",Q74="ABSENT"))</x:f>
        <x:v>1</x:v>
      </x:c>
      <x:c r="X74" s="56" t="str">
        <x:v>HIGH</x:v>
      </x:c>
      <x:c r="Y74" s="56" t="str">
        <x:v>PAPER_ROW_MATCH</x:v>
      </x:c>
      <x:c r="Z74" s="57" t="b">
        <x:v>1</x:v>
      </x:c>
      <x:c r="AA74" s="57" t="b">
        <x:v>1</x:v>
      </x:c>
      <x:c r="AB74" s="56" t="n">
        <x:v>0</x:v>
      </x:c>
      <x:c r="AC74" s="56" t="str">
        <x:v>SUSC-T</x:v>
      </x:c>
      <x:c r="AD74" s="56" t="str">
        <x:v>MAGN</x:v>
      </x:c>
      <x:c r="AE74" s="56" t="str"/>
      <x:c r="AF74" s="56" t="str">
        <x:v>6, 7, 8, 10, 11</x:v>
      </x:c>
      <x:c r="AG74" s="59" t="str">
        <x:v>p.11: 4.2.1 Moncha area4.2 Magnetic carriers and their origin This part of paper presents the results of thermomagnetic Thermomagnetic analysis of pyroxenite and peridotite samples revealed the presence of virtually pure magnetite only (Fig. 13).analyses carried out on more than 100 samples, in order to identify their magnetic carriers, their origin and possible time Normally, magnetite occurs at the late magmatic stage, at temperatures above its Curie point (580 ° C), and is therebyof creation. | p.11: 4.2.1 Moncha area4.2 Magnetic carriers and their origin This part of paper presents the results of thermomagnetic Thermomagnetic analysis of pyroxenite and peridotite samples revealed the presence of virtually pure magnetite only (Fig. 13).analyses carried out on more than 100 samples, in order to identify their magnetic carriers, their origin and possible time Normally, magnetite occurs at the late magmatic stage, at temperatures above its Curie point (580 ° C), and is therebyof creation. | p.11: 4.2.1 Moncha area4.2 Magnetic carriers and their origin This part of paper presents the results of thermomagnetic Thermomagnetic analysis of pyroxenite and peridotite samples revealed the presence of virtually pure magnetite only (Fig. 13).analyses carried out on more than 100 samples, in order to identify their magnetic carriers, their origin and possible time Normally, magnetite occurs at the late magmatic stage, at temperatures above its Curie point (580 ° C), and is therebyof creation.</x:v>
      </x:c>
      <x:c r="AH74" s="58" t="n">
        <x:v>0.7357351629542556</x:v>
      </x:c>
      <x:c r="AI74" s="56" t="n">
        <x:f>--(AH74&gt;=0.5)</x:f>
        <x:v>1</x:v>
      </x:c>
      <x:c r="AJ74" s="56" t="n">
        <x:f>--(AI74=O74)</x:f>
        <x:v>0</x:v>
      </x:c>
      <x:c r="AK74" s="58" t="n">
        <x:v>0.8935282796670181</x:v>
      </x:c>
      <x:c r="AL74" s="56" t="n">
        <x:f>--(AK74&gt;=0.5)</x:f>
        <x:v>1</x:v>
      </x:c>
      <x:c r="AM74" s="56" t="n">
        <x:f>--(AL74=O74)</x:f>
        <x:v>0</x:v>
      </x:c>
    </x:row>
    <x:row r="75" ht="32" customHeight="1">
      <x:c r="A75" s="56" t="str">
        <x:v>2850</x:v>
      </x:c>
      <x:c r="B75" s="56" t="str">
        <x:v>7424</x:v>
      </x:c>
      <x:c r="C75" s="56" t="str">
        <x:v>6873</x:v>
      </x:c>
      <x:c r="D75" s="56" t="str">
        <x:v>Main Range Gabbro-Diabases</x:v>
      </x:c>
      <x:c r="E75" s="56" t="str">
        <x:v>68</x:v>
      </x:c>
      <x:c r="F75" s="56" t="str">
        <x:v>32.5</x:v>
      </x:c>
      <x:c r="G75" s="56" t="str">
        <x:v>Component A</x:v>
      </x:c>
      <x:c r="H75" s="56" t="str">
        <x:v>261.5</x:v>
      </x:c>
      <x:c r="I75" s="56" t="str">
        <x:v>-27.5</x:v>
      </x:c>
      <x:c r="J75" s="56" t="str">
        <x:v>-16.700001</x:v>
      </x:c>
      <x:c r="K75" s="56" t="str">
        <x:v>304.79999</x:v>
      </x:c>
      <x:c r="L75" s="56" t="str">
        <x:v>V</x:v>
      </x:c>
      <x:c r="M75" s="59" t="str"/>
      <x:c r="N75" s="56" t="n">
        <x:f>--(LEN(M75)&gt;0)</x:f>
        <x:v>0</x:v>
      </x:c>
      <x:c r="O75" s="56" t="n">
        <x:v>0</x:v>
      </x:c>
      <x:c r="P75" s="56" t="n">
        <x:f>--(N75=O75)</x:f>
        <x:v>1</x:v>
      </x:c>
      <x:c r="Q75" s="56" t="str">
        <x:v>ABSTAIN_INSUFFICIENT</x:v>
      </x:c>
      <x:c r="R75" s="59" t="str"/>
      <x:c r="S75" s="59" t="str"/>
      <x:c r="T75" s="56" t="n">
        <x:f>--(Q75="PRESENT")</x:f>
        <x:v>0</x:v>
      </x:c>
      <x:c r="U75" s="56" t="n">
        <x:f>--(T75=N75)</x:f>
        <x:v>1</x:v>
      </x:c>
      <x:c r="V75" s="56" t="n">
        <x:f>--(T75=O75)</x:f>
        <x:v>1</x:v>
      </x:c>
      <x:c r="W75" s="56" t="n">
        <x:f>--(OR(Q75="PRESENT",Q75="ABSENT"))</x:f>
        <x:v>0</x:v>
      </x:c>
      <x:c r="X75" s="56" t="str">
        <x:v>LOW</x:v>
      </x:c>
      <x:c r="Y75" s="56" t="str">
        <x:v>PAPER_ROW_MATCH</x:v>
      </x:c>
      <x:c r="Z75" s="57" t="b">
        <x:v>1</x:v>
      </x:c>
      <x:c r="AA75" s="57" t="b">
        <x:v>1</x:v>
      </x:c>
      <x:c r="AB75" s="56" t="n">
        <x:v>0</x:v>
      </x:c>
      <x:c r="AC75" s="56" t="str"/>
      <x:c r="AD75" s="56" t="str"/>
      <x:c r="AE75" s="56" t="str"/>
      <x:c r="AF75" s="56" t="str">
        <x:v>6, 7, 8, 10</x:v>
      </x:c>
      <x:c r="AG75" s="59" t="str">
        <x:v>p.6: 696 M. A. Fedotova et al. majority of specimens. These components have diVerent ranges In the Voche–Lambina area, four groups of directions are isolated. They are similar to the directions of the Monchaof unblocking temperatures and coercive spectra. Moreover, diVerent rock types from the same site sometimes exhibit groups. The ﬁrst group (component A; Figs 6 and 9b) is of dual polarity with relatively high unblocking temperaturesdiVerent characteristic remanent magnetization (ChRM) directions ( | p.6: and for some pyroxenites of the Monchegorsk pluton (Figs 5 and 9a). It is a dual-polarity unblocking temperatures ( Tub=100–450° C). Component B1 is isolated in doleritic dykes, both in the Moncha and Voche–component with W-up/E-down directions. Dolerite dykes of the ﬁrst generation and micropyroxenites at the dyke contacts Lambina areas, whereas component C (Figs 6 and 9d), as well as component A (Figs 6 and 9b) are characteristic forcarry a single-polarity B 1 component (Fig. 9c). The second g | p.6: the In the Kolvitsa area, most specimens of the peridotitic dykes and basaltic porphyrites, as well as the country rock schists,Monchegorsk pluton and host gabbro. Components B2 and C are also of single polarity here (Table 1). contain two components of magnetization (Fig. 6). Bends in the Zijderveld diagrams, corresponding to the overlap of TubTub and Hc values (the isolation ranges) of the NRM components show that magnetite is the main carrier of spectra, are recorded at about 350–450 ° C, wit</x:v>
      </x:c>
      <x:c r="AH75" s="58" t="n">
        <x:v>0.6831337027145508</x:v>
      </x:c>
      <x:c r="AI75" s="56" t="n">
        <x:f>--(AH75&gt;=0.5)</x:f>
        <x:v>1</x:v>
      </x:c>
      <x:c r="AJ75" s="56" t="n">
        <x:f>--(AI75=O75)</x:f>
        <x:v>0</x:v>
      </x:c>
      <x:c r="AK75" s="58" t="n">
        <x:v>0.8624381275670391</x:v>
      </x:c>
      <x:c r="AL75" s="56" t="n">
        <x:f>--(AK75&gt;=0.5)</x:f>
        <x:v>1</x:v>
      </x:c>
      <x:c r="AM75" s="56" t="n">
        <x:f>--(AL75=O75)</x:f>
        <x:v>0</x:v>
      </x:c>
    </x:row>
    <x:row r="76" ht="32" customHeight="1">
      <x:c r="A76" s="56" t="str">
        <x:v>2850</x:v>
      </x:c>
      <x:c r="B76" s="56" t="str">
        <x:v>7425</x:v>
      </x:c>
      <x:c r="C76" s="56" t="str">
        <x:v>5957</x:v>
      </x:c>
      <x:c r="D76" s="56" t="str">
        <x:v>Burakovka Intrusion (Burakovka Block)</x:v>
      </x:c>
      <x:c r="E76" s="56" t="str">
        <x:v>62.099998</x:v>
      </x:c>
      <x:c r="F76" s="56" t="str">
        <x:v>36.200001</x:v>
      </x:c>
      <x:c r="G76" s="56" t="str">
        <x:v>Component A</x:v>
      </x:c>
      <x:c r="H76" s="56" t="str">
        <x:v>135.7</x:v>
      </x:c>
      <x:c r="I76" s="56" t="str">
        <x:v>65.400002</x:v>
      </x:c>
      <x:c r="J76" s="56" t="str">
        <x:v>-25.200001</x:v>
      </x:c>
      <x:c r="K76" s="56" t="str">
        <x:v>247.60001</x:v>
      </x:c>
      <x:c r="L76" s="56" t="str">
        <x:v>V</x:v>
      </x:c>
      <x:c r="M76" s="59" t="str"/>
      <x:c r="N76" s="56" t="n">
        <x:f>--(LEN(M76)&gt;0)</x:f>
        <x:v>0</x:v>
      </x:c>
      <x:c r="O76" s="56" t="n">
        <x:v>0</x:v>
      </x:c>
      <x:c r="P76" s="56" t="n">
        <x:f>--(N76=O76)</x:f>
        <x:v>1</x:v>
      </x:c>
      <x:c r="Q76" s="56" t="str">
        <x:v>PRESENT</x:v>
      </x:c>
      <x:c r="R76" s="59" t="str">
        <x:v>SUSC-T,OP(MAGN,TM)</x:v>
      </x:c>
      <x:c r="S76" s="59" t="str">
        <x:v>SUSC-T,OP(MAGN,TM)</x:v>
      </x:c>
      <x:c r="T76" s="56" t="n">
        <x:f>--(Q76="PRESENT")</x:f>
        <x:v>1</x:v>
      </x:c>
      <x:c r="U76" s="56" t="n">
        <x:f>--(T76=N76)</x:f>
        <x:v>0</x:v>
      </x:c>
      <x:c r="V76" s="56" t="n">
        <x:f>--(T76=O76)</x:f>
        <x:v>0</x:v>
      </x:c>
      <x:c r="W76" s="56" t="n">
        <x:f>--(OR(Q76="PRESENT",Q76="ABSENT"))</x:f>
        <x:v>1</x:v>
      </x:c>
      <x:c r="X76" s="56" t="str">
        <x:v>HIGH</x:v>
      </x:c>
      <x:c r="Y76" s="56" t="str">
        <x:v>PAPER_ROW_MATCH</x:v>
      </x:c>
      <x:c r="Z76" s="57" t="b">
        <x:v>1</x:v>
      </x:c>
      <x:c r="AA76" s="57" t="b">
        <x:v>1</x:v>
      </x:c>
      <x:c r="AB76" s="56" t="n">
        <x:v>0</x:v>
      </x:c>
      <x:c r="AC76" s="56" t="str">
        <x:v>SUSC-T,OP</x:v>
      </x:c>
      <x:c r="AD76" s="56" t="str">
        <x:v>MAGN,TM</x:v>
      </x:c>
      <x:c r="AE76" s="56" t="str">
        <x:v>SD</x:v>
      </x:c>
      <x:c r="AF76" s="56" t="str">
        <x:v>6, 9, 10, 13</x:v>
      </x:c>
      <x:c r="AG76" s="59" t="str">
        <x:v>p.13: Thermomagnetic analysis of gabbro-norites yields Jrs(T ) dependences charac- teristic of virtually pure magnetite, whereas the decay curves Jn(T ) (see Fig. 8, sample B59), in conjunction with microscopic and microprobe analyses, indicate a thermoremanent origin of the NRM in the gabbro-norites. | p.13: Thermomagnetic analysis of gabbro-norites yields Jrs(T ) dependences charac- teristic of virtually pure magnetite, whereas the decay curves Jn(T ) (see Fig. 8, sample B59), in conjunction with microscopic and microprobe analyses, indicate a thermoremanent origin of the NRM in the gabbro-norites. | p.13: On the other hand, petrographic and microprobe investigations have established the presence of secondary olivine-generated magnetite, which appeared during serpentinization of the Aganozero peridotites (Pisakin et al. 1992).</x:v>
      </x:c>
      <x:c r="AH76" s="58" t="n">
        <x:v>0.786835847624712</x:v>
      </x:c>
      <x:c r="AI76" s="56" t="n">
        <x:f>--(AH76&gt;=0.5)</x:f>
        <x:v>1</x:v>
      </x:c>
      <x:c r="AJ76" s="56" t="n">
        <x:f>--(AI76=O76)</x:f>
        <x:v>0</x:v>
      </x:c>
      <x:c r="AK76" s="58" t="n">
        <x:v>0.3489300293690572</x:v>
      </x:c>
      <x:c r="AL76" s="56" t="n">
        <x:f>--(AK76&gt;=0.5)</x:f>
        <x:v>0</x:v>
      </x:c>
      <x:c r="AM76" s="56" t="n">
        <x:f>--(AL76=O76)</x:f>
        <x:v>1</x:v>
      </x:c>
    </x:row>
    <x:row r="77" ht="32" customHeight="1">
      <x:c r="A77" s="56" t="str">
        <x:v>2850</x:v>
      </x:c>
      <x:c r="B77" s="56" t="str">
        <x:v>7426</x:v>
      </x:c>
      <x:c r="C77" s="56" t="str">
        <x:v>6865</x:v>
      </x:c>
      <x:c r="D77" s="56" t="str">
        <x:v>Burakovka Intrusion (Aganozero Block)</x:v>
      </x:c>
      <x:c r="E77" s="56" t="str">
        <x:v>62.099998</x:v>
      </x:c>
      <x:c r="F77" s="56" t="str">
        <x:v>36.200001</x:v>
      </x:c>
      <x:c r="G77" s="56" t="str">
        <x:v>Component A</x:v>
      </x:c>
      <x:c r="H77" s="56" t="str">
        <x:v>69.5</x:v>
      </x:c>
      <x:c r="I77" s="56" t="str">
        <x:v>54</x:v>
      </x:c>
      <x:c r="J77" s="56" t="str">
        <x:v>-39.5</x:v>
      </x:c>
      <x:c r="K77" s="56" t="str">
        <x:v>305.39999</x:v>
      </x:c>
      <x:c r="L77" s="56" t="str">
        <x:v>V</x:v>
      </x:c>
      <x:c r="M77" s="59" t="str"/>
      <x:c r="N77" s="56" t="n">
        <x:f>--(LEN(M77)&gt;0)</x:f>
        <x:v>0</x:v>
      </x:c>
      <x:c r="O77" s="56" t="n">
        <x:v>0</x:v>
      </x:c>
      <x:c r="P77" s="56" t="n">
        <x:f>--(N77=O77)</x:f>
        <x:v>1</x:v>
      </x:c>
      <x:c r="Q77" s="56" t="str">
        <x:v>ABSTAIN_INSUFFICIENT</x:v>
      </x:c>
      <x:c r="R77" s="59" t="str"/>
      <x:c r="S77" s="59" t="str"/>
      <x:c r="T77" s="56" t="n">
        <x:f>--(Q77="PRESENT")</x:f>
        <x:v>0</x:v>
      </x:c>
      <x:c r="U77" s="56" t="n">
        <x:f>--(T77=N77)</x:f>
        <x:v>1</x:v>
      </x:c>
      <x:c r="V77" s="56" t="n">
        <x:f>--(T77=O77)</x:f>
        <x:v>1</x:v>
      </x:c>
      <x:c r="W77" s="56" t="n">
        <x:f>--(OR(Q77="PRESENT",Q77="ABSENT"))</x:f>
        <x:v>0</x:v>
      </x:c>
      <x:c r="X77" s="56" t="str">
        <x:v>LOW</x:v>
      </x:c>
      <x:c r="Y77" s="56" t="str">
        <x:v>PAPER_ROW_MATCH</x:v>
      </x:c>
      <x:c r="Z77" s="57" t="b">
        <x:v>1</x:v>
      </x:c>
      <x:c r="AA77" s="57" t="b">
        <x:v>1</x:v>
      </x:c>
      <x:c r="AB77" s="56" t="n">
        <x:v>0</x:v>
      </x:c>
      <x:c r="AC77" s="56" t="str"/>
      <x:c r="AD77" s="56" t="str"/>
      <x:c r="AE77" s="56" t="str"/>
      <x:c r="AF77" s="56" t="str">
        <x:v>6, 9, 10</x:v>
      </x:c>
      <x:c r="AG77" s="59" t="str">
        <x:v>p.6: 696 M. A. Fedotova et al. majority of specimens. These components have diVerent ranges In the Voche–Lambina area, four groups of directions are isolated. They are similar to the directions of the Monchaof unblocking temperatures and coercive spectra. Moreover, diVerent rock types from the same site sometimes exhibit groups. The ﬁrst group (component A; Figs 6 and 9b) is of dual polarity with relatively high unblocking temperaturesdiVerent characteristic remanent magnetization (ChRM) directions ( | p.6: and for some pyroxenites of the Monchegorsk pluton (Figs 5 and 9a). It is a dual-polarity unblocking temperatures ( Tub=100–450° C). Component B1 is isolated in doleritic dykes, both in the Moncha and Voche–component with W-up/E-down directions. Dolerite dykes of the ﬁrst generation and micropyroxenites at the dyke contacts Lambina areas, whereas component C (Figs 6 and 9d), as well as component A (Figs 6 and 9b) are characteristic forcarry a single-polarity B 1 component (Fig. 9c). The second g | p.6: the In the Kolvitsa area, most specimens of the peridotitic dykes and basaltic porphyrites, as well as the country rock schists,Monchegorsk pluton and host gabbro. Components B2 and C are also of single polarity here (Table 1). contain two components of magnetization (Fig. 6). Bends in the Zijderveld diagrams, corresponding to the overlap of TubTub and Hc values (the isolation ranges) of the NRM components show that magnetite is the main carrier of spectra, are recorded at about 350–450 ° C, wit</x:v>
      </x:c>
      <x:c r="AH77" s="58" t="n">
        <x:v>0.6858739529735547</x:v>
      </x:c>
      <x:c r="AI77" s="56" t="n">
        <x:f>--(AH77&gt;=0.5)</x:f>
        <x:v>1</x:v>
      </x:c>
      <x:c r="AJ77" s="56" t="n">
        <x:f>--(AI77=O77)</x:f>
        <x:v>0</x:v>
      </x:c>
      <x:c r="AK77" s="58" t="n">
        <x:v>0.2334967363940063</x:v>
      </x:c>
      <x:c r="AL77" s="56" t="n">
        <x:f>--(AK77&gt;=0.5)</x:f>
        <x:v>0</x:v>
      </x:c>
      <x:c r="AM77" s="56" t="n">
        <x:f>--(AL77=O77)</x:f>
        <x:v>1</x:v>
      </x:c>
    </x:row>
    <x:row r="78" ht="32" customHeight="1">
      <x:c r="A78" s="56" t="str">
        <x:v>2850</x:v>
      </x:c>
      <x:c r="B78" s="56" t="str">
        <x:v>7427</x:v>
      </x:c>
      <x:c r="C78" s="56" t="str">
        <x:v>6866</x:v>
      </x:c>
      <x:c r="D78" s="56" t="str">
        <x:v>Hautavaara Gabbro and Andesite</x:v>
      </x:c>
      <x:c r="E78" s="56" t="str">
        <x:v>61.799999</x:v>
      </x:c>
      <x:c r="F78" s="56" t="str">
        <x:v>32.900002</x:v>
      </x:c>
      <x:c r="G78" s="56" t="str">
        <x:v>Component A</x:v>
      </x:c>
      <x:c r="H78" s="56" t="str">
        <x:v>65.400002</x:v>
      </x:c>
      <x:c r="I78" s="56" t="str">
        <x:v>53.099998</x:v>
      </x:c>
      <x:c r="J78" s="56" t="str">
        <x:v>-40.700001</x:v>
      </x:c>
      <x:c r="K78" s="56" t="str">
        <x:v>306.20001</x:v>
      </x:c>
      <x:c r="L78" s="56" t="str">
        <x:v>V</x:v>
      </x:c>
      <x:c r="M78" s="59" t="str"/>
      <x:c r="N78" s="56" t="n">
        <x:f>--(LEN(M78)&gt;0)</x:f>
        <x:v>0</x:v>
      </x:c>
      <x:c r="O78" s="56" t="n">
        <x:v>0</x:v>
      </x:c>
      <x:c r="P78" s="56" t="n">
        <x:f>--(N78=O78)</x:f>
        <x:v>1</x:v>
      </x:c>
      <x:c r="Q78" s="56" t="str">
        <x:v>ABSTAIN_INSUFFICIENT</x:v>
      </x:c>
      <x:c r="R78" s="59" t="str"/>
      <x:c r="S78" s="59" t="str"/>
      <x:c r="T78" s="56" t="n">
        <x:f>--(Q78="PRESENT")</x:f>
        <x:v>0</x:v>
      </x:c>
      <x:c r="U78" s="56" t="n">
        <x:f>--(T78=N78)</x:f>
        <x:v>1</x:v>
      </x:c>
      <x:c r="V78" s="56" t="n">
        <x:f>--(T78=O78)</x:f>
        <x:v>1</x:v>
      </x:c>
      <x:c r="W78" s="56" t="n">
        <x:f>--(OR(Q78="PRESENT",Q78="ABSENT"))</x:f>
        <x:v>0</x:v>
      </x:c>
      <x:c r="X78" s="56" t="str">
        <x:v>LOW</x:v>
      </x:c>
      <x:c r="Y78" s="56" t="str">
        <x:v>PAPER_ROW_MATCH</x:v>
      </x:c>
      <x:c r="Z78" s="57" t="b">
        <x:v>1</x:v>
      </x:c>
      <x:c r="AA78" s="57" t="b">
        <x:v>1</x:v>
      </x:c>
      <x:c r="AB78" s="56" t="n">
        <x:v>0</x:v>
      </x:c>
      <x:c r="AC78" s="56" t="str"/>
      <x:c r="AD78" s="56" t="str"/>
      <x:c r="AE78" s="56" t="str"/>
      <x:c r="AF78" s="56" t="str">
        <x:v>6, 7, 8, 9</x:v>
      </x:c>
      <x:c r="AG78" s="59" t="str">
        <x:v>p.6: 696 M. A. Fedotova et al. majority of specimens. These components have diVerent ranges In the Voche–Lambina area, four groups of directions are isolated. They are similar to the directions of the Monchaof unblocking temperatures and coercive spectra. Moreover, diVerent rock types from the same site sometimes exhibit groups. The ﬁrst group (component A; Figs 6 and 9b) is of dual polarity with relatively high unblocking temperaturesdiVerent characteristic remanent magnetization (ChRM) directions ( | p.6: and for some pyroxenites of the Monchegorsk pluton (Figs 5 and 9a). It is a dual-polarity unblocking temperatures ( Tub=100–450° C). Component B1 is isolated in doleritic dykes, both in the Moncha and Voche–component with W-up/E-down directions. Dolerite dykes of the ﬁrst generation and micropyroxenites at the dyke contacts Lambina areas, whereas component C (Figs 6 and 9d), as well as component A (Figs 6 and 9b) are characteristic forcarry a single-polarity B 1 component (Fig. 9c). The second g | p.6: the In the Kolvitsa area, most specimens of the peridotitic dykes and basaltic porphyrites, as well as the country rock schists,Monchegorsk pluton and host gabbro. Components B2 and C are also of single polarity here (Table 1). contain two components of magnetization (Fig. 6). Bends in the Zijderveld diagrams, corresponding to the overlap of TubTub and Hc values (the isolation ranges) of the NRM components show that magnetite is the main carrier of spectra, are recorded at about 350–450 ° C, wit</x:v>
      </x:c>
      <x:c r="AH78" s="58" t="n">
        <x:v>0.5978659386366053</x:v>
      </x:c>
      <x:c r="AI78" s="56" t="n">
        <x:f>--(AH78&gt;=0.5)</x:f>
        <x:v>1</x:v>
      </x:c>
      <x:c r="AJ78" s="56" t="n">
        <x:f>--(AI78=O78)</x:f>
        <x:v>0</x:v>
      </x:c>
      <x:c r="AK78" s="58" t="n">
        <x:v>0.4391753717722154</x:v>
      </x:c>
      <x:c r="AL78" s="56" t="n">
        <x:f>--(AK78&gt;=0.5)</x:f>
        <x:v>0</x:v>
      </x:c>
      <x:c r="AM78" s="56" t="n">
        <x:f>--(AL78=O78)</x:f>
        <x:v>1</x:v>
      </x:c>
    </x:row>
    <x:row r="79" ht="32" customHeight="1">
      <x:c r="A79" s="56" t="str">
        <x:v>2939</x:v>
      </x:c>
      <x:c r="B79" s="56" t="str">
        <x:v>7647</x:v>
      </x:c>
      <x:c r="C79" s="56" t="str">
        <x:v>6122</x:v>
      </x:c>
      <x:c r="D79" s="56" t="str">
        <x:v>Akhmalahti Formation</x:v>
      </x:c>
      <x:c r="E79" s="56" t="str">
        <x:v>69.5</x:v>
      </x:c>
      <x:c r="F79" s="56" t="str">
        <x:v>29.5</x:v>
      </x:c>
      <x:c r="G79" s="56" t="str">
        <x:v>A Coomponent</x:v>
      </x:c>
      <x:c r="H79" s="56" t="str">
        <x:v>69</x:v>
      </x:c>
      <x:c r="I79" s="56" t="str">
        <x:v>73.400002</x:v>
      </x:c>
      <x:c r="J79" s="56" t="str">
        <x:v>60.299999</x:v>
      </x:c>
      <x:c r="K79" s="56" t="str">
        <x:v>104.4</x:v>
      </x:c>
      <x:c r="L79" s="56" t="str">
        <x:v>D</x:v>
      </x:c>
      <x:c r="M79" s="59" t="str"/>
      <x:c r="N79" s="56" t="n">
        <x:f>--(LEN(M79)&gt;0)</x:f>
        <x:v>0</x:v>
      </x:c>
      <x:c r="O79" s="56" t="n">
        <x:v>0</x:v>
      </x:c>
      <x:c r="P79" s="56" t="n">
        <x:f>--(N79=O79)</x:f>
        <x:v>1</x:v>
      </x:c>
      <x:c r="Q79" s="56" t="str">
        <x:v>PRESENT</x:v>
      </x:c>
      <x:c r="R79" s="59" t="str">
        <x:v>IRM(TM,MAGN,PYRR,HEM)</x:v>
      </x:c>
      <x:c r="S79" s="59" t="str">
        <x:v>IRM(TM,MAGN,PYRR,HEM)</x:v>
      </x:c>
      <x:c r="T79" s="56" t="n">
        <x:f>--(Q79="PRESENT")</x:f>
        <x:v>1</x:v>
      </x:c>
      <x:c r="U79" s="56" t="n">
        <x:f>--(T79=N79)</x:f>
        <x:v>0</x:v>
      </x:c>
      <x:c r="V79" s="56" t="n">
        <x:f>--(T79=O79)</x:f>
        <x:v>0</x:v>
      </x:c>
      <x:c r="W79" s="56" t="n">
        <x:f>--(OR(Q79="PRESENT",Q79="ABSENT"))</x:f>
        <x:v>1</x:v>
      </x:c>
      <x:c r="X79" s="56" t="str">
        <x:v>MEDIUM</x:v>
      </x:c>
      <x:c r="Y79" s="56" t="str">
        <x:v>METADATA_UNIQUE</x:v>
      </x:c>
      <x:c r="Z79" s="57" t="b">
        <x:v>1</x:v>
      </x:c>
      <x:c r="AA79" s="57" t="b">
        <x:v>1</x:v>
      </x:c>
      <x:c r="AB79" s="56" t="n">
        <x:v>0</x:v>
      </x:c>
      <x:c r="AC79" s="56" t="str">
        <x:v>IRM</x:v>
      </x:c>
      <x:c r="AD79" s="56" t="str">
        <x:v>TM,MAGN,PYRR,HEM</x:v>
      </x:c>
      <x:c r="AE79" s="56" t="str"/>
      <x:c r="AF79" s="56" t="str">
        <x:v>4, 5</x:v>
      </x:c>
      <x:c r="AG79" s="59" t="str">
        <x:v>p.4: Discrete unblocking between 525 "C and 570 "C (Fig. 3a), median destructive AF fields around 28-35 millitesla (mT) and isothermal remanent magnetization (IRM) saturation fields of c. | p.4: Discrete unblocking between 525 "C and 570 "C (Fig. 3a), median destructive AF fields around 28-35 millitesla (mT) and isothermal remanent magnetization (IRM) saturation fields of c. | p.4: 0.2 tesla (T) (Fig. 4a) suggest magnetite or titanium-poor titanomagnetite as the primary remanence carrier.</x:v>
      </x:c>
      <x:c r="AH79" s="58" t="n">
        <x:v>0.8843531678381686</x:v>
      </x:c>
      <x:c r="AI79" s="56" t="n">
        <x:f>--(AH79&gt;=0.5)</x:f>
        <x:v>1</x:v>
      </x:c>
      <x:c r="AJ79" s="56" t="n">
        <x:f>--(AI79=O79)</x:f>
        <x:v>0</x:v>
      </x:c>
      <x:c r="AK79" s="58" t="n">
        <x:v>0.8843531678381686</x:v>
      </x:c>
      <x:c r="AL79" s="56" t="n">
        <x:f>--(AK79&gt;=0.5)</x:f>
        <x:v>1</x:v>
      </x:c>
      <x:c r="AM79" s="56" t="n">
        <x:f>--(AL79=O79)</x:f>
        <x:v>0</x:v>
      </x:c>
    </x:row>
    <x:row r="80" ht="32" customHeight="1">
      <x:c r="A80" s="56" t="str">
        <x:v>2939</x:v>
      </x:c>
      <x:c r="B80" s="56" t="str">
        <x:v>7648</x:v>
      </x:c>
      <x:c r="C80" s="56" t="str">
        <x:v>6123</x:v>
      </x:c>
      <x:c r="D80" s="56" t="str">
        <x:v>Kuetsyarvi Formation</x:v>
      </x:c>
      <x:c r="E80" s="56" t="str">
        <x:v>69.5</x:v>
      </x:c>
      <x:c r="F80" s="56" t="str">
        <x:v>29.5</x:v>
      </x:c>
      <x:c r="G80" s="56" t="str">
        <x:v>A Component</x:v>
      </x:c>
      <x:c r="H80" s="56" t="str">
        <x:v>278</x:v>
      </x:c>
      <x:c r="I80" s="56" t="str">
        <x:v>41</x:v>
      </x:c>
      <x:c r="J80" s="56" t="str">
        <x:v>24.700001</x:v>
      </x:c>
      <x:c r="K80" s="56" t="str">
        <x:v>300.79999</x:v>
      </x:c>
      <x:c r="L80" s="56" t="str">
        <x:v>D</x:v>
      </x:c>
      <x:c r="M80" s="59" t="str">
        <x:v>IRM(sat0.3T or no sat.1.2T);Hcr</x:v>
      </x:c>
      <x:c r="N80" s="56" t="n">
        <x:f>--(LEN(M80)&gt;0)</x:f>
        <x:v>1</x:v>
      </x:c>
      <x:c r="O80" s="56" t="n">
        <x:v>1</x:v>
      </x:c>
      <x:c r="P80" s="56" t="n">
        <x:f>--(N80=O80)</x:f>
        <x:v>1</x:v>
      </x:c>
      <x:c r="Q80" s="56" t="str">
        <x:v>PRESENT</x:v>
      </x:c>
      <x:c r="R80" s="59" t="str">
        <x:v>IRM(HEM,PYRR,MAGN,TM)</x:v>
      </x:c>
      <x:c r="S80" s="59" t="str">
        <x:v>IRM(HEM,PYRR,MAGN,TM)</x:v>
      </x:c>
      <x:c r="T80" s="56" t="n">
        <x:f>--(Q80="PRESENT")</x:f>
        <x:v>1</x:v>
      </x:c>
      <x:c r="U80" s="56" t="n">
        <x:f>--(T80=N80)</x:f>
        <x:v>1</x:v>
      </x:c>
      <x:c r="V80" s="56" t="n">
        <x:f>--(T80=O80)</x:f>
        <x:v>1</x:v>
      </x:c>
      <x:c r="W80" s="56" t="n">
        <x:f>--(OR(Q80="PRESENT",Q80="ABSENT"))</x:f>
        <x:v>1</x:v>
      </x:c>
      <x:c r="X80" s="56" t="str">
        <x:v>HIGH</x:v>
      </x:c>
      <x:c r="Y80" s="56" t="str">
        <x:v>PAPER_ROW_MATCH</x:v>
      </x:c>
      <x:c r="Z80" s="57" t="b">
        <x:v>1</x:v>
      </x:c>
      <x:c r="AA80" s="57" t="b">
        <x:v>1</x:v>
      </x:c>
      <x:c r="AB80" s="56" t="n">
        <x:v>0</x:v>
      </x:c>
      <x:c r="AC80" s="56" t="str">
        <x:v>IRM</x:v>
      </x:c>
      <x:c r="AD80" s="56" t="str">
        <x:v>HEM,PYRR,MAGN,TM</x:v>
      </x:c>
      <x:c r="AE80" s="56" t="str"/>
      <x:c r="AF80" s="56" t="str">
        <x:v>4, 5, 6</x:v>
      </x:c>
      <x:c r="AG80" s="59" t="str">
        <x:v>p.4: IRM curves from sites 11 and 12 are not saturated in the maximum available field of 1.25 T, suggestive of haematite (Fig. 4c). | p.6: isothermal remanent magnetization | p.4: IRM curves from sites 11 and 12 are not saturated in the maximum available field of 1.25 T, suggestive of haematite (Fig. 4c).</x:v>
      </x:c>
      <x:c r="AH80" s="58" t="n">
        <x:v>0.890386547682009</x:v>
      </x:c>
      <x:c r="AI80" s="56" t="n">
        <x:f>--(AH80&gt;=0.5)</x:f>
        <x:v>1</x:v>
      </x:c>
      <x:c r="AJ80" s="56" t="n">
        <x:f>--(AI80=O80)</x:f>
        <x:v>1</x:v>
      </x:c>
      <x:c r="AK80" s="58" t="n">
        <x:v>0.8903865476820089</x:v>
      </x:c>
      <x:c r="AL80" s="56" t="n">
        <x:f>--(AK80&gt;=0.5)</x:f>
        <x:v>1</x:v>
      </x:c>
      <x:c r="AM80" s="56" t="n">
        <x:f>--(AL80=O80)</x:f>
        <x:v>1</x:v>
      </x:c>
    </x:row>
    <x:row r="81" ht="32" customHeight="1">
      <x:c r="A81" s="56" t="str">
        <x:v>3024</x:v>
      </x:c>
      <x:c r="B81" s="56" t="str">
        <x:v>7814</x:v>
      </x:c>
      <x:c r="C81" s="56" t="str">
        <x:v>6270</x:v>
      </x:c>
      <x:c r="D81" s="56" t="str">
        <x:v>Eyjafjoll Volcanic System</x:v>
      </x:c>
      <x:c r="E81" s="56" t="str">
        <x:v>63.5</x:v>
      </x:c>
      <x:c r="F81" s="56" t="str">
        <x:v>-19.700001</x:v>
      </x:c>
      <x:c r="G81" s="56" t="str"/>
      <x:c r="H81" s="56" t="str">
        <x:v>11.3</x:v>
      </x:c>
      <x:c r="I81" s="56" t="str">
        <x:v>76</x:v>
      </x:c>
      <x:c r="J81" s="56" t="str">
        <x:v>85</x:v>
      </x:c>
      <x:c r="K81" s="56" t="str">
        <x:v>65.300003</x:v>
      </x:c>
      <x:c r="L81" s="56" t="str">
        <x:v>D</x:v>
      </x:c>
      <x:c r="M81" s="59" t="str">
        <x:v>Js-T(CT 100-560C)</x:v>
      </x:c>
      <x:c r="N81" s="56" t="n">
        <x:f>--(LEN(M81)&gt;0)</x:f>
        <x:v>1</x:v>
      </x:c>
      <x:c r="O81" s="56" t="n">
        <x:v>1</x:v>
      </x:c>
      <x:c r="P81" s="56" t="n">
        <x:f>--(N81=O81)</x:f>
        <x:v>1</x:v>
      </x:c>
      <x:c r="Q81" s="56" t="str">
        <x:v>ABSTAIN_INSUFFICIENT</x:v>
      </x:c>
      <x:c r="R81" s="59" t="str"/>
      <x:c r="S81" s="59" t="str"/>
      <x:c r="T81" s="56" t="n">
        <x:f>--(Q81="PRESENT")</x:f>
        <x:v>0</x:v>
      </x:c>
      <x:c r="U81" s="56" t="n">
        <x:f>--(T81=N81)</x:f>
        <x:v>0</x:v>
      </x:c>
      <x:c r="V81" s="56" t="n">
        <x:f>--(T81=O81)</x:f>
        <x:v>0</x:v>
      </x:c>
      <x:c r="W81" s="56" t="n">
        <x:f>--(OR(Q81="PRESENT",Q81="ABSENT"))</x:f>
        <x:v>0</x:v>
      </x:c>
      <x:c r="X81" s="56" t="str">
        <x:v>LOW</x:v>
      </x:c>
      <x:c r="Y81" s="56" t="str">
        <x:v>METADATA_UNIQUE</x:v>
      </x:c>
      <x:c r="Z81" s="57" t="b">
        <x:v>1</x:v>
      </x:c>
      <x:c r="AA81" s="57" t="b">
        <x:v>1</x:v>
      </x:c>
      <x:c r="AB81" s="56" t="n">
        <x:v>0</x:v>
      </x:c>
      <x:c r="AC81" s="56" t="str"/>
      <x:c r="AD81" s="56" t="str"/>
      <x:c r="AE81" s="56" t="str"/>
      <x:c r="AF81" s="56" t="str"/>
      <x:c r="AG81" s="59" t="str"/>
      <x:c r="AH81" s="58" t="n">
        <x:v>0.1958794139146425</x:v>
      </x:c>
      <x:c r="AI81" s="56" t="n">
        <x:f>--(AH81&gt;=0.5)</x:f>
        <x:v>0</x:v>
      </x:c>
      <x:c r="AJ81" s="56" t="n">
        <x:f>--(AI81=O81)</x:f>
        <x:v>0</x:v>
      </x:c>
      <x:c r="AK81" s="58" t="n">
        <x:v>0.1958794139146425</x:v>
      </x:c>
      <x:c r="AL81" s="56" t="n">
        <x:f>--(AK81&gt;=0.5)</x:f>
        <x:v>0</x:v>
      </x:c>
      <x:c r="AM81" s="56" t="n">
        <x:f>--(AL81=O81)</x:f>
        <x:v>0</x:v>
      </x:c>
    </x:row>
    <x:row r="82" ht="32" customHeight="1">
      <x:c r="A82" s="56" t="str">
        <x:v>3024</x:v>
      </x:c>
      <x:c r="B82" s="56" t="str">
        <x:v>7815</x:v>
      </x:c>
      <x:c r="C82" s="56" t="str">
        <x:v>6271</x:v>
      </x:c>
      <x:c r="D82" s="56" t="str">
        <x:v>Tjornes Peninsula Volcanics</x:v>
      </x:c>
      <x:c r="E82" s="56" t="str">
        <x:v>66</x:v>
      </x:c>
      <x:c r="F82" s="56" t="str">
        <x:v>-17.200001</x:v>
      </x:c>
      <x:c r="G82" s="56" t="str"/>
      <x:c r="H82" s="56" t="str">
        <x:v>6.4000001</x:v>
      </x:c>
      <x:c r="I82" s="56" t="str">
        <x:v>76</x:v>
      </x:c>
      <x:c r="J82" s="56" t="str">
        <x:v>86.300003</x:v>
      </x:c>
      <x:c r="K82" s="56" t="str">
        <x:v>112.4</x:v>
      </x:c>
      <x:c r="L82" s="56" t="str">
        <x:v>D</x:v>
      </x:c>
      <x:c r="M82" s="59" t="str"/>
      <x:c r="N82" s="56" t="n">
        <x:f>--(LEN(M82)&gt;0)</x:f>
        <x:v>0</x:v>
      </x:c>
      <x:c r="O82" s="56" t="n">
        <x:v>0</x:v>
      </x:c>
      <x:c r="P82" s="56" t="n">
        <x:f>--(N82=O82)</x:f>
        <x:v>1</x:v>
      </x:c>
      <x:c r="Q82" s="56" t="str">
        <x:v>ABSENT</x:v>
      </x:c>
      <x:c r="R82" s="59" t="str"/>
      <x:c r="S82" s="59" t="str"/>
      <x:c r="T82" s="56" t="n">
        <x:f>--(Q82="PRESENT")</x:f>
        <x:v>0</x:v>
      </x:c>
      <x:c r="U82" s="56" t="n">
        <x:f>--(T82=N82)</x:f>
        <x:v>1</x:v>
      </x:c>
      <x:c r="V82" s="56" t="n">
        <x:f>--(T82=O82)</x:f>
        <x:v>1</x:v>
      </x:c>
      <x:c r="W82" s="56" t="n">
        <x:f>--(OR(Q82="PRESENT",Q82="ABSENT"))</x:f>
        <x:v>1</x:v>
      </x:c>
      <x:c r="X82" s="56" t="str">
        <x:v>MEDIUM</x:v>
      </x:c>
      <x:c r="Y82" s="56" t="str">
        <x:v>PAPER_ROW_MATCH</x:v>
      </x:c>
      <x:c r="Z82" s="57" t="b">
        <x:v>1</x:v>
      </x:c>
      <x:c r="AA82" s="57" t="b">
        <x:v>1</x:v>
      </x:c>
      <x:c r="AB82" s="56" t="n">
        <x:v>0</x:v>
      </x:c>
      <x:c r="AC82" s="56" t="str"/>
      <x:c r="AD82" s="56" t="str"/>
      <x:c r="AE82" s="56" t="str"/>
      <x:c r="AF82" s="56" t="str">
        <x:v>5</x:v>
      </x:c>
      <x:c r="AG82" s="59" t="str">
        <x:v>p.5: fjoll 1 4 227 -78 5 229 -72 7.7 2 4 179 -70 3 346 -78 1.0 3 3 180 -79 3 164 -87 1.8 4 4 55 +40 3 96 +34 1.8 5 4 56+40 3 95 +34 2.5 6 4 57 +37 5 96 +32 1.3 7 4 4 +74 3 144 +84 4.0 8 4 2 +72 5 157 +80 5.6 9 5 222 +86 9 331 +59 5.4 (b) Section BA, Mount Burfell 1 4 173 -74 4 12 -83 3.7 2 4 51 +46 6 98 +40 2.0 3 4 52 +44 5 98 +38 2.2 4 4 54 +42 6 97 +36 1.7 5 4 352 +77 6 239 +87 5.6 6 4 348 +74 8 206 +81 2.5 7 4 351 +73 7 194 +81 3.6 8 4 0 +72 2 163 +80 3.6 9 4 13 +71 2 129 +77 6.8 10 4 0 +72 3 162  | p.5: +38 2.2 4 4 54 +42 6 97 +36 1.7 5 4 352 +77 6 239 +87 5.6 6 4 348 +74 8 206 +81 2.5 7 4 351 +73 7 194 +81 3.6 8 4 0 +72 2 163 +80 3.6 9 4 13 +71 2 129 +77 6.8 10 4 0 +72 3 162 +81 9.1 11 5 193 +81 5 337 +48 4.3 (c) Section GM, north end of Mount Grisatungufjoll 1 4 184 -73 2 328 -82 5.6 2 4 48 +46 15 101 +41 3.3 3 4 49 +39 3 103 +36 2.7 4 4 44 +42 6 108 +40 1.9 5 4 326 +68 5 228 +67 3.6 (d) Section GS, south end of Mount Grisatungufjoll 1 4 204 -72 3 280 -76 3.8 2 4 37 +53 10 111 +51 1..7 3 5 36</x:v>
      </x:c>
      <x:c r="AH82" s="58" t="n">
        <x:v>0.25599767952846814</x:v>
      </x:c>
      <x:c r="AI82" s="56" t="n">
        <x:f>--(AH82&gt;=0.5)</x:f>
        <x:v>0</x:v>
      </x:c>
      <x:c r="AJ82" s="56" t="n">
        <x:f>--(AI82=O82)</x:f>
        <x:v>1</x:v>
      </x:c>
      <x:c r="AK82" s="58" t="n">
        <x:v>0.2559976795284682</x:v>
      </x:c>
      <x:c r="AL82" s="56" t="n">
        <x:f>--(AK82&gt;=0.5)</x:f>
        <x:v>0</x:v>
      </x:c>
      <x:c r="AM82" s="56" t="n">
        <x:f>--(AL82=O82)</x:f>
        <x:v>1</x:v>
      </x:c>
    </x:row>
    <x:row r="83" ht="32" customHeight="1">
      <x:c r="A83" s="56" t="str">
        <x:v>3024</x:v>
      </x:c>
      <x:c r="B83" s="56" t="str">
        <x:v>7816</x:v>
      </x:c>
      <x:c r="C83" s="56" t="str">
        <x:v>6272</x:v>
      </x:c>
      <x:c r="D83" s="56" t="str">
        <x:v>Mt Ignolfsjall Lavas</x:v>
      </x:c>
      <x:c r="E83" s="56" t="str">
        <x:v>64</x:v>
      </x:c>
      <x:c r="F83" s="56" t="str">
        <x:v>-21</x:v>
      </x:c>
      <x:c r="G83" s="56" t="str"/>
      <x:c r="H83" s="56" t="str">
        <x:v>8.8000002</x:v>
      </x:c>
      <x:c r="I83" s="56" t="str">
        <x:v>73.300003</x:v>
      </x:c>
      <x:c r="J83" s="56" t="str">
        <x:v>83.5</x:v>
      </x:c>
      <x:c r="K83" s="56" t="str">
        <x:v>114.9</x:v>
      </x:c>
      <x:c r="L83" s="56" t="str">
        <x:v>D</x:v>
      </x:c>
      <x:c r="M83" s="59" t="str"/>
      <x:c r="N83" s="56" t="n">
        <x:f>--(LEN(M83)&gt;0)</x:f>
        <x:v>0</x:v>
      </x:c>
      <x:c r="O83" s="56" t="n">
        <x:v>0</x:v>
      </x:c>
      <x:c r="P83" s="56" t="n">
        <x:f>--(N83=O83)</x:f>
        <x:v>1</x:v>
      </x:c>
      <x:c r="Q83" s="56" t="str">
        <x:v>ABSTAIN_INSUFFICIENT</x:v>
      </x:c>
      <x:c r="R83" s="59" t="str"/>
      <x:c r="S83" s="59" t="str"/>
      <x:c r="T83" s="56" t="n">
        <x:f>--(Q83="PRESENT")</x:f>
        <x:v>0</x:v>
      </x:c>
      <x:c r="U83" s="56" t="n">
        <x:f>--(T83=N83)</x:f>
        <x:v>1</x:v>
      </x:c>
      <x:c r="V83" s="56" t="n">
        <x:f>--(T83=O83)</x:f>
        <x:v>1</x:v>
      </x:c>
      <x:c r="W83" s="56" t="n">
        <x:f>--(OR(Q83="PRESENT",Q83="ABSENT"))</x:f>
        <x:v>0</x:v>
      </x:c>
      <x:c r="X83" s="56" t="str">
        <x:v>LOW</x:v>
      </x:c>
      <x:c r="Y83" s="56" t="str">
        <x:v>PAPER_ROW_MATCH</x:v>
      </x:c>
      <x:c r="Z83" s="57" t="b">
        <x:v>1</x:v>
      </x:c>
      <x:c r="AA83" s="57" t="b">
        <x:v>1</x:v>
      </x:c>
      <x:c r="AB83" s="56" t="n">
        <x:v>0</x:v>
      </x:c>
      <x:c r="AC83" s="56" t="str"/>
      <x:c r="AD83" s="56" t="str"/>
      <x:c r="AE83" s="56" t="str"/>
      <x:c r="AF83" s="56" t="str">
        <x:v>5, 7</x:v>
      </x:c>
      <x:c r="AG83" s="59" t="str">
        <x:v>p.5: KRISTJANSSON ET AL. 219 TABLE 3. Remanence directions from Tjomes Peninsula volcanics (66.0°N, 17.2"W) D I a,, Long. Lat. J Site N (") (") (") (") (") (A m-') (a) Section GF, Mount Grasafjoll 1 4 227 -78 5 229 -72 7.7 2 4 179 -70 3 346 -78 1.0 3 3 180 -79 3 164 -87 1.8 4 4 55 +40 3 96 +34 1.8 5 4 56+40 3 95 +34 2.5 6 4 57 +37 5 96 +32 1.3 7 4 4 +74 3 144 +84 4.0 8 4 2 +72 5 157 +80 5.6 9 5 222 +86 9 331 +59 5.4 (b) Section BA, Mount Burfell 1 4 173 -74 4 12 -83 3.7 2 4 51 +46 6 98 +40 2.0 3 4 52 | p.7: ;SON ET AL. 22 1 TABLE 4. Remanence directions from lavas in Mount Ingolfsfjall (64.0°N, 21.0°W) D I a Long. Lat. J Site N ("1 ("1 ("1 (") ("1 (A m-') IE 1 3 159 -69 4 32 -75 1.0 2 3 16 +71 8 109 +78 4.5 3 3 14 +69 5 120 +77 4.8 4 4 14 +71 3 116 +78 3.7 5 4 14 +71 3 115 +78 5.8 IG 1 3 174 -72 2 1 -82 4.1 2 3 28 +72 2 84 +75 3.3 3 3 31 +67 4 96 +68 3.2 4 3 30 +75 4 66 +76 1.7 5 3 24 +73 2 85 +77 3.8 6 3 26 +73 3 83 +77 4.4 7 3 31 +76 5 61 +76 5.8 8 3 29 +76 6 60 +77 6.3 9 3 25 +74 4 79 +78 6.9 10 | p.7: ;SON ET AL. 22 1 TABLE 4. Remanence directions from lavas in Mount Ingolfsfjall (64.0°N, 21.0°W) D I a Long. Lat. J Site N ("1 ("1 ("1 (") ("1 (A m-') IE 1 3 159 -69 4 32 -75 1.0 2 3 16 +71 8 109 +78 4.5 3 3 14 +69 5 120 +77 4.8 4 4 14 +71 3 116 +78 3.7 5 4 14 +71 3 115 +78 5.8 IG 1 3 174 -72 2 1 -82 4.1 2 3 28 +72 2 84 +75 3.3 3 3 31 +67 4 96 +68 3.2 4 3 30 +75 4 66 +76 1.7 5 3 24 +73 2 85 +77 3.8 6 3 26 +73 3 83 +77 4.4 7 3 31 +76 5 61 +76 5.8 8 3 29 +76 6 60 +77 6.3 9 3 25 +74 4 79 +78 6.9 10</x:v>
      </x:c>
      <x:c r="AH83" s="58" t="n">
        <x:v>0.279971825685571</x:v>
      </x:c>
      <x:c r="AI83" s="56" t="n">
        <x:f>--(AH83&gt;=0.5)</x:f>
        <x:v>0</x:v>
      </x:c>
      <x:c r="AJ83" s="56" t="n">
        <x:f>--(AI83=O83)</x:f>
        <x:v>1</x:v>
      </x:c>
      <x:c r="AK83" s="58" t="n">
        <x:v>0.279971825685571</x:v>
      </x:c>
      <x:c r="AL83" s="56" t="n">
        <x:f>--(AK83&gt;=0.5)</x:f>
        <x:v>0</x:v>
      </x:c>
      <x:c r="AM83" s="56" t="n">
        <x:f>--(AL83=O83)</x:f>
        <x:v>1</x:v>
      </x:c>
    </x:row>
    <x:row r="84" ht="32" customHeight="1">
      <x:c r="A84" s="56" t="str">
        <x:v>3032</x:v>
      </x:c>
      <x:c r="B84" s="56" t="str">
        <x:v>7823</x:v>
      </x:c>
      <x:c r="C84" s="56" t="str">
        <x:v>6279</x:v>
      </x:c>
      <x:c r="D84" s="56" t="str">
        <x:v>Devonian Sediments</x:v>
      </x:c>
      <x:c r="E84" s="56" t="str">
        <x:v>49.200001</x:v>
      </x:c>
      <x:c r="F84" s="56" t="str">
        <x:v>16.700001</x:v>
      </x:c>
      <x:c r="G84" s="56" t="str">
        <x:v>A Component</x:v>
      </x:c>
      <x:c r="H84" s="56" t="str">
        <x:v>202</x:v>
      </x:c>
      <x:c r="I84" s="56" t="str">
        <x:v>3</x:v>
      </x:c>
      <x:c r="J84" s="56" t="str">
        <x:v>35.900002</x:v>
      </x:c>
      <x:c r="K84" s="56" t="str">
        <x:v>169.2</x:v>
      </x:c>
      <x:c r="L84" s="56" t="str">
        <x:v>D</x:v>
      </x:c>
      <x:c r="M84" s="59" t="str"/>
      <x:c r="N84" s="56" t="n">
        <x:f>--(LEN(M84)&gt;0)</x:f>
        <x:v>0</x:v>
      </x:c>
      <x:c r="O84" s="56" t="n">
        <x:v>0</x:v>
      </x:c>
      <x:c r="P84" s="56" t="n">
        <x:f>--(N84=O84)</x:f>
        <x:v>1</x:v>
      </x:c>
      <x:c r="Q84" s="56" t="str">
        <x:v>PRESENT</x:v>
      </x:c>
      <x:c r="R84" s="59" t="str">
        <x:v>IRM(HEM)</x:v>
      </x:c>
      <x:c r="S84" s="59" t="str">
        <x:v>IRM(HEM)</x:v>
      </x:c>
      <x:c r="T84" s="56" t="n">
        <x:f>--(Q84="PRESENT")</x:f>
        <x:v>1</x:v>
      </x:c>
      <x:c r="U84" s="56" t="n">
        <x:f>--(T84=N84)</x:f>
        <x:v>0</x:v>
      </x:c>
      <x:c r="V84" s="56" t="n">
        <x:f>--(T84=O84)</x:f>
        <x:v>0</x:v>
      </x:c>
      <x:c r="W84" s="56" t="n">
        <x:f>--(OR(Q84="PRESENT",Q84="ABSENT"))</x:f>
        <x:v>1</x:v>
      </x:c>
      <x:c r="X84" s="56" t="str">
        <x:v>MEDIUM</x:v>
      </x:c>
      <x:c r="Y84" s="56" t="str">
        <x:v>METADATA_UNIQUE</x:v>
      </x:c>
      <x:c r="Z84" s="57" t="b">
        <x:v>1</x:v>
      </x:c>
      <x:c r="AA84" s="57" t="b">
        <x:v>1</x:v>
      </x:c>
      <x:c r="AB84" s="56" t="n">
        <x:v>1</x:v>
      </x:c>
      <x:c r="AC84" s="56" t="str">
        <x:v>IRM</x:v>
      </x:c>
      <x:c r="AD84" s="56" t="str">
        <x:v>HEM</x:v>
      </x:c>
      <x:c r="AE84" s="56" t="str"/>
      <x:c r="AF84" s="56" t="str">
        <x:v>3</x:v>
      </x:c>
      <x:c r="AG84" s="59" t="str">
        <x:v>p.3: IRM | p.3: SIRM | p.3: hematite</x:v>
      </x:c>
      <x:c r="AH84" s="58" t="n">
        <x:v>0.438256454772467</x:v>
      </x:c>
      <x:c r="AI84" s="56" t="n">
        <x:f>--(AH84&gt;=0.5)</x:f>
        <x:v>0</x:v>
      </x:c>
      <x:c r="AJ84" s="56" t="n">
        <x:f>--(AI84=O84)</x:f>
        <x:v>1</x:v>
      </x:c>
      <x:c r="AK84" s="58" t="n">
        <x:v>0.438256454772467</x:v>
      </x:c>
      <x:c r="AL84" s="56" t="n">
        <x:f>--(AK84&gt;=0.5)</x:f>
        <x:v>0</x:v>
      </x:c>
      <x:c r="AM84" s="56" t="n">
        <x:f>--(AL84=O84)</x:f>
        <x:v>1</x:v>
      </x:c>
    </x:row>
    <x:row r="85" ht="32" customHeight="1">
      <x:c r="A85" s="56" t="str">
        <x:v>3032</x:v>
      </x:c>
      <x:c r="B85" s="56" t="str">
        <x:v>7824</x:v>
      </x:c>
      <x:c r="C85" s="56" t="str">
        <x:v>6279</x:v>
      </x:c>
      <x:c r="D85" s="56" t="str">
        <x:v>Devonian Sediments</x:v>
      </x:c>
      <x:c r="E85" s="56" t="str">
        <x:v>49.200001</x:v>
      </x:c>
      <x:c r="F85" s="56" t="str">
        <x:v>16.700001</x:v>
      </x:c>
      <x:c r="G85" s="56" t="str">
        <x:v>B Component</x:v>
      </x:c>
      <x:c r="H85" s="56" t="str">
        <x:v>89</x:v>
      </x:c>
      <x:c r="I85" s="56" t="str">
        <x:v>-37</x:v>
      </x:c>
      <x:c r="J85" s="56" t="str">
        <x:v>-14.8</x:v>
      </x:c>
      <x:c r="K85" s="56" t="str">
        <x:v>121.2</x:v>
      </x:c>
      <x:c r="L85" s="56" t="str">
        <x:v>D</x:v>
      </x:c>
      <x:c r="M85" s="59" t="str"/>
      <x:c r="N85" s="56" t="n">
        <x:f>--(LEN(M85)&gt;0)</x:f>
        <x:v>0</x:v>
      </x:c>
      <x:c r="O85" s="56" t="n">
        <x:v>1</x:v>
      </x:c>
      <x:c r="P85" s="56" t="n">
        <x:f>--(N85=O85)</x:f>
        <x:v>0</x:v>
      </x:c>
      <x:c r="Q85" s="56" t="str">
        <x:v>PRESENT</x:v>
      </x:c>
      <x:c r="R85" s="59" t="str">
        <x:v>IRM(HEM)</x:v>
      </x:c>
      <x:c r="S85" s="59" t="str">
        <x:v>IRM(HEM)</x:v>
      </x:c>
      <x:c r="T85" s="56" t="n">
        <x:f>--(Q85="PRESENT")</x:f>
        <x:v>1</x:v>
      </x:c>
      <x:c r="U85" s="56" t="n">
        <x:f>--(T85=N85)</x:f>
        <x:v>0</x:v>
      </x:c>
      <x:c r="V85" s="56" t="n">
        <x:f>--(T85=O85)</x:f>
        <x:v>1</x:v>
      </x:c>
      <x:c r="W85" s="56" t="n">
        <x:f>--(OR(Q85="PRESENT",Q85="ABSENT"))</x:f>
        <x:v>1</x:v>
      </x:c>
      <x:c r="X85" s="56" t="str">
        <x:v>MEDIUM</x:v>
      </x:c>
      <x:c r="Y85" s="56" t="str">
        <x:v>METADATA_UNIQUE</x:v>
      </x:c>
      <x:c r="Z85" s="57" t="b">
        <x:v>1</x:v>
      </x:c>
      <x:c r="AA85" s="57" t="b">
        <x:v>1</x:v>
      </x:c>
      <x:c r="AB85" s="56" t="n">
        <x:v>1</x:v>
      </x:c>
      <x:c r="AC85" s="56" t="str">
        <x:v>IRM</x:v>
      </x:c>
      <x:c r="AD85" s="56" t="str">
        <x:v>HEM</x:v>
      </x:c>
      <x:c r="AE85" s="56" t="str"/>
      <x:c r="AF85" s="56" t="str">
        <x:v>3</x:v>
      </x:c>
      <x:c r="AG85" s="59" t="str">
        <x:v>p.3: IRM | p.3: SIRM | p.3: hematite</x:v>
      </x:c>
      <x:c r="AH85" s="58" t="n">
        <x:v>0.438256454772467</x:v>
      </x:c>
      <x:c r="AI85" s="56" t="n">
        <x:f>--(AH85&gt;=0.5)</x:f>
        <x:v>0</x:v>
      </x:c>
      <x:c r="AJ85" s="56" t="n">
        <x:f>--(AI85=O85)</x:f>
        <x:v>0</x:v>
      </x:c>
      <x:c r="AK85" s="58" t="n">
        <x:v>0.438256454772467</x:v>
      </x:c>
      <x:c r="AL85" s="56" t="n">
        <x:f>--(AK85&gt;=0.5)</x:f>
        <x:v>0</x:v>
      </x:c>
      <x:c r="AM85" s="56" t="n">
        <x:f>--(AL85=O85)</x:f>
        <x:v>0</x:v>
      </x:c>
    </x:row>
    <x:row r="86" ht="32" customHeight="1">
      <x:c r="A86" s="56" t="str">
        <x:v>3064</x:v>
      </x:c>
      <x:c r="B86" s="56" t="str">
        <x:v>8042</x:v>
      </x:c>
      <x:c r="C86" s="56" t="str">
        <x:v>6477</x:v>
      </x:c>
      <x:c r="D86" s="56" t="str">
        <x:v>Gamba Group</x:v>
      </x:c>
      <x:c r="E86" s="56" t="str">
        <x:v>28.299999</x:v>
      </x:c>
      <x:c r="F86" s="56" t="str">
        <x:v>88.5</x:v>
      </x:c>
      <x:c r="G86" s="56" t="str"/>
      <x:c r="H86" s="56" t="str">
        <x:v>352</x:v>
      </x:c>
      <x:c r="I86" s="56" t="str">
        <x:v>-40</x:v>
      </x:c>
      <x:c r="J86" s="56" t="str">
        <x:v>38.400002</x:v>
      </x:c>
      <x:c r="K86" s="56" t="str">
        <x:v>277.89999</x:v>
      </x:c>
      <x:c r="L86" s="56" t="str">
        <x:v>D</x:v>
      </x:c>
      <x:c r="M86" s="59" t="str">
        <x:v>IRM(sat.0.3T)</x:v>
      </x:c>
      <x:c r="N86" s="56" t="n">
        <x:f>--(LEN(M86)&gt;0)</x:f>
        <x:v>1</x:v>
      </x:c>
      <x:c r="O86" s="56" t="n">
        <x:v>1</x:v>
      </x:c>
      <x:c r="P86" s="56" t="n">
        <x:f>--(N86=O86)</x:f>
        <x:v>1</x:v>
      </x:c>
      <x:c r="Q86" s="56" t="str">
        <x:v>PRESENT</x:v>
      </x:c>
      <x:c r="R86" s="59" t="str">
        <x:v>IRM(MAGN,HEM,GOETH)</x:v>
      </x:c>
      <x:c r="S86" s="59" t="str">
        <x:v>IRM(MAGN,HEM,GOETH)</x:v>
      </x:c>
      <x:c r="T86" s="56" t="n">
        <x:f>--(Q86="PRESENT")</x:f>
        <x:v>1</x:v>
      </x:c>
      <x:c r="U86" s="56" t="n">
        <x:f>--(T86=N86)</x:f>
        <x:v>1</x:v>
      </x:c>
      <x:c r="V86" s="56" t="n">
        <x:f>--(T86=O86)</x:f>
        <x:v>1</x:v>
      </x:c>
      <x:c r="W86" s="56" t="n">
        <x:f>--(OR(Q86="PRESENT",Q86="ABSENT"))</x:f>
        <x:v>1</x:v>
      </x:c>
      <x:c r="X86" s="56" t="str">
        <x:v>HIGH</x:v>
      </x:c>
      <x:c r="Y86" s="56" t="str">
        <x:v>PAPER_ROW_MATCH</x:v>
      </x:c>
      <x:c r="Z86" s="57" t="b">
        <x:v>1</x:v>
      </x:c>
      <x:c r="AA86" s="57" t="b">
        <x:v>1</x:v>
      </x:c>
      <x:c r="AB86" s="56" t="n">
        <x:v>0</x:v>
      </x:c>
      <x:c r="AC86" s="56" t="str">
        <x:v>IRM</x:v>
      </x:c>
      <x:c r="AD86" s="56" t="str">
        <x:v>MAGN,HEM,GOETH</x:v>
      </x:c>
      <x:c r="AE86" s="56" t="str">
        <x:v>PSD,SD</x:v>
      </x:c>
      <x:c r="AF86" s="56" t="str">
        <x:v>6, 7, 9, 13, 17</x:v>
      </x:c>
      <x:c r="AG86" s="59" t="str">
        <x:v>p.13: IRM | p.6: IRM | p.7: SIRM</x:v>
      </x:c>
      <x:c r="AH86" s="58" t="n">
        <x:v>0.9193112483554214</x:v>
      </x:c>
      <x:c r="AI86" s="56" t="n">
        <x:f>--(AH86&gt;=0.5)</x:f>
        <x:v>1</x:v>
      </x:c>
      <x:c r="AJ86" s="56" t="n">
        <x:f>--(AI86=O86)</x:f>
        <x:v>1</x:v>
      </x:c>
      <x:c r="AK86" s="58" t="n">
        <x:v>0.9193112483554213</x:v>
      </x:c>
      <x:c r="AL86" s="56" t="n">
        <x:f>--(AK86&gt;=0.5)</x:f>
        <x:v>1</x:v>
      </x:c>
      <x:c r="AM86" s="56" t="n">
        <x:f>--(AL86=O86)</x:f>
        <x:v>1</x:v>
      </x:c>
    </x:row>
    <x:row r="87" ht="32" customHeight="1">
      <x:c r="A87" s="56" t="str">
        <x:v>3064</x:v>
      </x:c>
      <x:c r="B87" s="56" t="str">
        <x:v>8043</x:v>
      </x:c>
      <x:c r="C87" s="56" t="str">
        <x:v>6478</x:v>
      </x:c>
      <x:c r="D87" s="56" t="str">
        <x:v>Zongshan Formation</x:v>
      </x:c>
      <x:c r="E87" s="56" t="str">
        <x:v>28.299999</x:v>
      </x:c>
      <x:c r="F87" s="56" t="str">
        <x:v>88.5</x:v>
      </x:c>
      <x:c r="G87" s="56" t="str"/>
      <x:c r="H87" s="56" t="str">
        <x:v>4</x:v>
      </x:c>
      <x:c r="I87" s="56" t="str">
        <x:v>-11.2</x:v>
      </x:c>
      <x:c r="J87" s="56" t="str">
        <x:v>55.799999</x:v>
      </x:c>
      <x:c r="K87" s="56" t="str">
        <x:v>261.39999</x:v>
      </x:c>
      <x:c r="L87" s="56" t="str">
        <x:v>D</x:v>
      </x:c>
      <x:c r="M87" s="59" t="str">
        <x:v>IRM(sat. 0.3T, some no sat.1.5T)</x:v>
      </x:c>
      <x:c r="N87" s="56" t="n">
        <x:f>--(LEN(M87)&gt;0)</x:f>
        <x:v>1</x:v>
      </x:c>
      <x:c r="O87" s="56" t="n">
        <x:v>1</x:v>
      </x:c>
      <x:c r="P87" s="56" t="n">
        <x:f>--(N87=O87)</x:f>
        <x:v>1</x:v>
      </x:c>
      <x:c r="Q87" s="56" t="str">
        <x:v>PRESENT</x:v>
      </x:c>
      <x:c r="R87" s="59" t="str">
        <x:v>IRM(HEM,MAGN)</x:v>
      </x:c>
      <x:c r="S87" s="59" t="str">
        <x:v>IRM(HEM,MAGN)</x:v>
      </x:c>
      <x:c r="T87" s="56" t="n">
        <x:f>--(Q87="PRESENT")</x:f>
        <x:v>1</x:v>
      </x:c>
      <x:c r="U87" s="56" t="n">
        <x:f>--(T87=N87)</x:f>
        <x:v>1</x:v>
      </x:c>
      <x:c r="V87" s="56" t="n">
        <x:f>--(T87=O87)</x:f>
        <x:v>1</x:v>
      </x:c>
      <x:c r="W87" s="56" t="n">
        <x:f>--(OR(Q87="PRESENT",Q87="ABSENT"))</x:f>
        <x:v>1</x:v>
      </x:c>
      <x:c r="X87" s="56" t="str">
        <x:v>MEDIUM</x:v>
      </x:c>
      <x:c r="Y87" s="56" t="str">
        <x:v>METADATA_UNIQUE</x:v>
      </x:c>
      <x:c r="Z87" s="57" t="b">
        <x:v>1</x:v>
      </x:c>
      <x:c r="AA87" s="57" t="b">
        <x:v>1</x:v>
      </x:c>
      <x:c r="AB87" s="56" t="n">
        <x:v>0</x:v>
      </x:c>
      <x:c r="AC87" s="56" t="str">
        <x:v>IRM</x:v>
      </x:c>
      <x:c r="AD87" s="56" t="str">
        <x:v>HEM,MAGN</x:v>
      </x:c>
      <x:c r="AE87" s="56" t="str">
        <x:v>PSD,SD</x:v>
      </x:c>
      <x:c r="AF87" s="56" t="str">
        <x:v>7, 12, 13</x:v>
      </x:c>
      <x:c r="AG87" s="59" t="str">
        <x:v>p.7: The Zongshan Formation Nearly all sites show IRM acquisition curves (Fig. 4b) with a lower coercivity component (exception sites A26, D40) that is in many cases coexisting with a high coercivity component. | p.7: The Zongshan Formation Nearly all sites show IRM acquisition curves (Fig. 4b) with a lower coercivity component (exception sites A26, D40) that is in many cases coexisting with a high coercivity component. | p.7: Thermal demagnetiza- tion of the SIRM (Fig. 4b) and NRM (Fig. 7e) reveals unblocking temperatures for the two compo- nents up to 450-580°C and 675°C, respectively, =:3 20 mT~ 0.60 mA/m a~6Om:T o.,,~, h I I I ~Z.S all tilt corrected = = horizontalprojection (NvsE) o o verticalprojection (ZvsE) GB2-9 NRM= 1.13 mA/m NRM 30 roT, 100-30&amp;C r~ E 0.2 mA/m !</x:v>
      </x:c>
      <x:c r="AH87" s="58" t="n">
        <x:v>0.9535375671635007</x:v>
      </x:c>
      <x:c r="AI87" s="56" t="n">
        <x:f>--(AH87&gt;=0.5)</x:f>
        <x:v>1</x:v>
      </x:c>
      <x:c r="AJ87" s="56" t="n">
        <x:f>--(AI87=O87)</x:f>
        <x:v>1</x:v>
      </x:c>
      <x:c r="AK87" s="58" t="n">
        <x:v>0.9535375671635007</x:v>
      </x:c>
      <x:c r="AL87" s="56" t="n">
        <x:f>--(AK87&gt;=0.5)</x:f>
        <x:v>1</x:v>
      </x:c>
      <x:c r="AM87" s="56" t="n">
        <x:f>--(AL87=O87)</x:f>
        <x:v>1</x:v>
      </x:c>
    </x:row>
    <x:row r="88" ht="32" customHeight="1">
      <x:c r="A88" s="56" t="str">
        <x:v>3064</x:v>
      </x:c>
      <x:c r="B88" s="56" t="str">
        <x:v>8044</x:v>
      </x:c>
      <x:c r="C88" s="56" t="str">
        <x:v>6479</x:v>
      </x:c>
      <x:c r="D88" s="56" t="str">
        <x:v>Member II, Jidula Formation</x:v>
      </x:c>
      <x:c r="E88" s="56" t="str">
        <x:v>28.299999</x:v>
      </x:c>
      <x:c r="F88" s="56" t="str">
        <x:v>88.5</x:v>
      </x:c>
      <x:c r="G88" s="56" t="str"/>
      <x:c r="H88" s="56" t="str">
        <x:v>177.10001</x:v>
      </x:c>
      <x:c r="I88" s="56" t="str">
        <x:v>-12.9</x:v>
      </x:c>
      <x:c r="J88" s="56" t="str">
        <x:v>68.099998</x:v>
      </x:c>
      <x:c r="K88" s="56" t="str">
        <x:v>276.20001</x:v>
      </x:c>
      <x:c r="L88" s="56" t="str">
        <x:v>D</x:v>
      </x:c>
      <x:c r="M88" s="59" t="str">
        <x:v>IRM(sat.0.2T)</x:v>
      </x:c>
      <x:c r="N88" s="56" t="n">
        <x:f>--(LEN(M88)&gt;0)</x:f>
        <x:v>1</x:v>
      </x:c>
      <x:c r="O88" s="56" t="n">
        <x:v>1</x:v>
      </x:c>
      <x:c r="P88" s="56" t="n">
        <x:f>--(N88=O88)</x:f>
        <x:v>1</x:v>
      </x:c>
      <x:c r="Q88" s="56" t="str">
        <x:v>ABSENT</x:v>
      </x:c>
      <x:c r="R88" s="59" t="str"/>
      <x:c r="S88" s="59" t="str"/>
      <x:c r="T88" s="56" t="n">
        <x:f>--(Q88="PRESENT")</x:f>
        <x:v>0</x:v>
      </x:c>
      <x:c r="U88" s="56" t="n">
        <x:f>--(T88=N88)</x:f>
        <x:v>0</x:v>
      </x:c>
      <x:c r="V88" s="56" t="n">
        <x:f>--(T88=O88)</x:f>
        <x:v>0</x:v>
      </x:c>
      <x:c r="W88" s="56" t="n">
        <x:f>--(OR(Q88="PRESENT",Q88="ABSENT"))</x:f>
        <x:v>1</x:v>
      </x:c>
      <x:c r="X88" s="56" t="str">
        <x:v>MEDIUM</x:v>
      </x:c>
      <x:c r="Y88" s="56" t="str">
        <x:v>METADATA_UNIQUE</x:v>
      </x:c>
      <x:c r="Z88" s="57" t="b">
        <x:v>1</x:v>
      </x:c>
      <x:c r="AA88" s="57" t="b">
        <x:v>1</x:v>
      </x:c>
      <x:c r="AB88" s="56" t="n">
        <x:v>0</x:v>
      </x:c>
      <x:c r="AC88" s="56" t="str"/>
      <x:c r="AD88" s="56" t="str"/>
      <x:c r="AE88" s="56" t="str"/>
      <x:c r="AF88" s="56" t="str"/>
      <x:c r="AG88" s="59" t="str"/>
      <x:c r="AH88" s="58" t="n">
        <x:v>0.7926693812927805</x:v>
      </x:c>
      <x:c r="AI88" s="56" t="n">
        <x:f>--(AH88&gt;=0.5)</x:f>
        <x:v>1</x:v>
      </x:c>
      <x:c r="AJ88" s="56" t="n">
        <x:f>--(AI88=O88)</x:f>
        <x:v>1</x:v>
      </x:c>
      <x:c r="AK88" s="58" t="n">
        <x:v>0.7926693812927805</x:v>
      </x:c>
      <x:c r="AL88" s="56" t="n">
        <x:f>--(AK88&gt;=0.5)</x:f>
        <x:v>1</x:v>
      </x:c>
      <x:c r="AM88" s="56" t="n">
        <x:f>--(AL88=O88)</x:f>
        <x:v>1</x:v>
      </x:c>
    </x:row>
    <x:row r="89" ht="32" customHeight="1">
      <x:c r="A89" s="56" t="str">
        <x:v>3064</x:v>
      </x:c>
      <x:c r="B89" s="56" t="str">
        <x:v>8045</x:v>
      </x:c>
      <x:c r="C89" s="56" t="str">
        <x:v>6480</x:v>
      </x:c>
      <x:c r="D89" s="56" t="str">
        <x:v>Member III, Gamba Formation</x:v>
      </x:c>
      <x:c r="E89" s="56" t="str">
        <x:v>28.299999</x:v>
      </x:c>
      <x:c r="F89" s="56" t="str">
        <x:v>88.5</x:v>
      </x:c>
      <x:c r="G89" s="56" t="str"/>
      <x:c r="H89" s="56" t="str">
        <x:v>3.2</x:v>
      </x:c>
      <x:c r="I89" s="56" t="str">
        <x:v>18.6</x:v>
      </x:c>
      <x:c r="J89" s="56" t="str">
        <x:v>71</x:v>
      </x:c>
      <x:c r="K89" s="56" t="str">
        <x:v>258.79999</x:v>
      </x:c>
      <x:c r="L89" s="56" t="str">
        <x:v>D</x:v>
      </x:c>
      <x:c r="M89" s="59" t="str"/>
      <x:c r="N89" s="56" t="n">
        <x:f>--(LEN(M89)&gt;0)</x:f>
        <x:v>0</x:v>
      </x:c>
      <x:c r="O89" s="56" t="n">
        <x:v>0</x:v>
      </x:c>
      <x:c r="P89" s="56" t="n">
        <x:f>--(N89=O89)</x:f>
        <x:v>1</x:v>
      </x:c>
      <x:c r="Q89" s="56" t="str">
        <x:v>ABSTAIN_INSUFFICIENT</x:v>
      </x:c>
      <x:c r="R89" s="59" t="str"/>
      <x:c r="S89" s="59" t="str"/>
      <x:c r="T89" s="56" t="n">
        <x:f>--(Q89="PRESENT")</x:f>
        <x:v>0</x:v>
      </x:c>
      <x:c r="U89" s="56" t="n">
        <x:f>--(T89=N89)</x:f>
        <x:v>1</x:v>
      </x:c>
      <x:c r="V89" s="56" t="n">
        <x:f>--(T89=O89)</x:f>
        <x:v>1</x:v>
      </x:c>
      <x:c r="W89" s="56" t="n">
        <x:f>--(OR(Q89="PRESENT",Q89="ABSENT"))</x:f>
        <x:v>0</x:v>
      </x:c>
      <x:c r="X89" s="56" t="str">
        <x:v>LOW</x:v>
      </x:c>
      <x:c r="Y89" s="56" t="str">
        <x:v>METADATA_UNIQUE</x:v>
      </x:c>
      <x:c r="Z89" s="57" t="b">
        <x:v>1</x:v>
      </x:c>
      <x:c r="AA89" s="57" t="b">
        <x:v>1</x:v>
      </x:c>
      <x:c r="AB89" s="56" t="n">
        <x:v>0</x:v>
      </x:c>
      <x:c r="AC89" s="56" t="str"/>
      <x:c r="AD89" s="56" t="str"/>
      <x:c r="AE89" s="56" t="str"/>
      <x:c r="AF89" s="56" t="str"/>
      <x:c r="AG89" s="59" t="str"/>
      <x:c r="AH89" s="58" t="n">
        <x:v>0.9034385898798678</x:v>
      </x:c>
      <x:c r="AI89" s="56" t="n">
        <x:f>--(AH89&gt;=0.5)</x:f>
        <x:v>1</x:v>
      </x:c>
      <x:c r="AJ89" s="56" t="n">
        <x:f>--(AI89=O89)</x:f>
        <x:v>0</x:v>
      </x:c>
      <x:c r="AK89" s="58" t="n">
        <x:v>0.9034385898798678</x:v>
      </x:c>
      <x:c r="AL89" s="56" t="n">
        <x:f>--(AK89&gt;=0.5)</x:f>
        <x:v>1</x:v>
      </x:c>
      <x:c r="AM89" s="56" t="n">
        <x:f>--(AL89=O89)</x:f>
        <x:v>0</x:v>
      </x:c>
    </x:row>
    <x:row r="90" ht="32" customHeight="1">
      <x:c r="A90" s="56" t="str">
        <x:v>3064</x:v>
      </x:c>
      <x:c r="B90" s="56" t="str">
        <x:v>8046</x:v>
      </x:c>
      <x:c r="C90" s="56" t="str">
        <x:v>6481</x:v>
      </x:c>
      <x:c r="D90" s="56" t="str">
        <x:v>Zongpu Formation</x:v>
      </x:c>
      <x:c r="E90" s="56" t="str">
        <x:v>28.299999</x:v>
      </x:c>
      <x:c r="F90" s="56" t="str">
        <x:v>88.5</x:v>
      </x:c>
      <x:c r="G90" s="56" t="str"/>
      <x:c r="H90" s="56" t="str">
        <x:v>176.2</x:v>
      </x:c>
      <x:c r="I90" s="56" t="str">
        <x:v>-7.9000001</x:v>
      </x:c>
      <x:c r="J90" s="56" t="str">
        <x:v>65.400002</x:v>
      </x:c>
      <x:c r="K90" s="56" t="str">
        <x:v>277.60001</x:v>
      </x:c>
      <x:c r="L90" s="56" t="str">
        <x:v>D</x:v>
      </x:c>
      <x:c r="M90" s="59" t="str">
        <x:v>IRM(sat.0.3T and no sat.1.5T)</x:v>
      </x:c>
      <x:c r="N90" s="56" t="n">
        <x:f>--(LEN(M90)&gt;0)</x:f>
        <x:v>1</x:v>
      </x:c>
      <x:c r="O90" s="56" t="n">
        <x:v>1</x:v>
      </x:c>
      <x:c r="P90" s="56" t="n">
        <x:f>--(N90=O90)</x:f>
        <x:v>1</x:v>
      </x:c>
      <x:c r="Q90" s="56" t="str">
        <x:v>PRESENT</x:v>
      </x:c>
      <x:c r="R90" s="59" t="str">
        <x:v>IRM(HEM,MAGN)</x:v>
      </x:c>
      <x:c r="S90" s="59" t="str">
        <x:v>IRM(HEM,MAGN)</x:v>
      </x:c>
      <x:c r="T90" s="56" t="n">
        <x:f>--(Q90="PRESENT")</x:f>
        <x:v>1</x:v>
      </x:c>
      <x:c r="U90" s="56" t="n">
        <x:f>--(T90=N90)</x:f>
        <x:v>1</x:v>
      </x:c>
      <x:c r="V90" s="56" t="n">
        <x:f>--(T90=O90)</x:f>
        <x:v>1</x:v>
      </x:c>
      <x:c r="W90" s="56" t="n">
        <x:f>--(OR(Q90="PRESENT",Q90="ABSENT"))</x:f>
        <x:v>1</x:v>
      </x:c>
      <x:c r="X90" s="56" t="str">
        <x:v>MEDIUM</x:v>
      </x:c>
      <x:c r="Y90" s="56" t="str">
        <x:v>METADATA_UNIQUE</x:v>
      </x:c>
      <x:c r="Z90" s="57" t="b">
        <x:v>1</x:v>
      </x:c>
      <x:c r="AA90" s="57" t="b">
        <x:v>1</x:v>
      </x:c>
      <x:c r="AB90" s="56" t="n">
        <x:v>0</x:v>
      </x:c>
      <x:c r="AC90" s="56" t="str">
        <x:v>IRM</x:v>
      </x:c>
      <x:c r="AD90" s="56" t="str">
        <x:v>HEM,MAGN</x:v>
      </x:c>
      <x:c r="AE90" s="56" t="str">
        <x:v>PSD,SD</x:v>
      </x:c>
      <x:c r="AF90" s="56" t="str">
        <x:v>13</x:v>
      </x:c>
      <x:c r="AG90" s="59" t="str">
        <x:v>p.13: IRM | p.13: hematite | p.13: magnetite</x:v>
      </x:c>
      <x:c r="AH90" s="58" t="n">
        <x:v>0.8427938454037183</x:v>
      </x:c>
      <x:c r="AI90" s="56" t="n">
        <x:f>--(AH90&gt;=0.5)</x:f>
        <x:v>1</x:v>
      </x:c>
      <x:c r="AJ90" s="56" t="n">
        <x:f>--(AI90=O90)</x:f>
        <x:v>1</x:v>
      </x:c>
      <x:c r="AK90" s="58" t="n">
        <x:v>0.8427938454037183</x:v>
      </x:c>
      <x:c r="AL90" s="56" t="n">
        <x:f>--(AK90&gt;=0.5)</x:f>
        <x:v>1</x:v>
      </x:c>
      <x:c r="AM90" s="56" t="n">
        <x:f>--(AL90=O90)</x:f>
        <x:v>1</x:v>
      </x:c>
    </x:row>
    <x:row r="91" ht="32" customHeight="1">
      <x:c r="A91" s="56" t="str">
        <x:v>3098</x:v>
      </x:c>
      <x:c r="B91" s="56" t="str">
        <x:v>8112</x:v>
      </x:c>
      <x:c r="C91" s="56" t="str">
        <x:v>6537</x:v>
      </x:c>
      <x:c r="D91" s="56" t="str">
        <x:v>Gabon Metamorphics</x:v>
      </x:c>
      <x:c r="E91" s="56" t="str">
        <x:v>-0.5</x:v>
      </x:c>
      <x:c r="F91" s="56" t="str">
        <x:v>12</x:v>
      </x:c>
      <x:c r="G91" s="56" t="str"/>
      <x:c r="H91" s="56" t="str">
        <x:v>54</x:v>
      </x:c>
      <x:c r="I91" s="56" t="str">
        <x:v>68.599998</x:v>
      </x:c>
      <x:c r="J91" s="56" t="str">
        <x:v>19</x:v>
      </x:c>
      <x:c r="K91" s="56" t="str">
        <x:v>44.299999</x:v>
      </x:c>
      <x:c r="L91" s="56" t="str">
        <x:v>V</x:v>
      </x:c>
      <x:c r="M91" s="59" t="str"/>
      <x:c r="N91" s="56" t="n">
        <x:f>--(LEN(M91)&gt;0)</x:f>
        <x:v>0</x:v>
      </x:c>
      <x:c r="O91" s="56" t="n">
        <x:v>0</x:v>
      </x:c>
      <x:c r="P91" s="56" t="n">
        <x:f>--(N91=O91)</x:f>
        <x:v>1</x:v>
      </x:c>
      <x:c r="Q91" s="56" t="str">
        <x:v>ABSENT</x:v>
      </x:c>
      <x:c r="R91" s="59" t="str"/>
      <x:c r="S91" s="59" t="str"/>
      <x:c r="T91" s="56" t="n">
        <x:f>--(Q91="PRESENT")</x:f>
        <x:v>0</x:v>
      </x:c>
      <x:c r="U91" s="56" t="n">
        <x:f>--(T91=N91)</x:f>
        <x:v>1</x:v>
      </x:c>
      <x:c r="V91" s="56" t="n">
        <x:f>--(T91=O91)</x:f>
        <x:v>1</x:v>
      </x:c>
      <x:c r="W91" s="56" t="n">
        <x:f>--(OR(Q91="PRESENT",Q91="ABSENT"))</x:f>
        <x:v>1</x:v>
      </x:c>
      <x:c r="X91" s="56" t="str">
        <x:v>MEDIUM</x:v>
      </x:c>
      <x:c r="Y91" s="56" t="str">
        <x:v>PAPER_ROW_MATCH</x:v>
      </x:c>
      <x:c r="Z91" s="57" t="b">
        <x:v>1</x:v>
      </x:c>
      <x:c r="AA91" s="57" t="b">
        <x:v>1</x:v>
      </x:c>
      <x:c r="AB91" s="56" t="n">
        <x:v>0</x:v>
      </x:c>
      <x:c r="AC91" s="56" t="str"/>
      <x:c r="AD91" s="56" t="str"/>
      <x:c r="AE91" s="56" t="str"/>
      <x:c r="AF91" s="56" t="str">
        <x:v>1</x:v>
      </x:c>
      <x:c r="AG91" s="59" t="str">
        <x:v>p.1: ns orient&amp; (25 sites) sont pr6sent6s. Es concement les ensembles lithologiques suivant~ amphibolites de la Srie de 1’Ogooue (27), amphibolites et granulites d’&amp;ge ar- ch&amp;n du complexe cristallin (14) et do&amp;rites provenant de dykes Precambrien (34). L’aimantation de la majorite des amphibohtes montrent des directions instables lors du traitement des champs alternatifs et thermiques, et au- tune direction d’aimantation n’a pu @tre definie. Cependant, une direction caract6ristique pour quelques sit | p.1: April 1995: revised version received 25 August 1995) Abstract - Palaeomagnetlc results for 75 orientated hand samples (25 sampling sites) from the Ggooue series amphibolites (Z’), Archean basement amphibolites and gramdites (14) and Precambrian dolerite dykes (34) are presented. Magnelization of many amphibolites showed unstable directions during alternating field (AF) and thermal demagnetization experimenk and no directions of magnetization could be isolated. However, a character- istic directi | p.1: t~ amphibolites de la Srie de 1’Ogooue (27), amphibolites et granulites d’&amp;ge ar- ch&amp;n du complexe cristallin (14) et do&amp;rites provenant de dykes Precambrien (34). L’aimantation de la majorite des amphibohtes montrent des directions instables lors du traitement des champs alternatifs et thermiques, et au- tune direction d’aimantation n’a pu @tre definie. Cependant, une direction caract6ristique pour quelques sites d’amphibolites et :pour l’ensemble des granulites a pu etre mise en evidence. Conc</x:v>
      </x:c>
      <x:c r="AH91" s="58" t="n">
        <x:v>0.4151470612563478</x:v>
      </x:c>
      <x:c r="AI91" s="56" t="n">
        <x:f>--(AH91&gt;=0.5)</x:f>
        <x:v>0</x:v>
      </x:c>
      <x:c r="AJ91" s="56" t="n">
        <x:f>--(AI91=O91)</x:f>
        <x:v>1</x:v>
      </x:c>
      <x:c r="AK91" s="58" t="n">
        <x:v>0.41514706125634776</x:v>
      </x:c>
      <x:c r="AL91" s="56" t="n">
        <x:f>--(AK91&gt;=0.5)</x:f>
        <x:v>0</x:v>
      </x:c>
      <x:c r="AM91" s="56" t="n">
        <x:f>--(AL91=O91)</x:f>
        <x:v>1</x:v>
      </x:c>
    </x:row>
    <x:row r="92" ht="32" customHeight="1">
      <x:c r="A92" s="56" t="str">
        <x:v>3098</x:v>
      </x:c>
      <x:c r="B92" s="56" t="str">
        <x:v>8113</x:v>
      </x:c>
      <x:c r="C92" s="56" t="str">
        <x:v>6538</x:v>
      </x:c>
      <x:c r="D92" s="56" t="str">
        <x:v>Gabon Dykes</x:v>
      </x:c>
      <x:c r="E92" s="56" t="str">
        <x:v>-1.5</x:v>
      </x:c>
      <x:c r="F92" s="56" t="str">
        <x:v>12</x:v>
      </x:c>
      <x:c r="G92" s="56" t="str"/>
      <x:c r="H92" s="56" t="str">
        <x:v>262</x:v>
      </x:c>
      <x:c r="I92" s="56" t="str">
        <x:v>-49</x:v>
      </x:c>
      <x:c r="J92" s="56" t="str">
        <x:v>8</x:v>
      </x:c>
      <x:c r="K92" s="56" t="str">
        <x:v>72</x:v>
      </x:c>
      <x:c r="L92" s="56" t="str">
        <x:v>V</x:v>
      </x:c>
      <x:c r="M92" s="59" t="str">
        <x:v>Js-T(CT 544,582C)</x:v>
      </x:c>
      <x:c r="N92" s="56" t="n">
        <x:f>--(LEN(M92)&gt;0)</x:f>
        <x:v>1</x:v>
      </x:c>
      <x:c r="O92" s="56" t="n">
        <x:v>1</x:v>
      </x:c>
      <x:c r="P92" s="56" t="n">
        <x:f>--(N92=O92)</x:f>
        <x:v>1</x:v>
      </x:c>
      <x:c r="Q92" s="56" t="str">
        <x:v>ABSTAIN_INSUFFICIENT</x:v>
      </x:c>
      <x:c r="R92" s="59" t="str"/>
      <x:c r="S92" s="59" t="str"/>
      <x:c r="T92" s="56" t="n">
        <x:f>--(Q92="PRESENT")</x:f>
        <x:v>0</x:v>
      </x:c>
      <x:c r="U92" s="56" t="n">
        <x:f>--(T92=N92)</x:f>
        <x:v>0</x:v>
      </x:c>
      <x:c r="V92" s="56" t="n">
        <x:f>--(T92=O92)</x:f>
        <x:v>0</x:v>
      </x:c>
      <x:c r="W92" s="56" t="n">
        <x:f>--(OR(Q92="PRESENT",Q92="ABSENT"))</x:f>
        <x:v>0</x:v>
      </x:c>
      <x:c r="X92" s="56" t="str">
        <x:v>LOW</x:v>
      </x:c>
      <x:c r="Y92" s="56" t="str">
        <x:v>PAPER_ROW_MATCH</x:v>
      </x:c>
      <x:c r="Z92" s="57" t="b">
        <x:v>1</x:v>
      </x:c>
      <x:c r="AA92" s="57" t="b">
        <x:v>1</x:v>
      </x:c>
      <x:c r="AB92" s="56" t="n">
        <x:v>0</x:v>
      </x:c>
      <x:c r="AC92" s="56" t="str"/>
      <x:c r="AD92" s="56" t="str"/>
      <x:c r="AE92" s="56" t="str"/>
      <x:c r="AF92" s="56" t="str">
        <x:v>1, 12</x:v>
      </x:c>
      <x:c r="AG92" s="59" t="str">
        <x:v>p.1: quelques sites d’amphibolites et :pour l’ensemble des granulites a pu etre mise en evidence. Concernant le groupe de directions moyermes compose de deux sites de gram&amp;es et de deux sites d’amphibolites, Dm=54’; Im=69” (r=27, aB=18”, N=4), nous avons calcule un pole paleomagn&amp;ique locali&amp; en 44OE; 19”N (K=lO; Ass=30’). Ce pole est pro&amp;e de celui d&amp;ermi&amp; pour le complexe Jequie (caton de 5&amp;o Francisco) dati a 2,O Ga par la methode Qr/sr’Ar. Pour ces deux zones, cela suggere l’appartenance a la mem | p.1: de directions moyermes compose de deux sites de gram&amp;es et de deux sites d’amphibolites, Dm=54’; Im=69” (r=27, aB=18”, N=4), nous avons calcule un pole paleomagn&amp;ique locali&amp; en 44OE; 19”N (K=lO; Ass=30’). Ce pole est pro&amp;e de celui d&amp;ermi&amp; pour le complexe Jequie (caton de 5&amp;o Francisco) dati a 2,O Ga par la methode Qr/sr’Ar. Pour ces deux zones, cela suggere l’appartenance a la meme unit6 tectonique a cette periode. Les dykes de dolerite non- m&amp;amorphiques (5) indiquent des directions multiple | p.12: able directions could be obtained for other two sites yielded VGPs [S!5 (basement amphi- the five unmetamorphosed dolerite dykes, multi- bolites) and S16 (metamorphosed dyke)] which were components were present in most samples, as could close to the Uaud pole. be observed in the examples presented before. How- The post-erogenic uplift and slow cooling of the ever, only one of these components was carried by Eburnean cycle may perhaps be responsible for the samples from four dykes (sites S21, S22</x:v>
      </x:c>
      <x:c r="AH92" s="58" t="n">
        <x:v>0.4379828079708018</x:v>
      </x:c>
      <x:c r="AI92" s="56" t="n">
        <x:f>--(AH92&gt;=0.5)</x:f>
        <x:v>0</x:v>
      </x:c>
      <x:c r="AJ92" s="56" t="n">
        <x:f>--(AI92=O92)</x:f>
        <x:v>0</x:v>
      </x:c>
      <x:c r="AK92" s="58" t="n">
        <x:v>0.4379828079708018</x:v>
      </x:c>
      <x:c r="AL92" s="56" t="n">
        <x:f>--(AK92&gt;=0.5)</x:f>
        <x:v>0</x:v>
      </x:c>
      <x:c r="AM92" s="56" t="n">
        <x:f>--(AL92=O92)</x:f>
        <x:v>0</x:v>
      </x:c>
    </x:row>
    <x:row r="93" ht="32" customHeight="1">
      <x:c r="A93" s="56" t="str">
        <x:v>3110</x:v>
      </x:c>
      <x:c r="B93" s="56" t="str">
        <x:v>8130</x:v>
      </x:c>
      <x:c r="C93" s="56" t="str">
        <x:v>6552</x:v>
      </x:c>
      <x:c r="D93" s="56" t="str">
        <x:v>Quebrada Honda-Rio Rosario Sediments</x:v>
      </x:c>
      <x:c r="E93" s="56" t="str">
        <x:v>-21.9</x:v>
      </x:c>
      <x:c r="F93" s="56" t="str">
        <x:v>-65.400002</x:v>
      </x:c>
      <x:c r="G93" s="56" t="str"/>
      <x:c r="H93" s="56" t="str">
        <x:v>17.799999</x:v>
      </x:c>
      <x:c r="I93" s="56" t="str">
        <x:v>-40.700001</x:v>
      </x:c>
      <x:c r="J93" s="56" t="str">
        <x:v>73.5</x:v>
      </x:c>
      <x:c r="K93" s="56" t="str">
        <x:v>32.799999</x:v>
      </x:c>
      <x:c r="L93" s="56" t="str">
        <x:v>D</x:v>
      </x:c>
      <x:c r="M93" s="59" t="str">
        <x:v>IRM(sat.1.0T or no sat.3.5T)</x:v>
      </x:c>
      <x:c r="N93" s="56" t="n">
        <x:f>--(LEN(M93)&gt;0)</x:f>
        <x:v>1</x:v>
      </x:c>
      <x:c r="O93" s="56" t="n">
        <x:v>1</x:v>
      </x:c>
      <x:c r="P93" s="56" t="n">
        <x:f>--(N93=O93)</x:f>
        <x:v>1</x:v>
      </x:c>
      <x:c r="Q93" s="56" t="str">
        <x:v>PRESENT</x:v>
      </x:c>
      <x:c r="R93" s="59" t="str">
        <x:v>IRM</x:v>
      </x:c>
      <x:c r="S93" s="59" t="str">
        <x:v>IRM</x:v>
      </x:c>
      <x:c r="T93" s="56" t="n">
        <x:f>--(Q93="PRESENT")</x:f>
        <x:v>1</x:v>
      </x:c>
      <x:c r="U93" s="56" t="n">
        <x:f>--(T93=N93)</x:f>
        <x:v>1</x:v>
      </x:c>
      <x:c r="V93" s="56" t="n">
        <x:f>--(T93=O93)</x:f>
        <x:v>1</x:v>
      </x:c>
      <x:c r="W93" s="56" t="n">
        <x:f>--(OR(Q93="PRESENT",Q93="ABSENT"))</x:f>
        <x:v>1</x:v>
      </x:c>
      <x:c r="X93" s="56" t="str">
        <x:v>MEDIUM</x:v>
      </x:c>
      <x:c r="Y93" s="56" t="str">
        <x:v>METADATA_UNIQUE</x:v>
      </x:c>
      <x:c r="Z93" s="57" t="b">
        <x:v>1</x:v>
      </x:c>
      <x:c r="AA93" s="57" t="b">
        <x:v>1</x:v>
      </x:c>
      <x:c r="AB93" s="56" t="n">
        <x:v>0</x:v>
      </x:c>
      <x:c r="AC93" s="56" t="str">
        <x:v>IRM</x:v>
      </x:c>
      <x:c r="AD93" s="56" t="str"/>
      <x:c r="AE93" s="56" t="str"/>
      <x:c r="AF93" s="56" t="str">
        <x:v>3</x:v>
      </x:c>
      <x:c r="AG93" s="59" t="str">
        <x:v>p.3: IRM | p.3: coercivity | p.3: coercivity spectrum</x:v>
      </x:c>
      <x:c r="AH93" s="58" t="n">
        <x:v>0.7272429118468894</x:v>
      </x:c>
      <x:c r="AI93" s="56" t="n">
        <x:f>--(AH93&gt;=0.5)</x:f>
        <x:v>1</x:v>
      </x:c>
      <x:c r="AJ93" s="56" t="n">
        <x:f>--(AI93=O93)</x:f>
        <x:v>1</x:v>
      </x:c>
      <x:c r="AK93" s="58" t="n">
        <x:v>0.7272429118468894</x:v>
      </x:c>
      <x:c r="AL93" s="56" t="n">
        <x:f>--(AK93&gt;=0.5)</x:f>
        <x:v>1</x:v>
      </x:c>
      <x:c r="AM93" s="56" t="n">
        <x:f>--(AL93=O93)</x:f>
        <x:v>1</x:v>
      </x:c>
    </x:row>
    <x:row r="94" ht="32" customHeight="1">
      <x:c r="A94" s="56" t="str">
        <x:v>3110</x:v>
      </x:c>
      <x:c r="B94" s="56" t="str">
        <x:v>8131</x:v>
      </x:c>
      <x:c r="C94" s="56" t="str">
        <x:v>6553</x:v>
      </x:c>
      <x:c r="D94" s="56" t="str">
        <x:v>Micana Sediments</x:v>
      </x:c>
      <x:c r="E94" s="56" t="str">
        <x:v>-17.5</x:v>
      </x:c>
      <x:c r="F94" s="56" t="str">
        <x:v>-67.400002</x:v>
      </x:c>
      <x:c r="G94" s="56" t="str"/>
      <x:c r="H94" s="56" t="str">
        <x:v>355.29999</x:v>
      </x:c>
      <x:c r="I94" s="56" t="str">
        <x:v>-25.799999</x:v>
      </x:c>
      <x:c r="J94" s="56" t="str">
        <x:v>83.900002</x:v>
      </x:c>
      <x:c r="K94" s="56" t="str">
        <x:v>242.2</x:v>
      </x:c>
      <x:c r="L94" s="56" t="str">
        <x:v>D</x:v>
      </x:c>
      <x:c r="M94" s="59" t="str"/>
      <x:c r="N94" s="56" t="n">
        <x:f>--(LEN(M94)&gt;0)</x:f>
        <x:v>0</x:v>
      </x:c>
      <x:c r="O94" s="56" t="n">
        <x:v>0</x:v>
      </x:c>
      <x:c r="P94" s="56" t="n">
        <x:f>--(N94=O94)</x:f>
        <x:v>1</x:v>
      </x:c>
      <x:c r="Q94" s="56" t="str">
        <x:v>PRESENT</x:v>
      </x:c>
      <x:c r="R94" s="59" t="str">
        <x:v>IRM</x:v>
      </x:c>
      <x:c r="S94" s="59" t="str">
        <x:v>IRM</x:v>
      </x:c>
      <x:c r="T94" s="56" t="n">
        <x:f>--(Q94="PRESENT")</x:f>
        <x:v>1</x:v>
      </x:c>
      <x:c r="U94" s="56" t="n">
        <x:f>--(T94=N94)</x:f>
        <x:v>0</x:v>
      </x:c>
      <x:c r="V94" s="56" t="n">
        <x:f>--(T94=O94)</x:f>
        <x:v>0</x:v>
      </x:c>
      <x:c r="W94" s="56" t="n">
        <x:f>--(OR(Q94="PRESENT",Q94="ABSENT"))</x:f>
        <x:v>1</x:v>
      </x:c>
      <x:c r="X94" s="56" t="str">
        <x:v>MEDIUM</x:v>
      </x:c>
      <x:c r="Y94" s="56" t="str">
        <x:v>METADATA_UNIQUE</x:v>
      </x:c>
      <x:c r="Z94" s="57" t="b">
        <x:v>1</x:v>
      </x:c>
      <x:c r="AA94" s="57" t="b">
        <x:v>1</x:v>
      </x:c>
      <x:c r="AB94" s="56" t="n">
        <x:v>0</x:v>
      </x:c>
      <x:c r="AC94" s="56" t="str">
        <x:v>IRM</x:v>
      </x:c>
      <x:c r="AD94" s="56" t="str"/>
      <x:c r="AE94" s="56" t="str"/>
      <x:c r="AF94" s="56" t="str">
        <x:v>10</x:v>
      </x:c>
      <x:c r="AG94" s="59" t="str">
        <x:v>p.10: IRM | p.10: no saturation in fields up to 3.5 T</x:v>
      </x:c>
      <x:c r="AH94" s="58" t="n">
        <x:v>0.5942201555389938</x:v>
      </x:c>
      <x:c r="AI94" s="56" t="n">
        <x:f>--(AH94&gt;=0.5)</x:f>
        <x:v>1</x:v>
      </x:c>
      <x:c r="AJ94" s="56" t="n">
        <x:f>--(AI94=O94)</x:f>
        <x:v>0</x:v>
      </x:c>
      <x:c r="AK94" s="58" t="n">
        <x:v>0.5942201555389938</x:v>
      </x:c>
      <x:c r="AL94" s="56" t="n">
        <x:f>--(AK94&gt;=0.5)</x:f>
        <x:v>1</x:v>
      </x:c>
      <x:c r="AM94" s="56" t="n">
        <x:f>--(AL94=O94)</x:f>
        <x:v>0</x:v>
      </x:c>
    </x:row>
    <x:row r="95" ht="32" customHeight="1">
      <x:c r="A95" s="56" t="str">
        <x:v>3110</x:v>
      </x:c>
      <x:c r="B95" s="56" t="str">
        <x:v>8132</x:v>
      </x:c>
      <x:c r="C95" s="56" t="str">
        <x:v>6554</x:v>
      </x:c>
      <x:c r="D95" s="56" t="str">
        <x:v>Salla Sediments</x:v>
      </x:c>
      <x:c r="E95" s="56" t="str">
        <x:v>-17.200001</x:v>
      </x:c>
      <x:c r="F95" s="56" t="str">
        <x:v>-67.599998</x:v>
      </x:c>
      <x:c r="G95" s="56" t="str"/>
      <x:c r="H95" s="56" t="str">
        <x:v>353.39999</x:v>
      </x:c>
      <x:c r="I95" s="56" t="str">
        <x:v>-37.400002</x:v>
      </x:c>
      <x:c r="J95" s="56" t="str">
        <x:v>82.699997</x:v>
      </x:c>
      <x:c r="K95" s="56" t="str">
        <x:v>178.5</x:v>
      </x:c>
      <x:c r="L95" s="56" t="str">
        <x:v>D</x:v>
      </x:c>
      <x:c r="M95" s="59" t="str"/>
      <x:c r="N95" s="56" t="n">
        <x:f>--(LEN(M95)&gt;0)</x:f>
        <x:v>0</x:v>
      </x:c>
      <x:c r="O95" s="56" t="n">
        <x:v>0</x:v>
      </x:c>
      <x:c r="P95" s="56" t="n">
        <x:f>--(N95=O95)</x:f>
        <x:v>1</x:v>
      </x:c>
      <x:c r="Q95" s="56" t="str">
        <x:v>PRESENT</x:v>
      </x:c>
      <x:c r="R95" s="59" t="str">
        <x:v>IRM</x:v>
      </x:c>
      <x:c r="S95" s="59" t="str">
        <x:v>IRM</x:v>
      </x:c>
      <x:c r="T95" s="56" t="n">
        <x:f>--(Q95="PRESENT")</x:f>
        <x:v>1</x:v>
      </x:c>
      <x:c r="U95" s="56" t="n">
        <x:f>--(T95=N95)</x:f>
        <x:v>0</x:v>
      </x:c>
      <x:c r="V95" s="56" t="n">
        <x:f>--(T95=O95)</x:f>
        <x:v>0</x:v>
      </x:c>
      <x:c r="W95" s="56" t="n">
        <x:f>--(OR(Q95="PRESENT",Q95="ABSENT"))</x:f>
        <x:v>1</x:v>
      </x:c>
      <x:c r="X95" s="56" t="str">
        <x:v>MEDIUM</x:v>
      </x:c>
      <x:c r="Y95" s="56" t="str">
        <x:v>METADATA_UNIQUE</x:v>
      </x:c>
      <x:c r="Z95" s="57" t="b">
        <x:v>1</x:v>
      </x:c>
      <x:c r="AA95" s="57" t="b">
        <x:v>1</x:v>
      </x:c>
      <x:c r="AB95" s="56" t="n">
        <x:v>0</x:v>
      </x:c>
      <x:c r="AC95" s="56" t="str">
        <x:v>IRM</x:v>
      </x:c>
      <x:c r="AD95" s="56" t="str"/>
      <x:c r="AE95" s="56" t="str"/>
      <x:c r="AF95" s="56" t="str">
        <x:v>3</x:v>
      </x:c>
      <x:c r="AG95" s="59" t="str">
        <x:v>p.3: IRM | p.3: coercivity | p.3: coercivity spectrum</x:v>
      </x:c>
      <x:c r="AH95" s="58" t="n">
        <x:v>0.7041433301097503</x:v>
      </x:c>
      <x:c r="AI95" s="56" t="n">
        <x:f>--(AH95&gt;=0.5)</x:f>
        <x:v>1</x:v>
      </x:c>
      <x:c r="AJ95" s="56" t="n">
        <x:f>--(AI95=O95)</x:f>
        <x:v>0</x:v>
      </x:c>
      <x:c r="AK95" s="58" t="n">
        <x:v>0.7041433301097503</x:v>
      </x:c>
      <x:c r="AL95" s="56" t="n">
        <x:f>--(AK95&gt;=0.5)</x:f>
        <x:v>1</x:v>
      </x:c>
      <x:c r="AM95" s="56" t="n">
        <x:f>--(AL95=O95)</x:f>
        <x:v>0</x:v>
      </x:c>
    </x:row>
    <x:row r="96" ht="32" customHeight="1">
      <x:c r="A96" s="56" t="str">
        <x:v>3132</x:v>
      </x:c>
      <x:c r="B96" s="56" t="str">
        <x:v>8166</x:v>
      </x:c>
      <x:c r="C96" s="56" t="str">
        <x:v>6581</x:v>
      </x:c>
      <x:c r="D96" s="56" t="str">
        <x:v>Orfento Formation</x:v>
      </x:c>
      <x:c r="E96" s="56" t="str">
        <x:v>42.200001</x:v>
      </x:c>
      <x:c r="F96" s="56" t="str">
        <x:v>14.1</x:v>
      </x:c>
      <x:c r="G96" s="56" t="str"/>
      <x:c r="H96" s="56" t="str">
        <x:v>343</x:v>
      </x:c>
      <x:c r="I96" s="56" t="str">
        <x:v>44</x:v>
      </x:c>
      <x:c r="J96" s="56" t="str">
        <x:v>68.400002</x:v>
      </x:c>
      <x:c r="K96" s="56" t="str">
        <x:v>239.89999</x:v>
      </x:c>
      <x:c r="L96" s="56" t="str">
        <x:v>D</x:v>
      </x:c>
      <x:c r="M96" s="59" t="str"/>
      <x:c r="N96" s="56" t="n">
        <x:f>--(LEN(M96)&gt;0)</x:f>
        <x:v>0</x:v>
      </x:c>
      <x:c r="O96" s="56" t="n">
        <x:v>0</x:v>
      </x:c>
      <x:c r="P96" s="56" t="n">
        <x:f>--(N96=O96)</x:f>
        <x:v>1</x:v>
      </x:c>
      <x:c r="Q96" s="56" t="str">
        <x:v>PRESENT</x:v>
      </x:c>
      <x:c r="R96" s="59" t="str">
        <x:v>IRM</x:v>
      </x:c>
      <x:c r="S96" s="59" t="str">
        <x:v>IRM</x:v>
      </x:c>
      <x:c r="T96" s="56" t="n">
        <x:f>--(Q96="PRESENT")</x:f>
        <x:v>1</x:v>
      </x:c>
      <x:c r="U96" s="56" t="n">
        <x:f>--(T96=N96)</x:f>
        <x:v>0</x:v>
      </x:c>
      <x:c r="V96" s="56" t="n">
        <x:f>--(T96=O96)</x:f>
        <x:v>0</x:v>
      </x:c>
      <x:c r="W96" s="56" t="n">
        <x:f>--(OR(Q96="PRESENT",Q96="ABSENT"))</x:f>
        <x:v>1</x:v>
      </x:c>
      <x:c r="X96" s="56" t="str">
        <x:v>MEDIUM</x:v>
      </x:c>
      <x:c r="Y96" s="56" t="str">
        <x:v>PAPER_ROW_MATCH</x:v>
      </x:c>
      <x:c r="Z96" s="57" t="b">
        <x:v>1</x:v>
      </x:c>
      <x:c r="AA96" s="57" t="b">
        <x:v>1</x:v>
      </x:c>
      <x:c r="AB96" s="56" t="n">
        <x:v>0</x:v>
      </x:c>
      <x:c r="AC96" s="56" t="str">
        <x:v>IRM</x:v>
      </x:c>
      <x:c r="AD96" s="56" t="str"/>
      <x:c r="AE96" s="56" t="str"/>
      <x:c r="AF96" s="56" t="str">
        <x:v>6, 8</x:v>
      </x:c>
      <x:c r="AG96" s="59" t="str">
        <x:v>p.8: IRM | p.8: coercivity | p.6: ite, showing ChRM after tilt correction with (al reversed polarity and (b) normal polarity, after removal of a normal component below 300°C. Numbers beside data points indicate temperature (in “Cl. Solid symbols = projections on the horizontal plane; open symbols = projections on the N-S vertical plane. in the Montagna della Maiella, based on limestones of early Cretaceous age, Jackson [25] concluded that the allochthonous Maiella complex had undergone a Table 1 Summary of ChRM directions (after</x:v>
      </x:c>
      <x:c r="AH96" s="58" t="n">
        <x:v>0.8196990679533318</x:v>
      </x:c>
      <x:c r="AI96" s="56" t="n">
        <x:f>--(AH96&gt;=0.5)</x:f>
        <x:v>1</x:v>
      </x:c>
      <x:c r="AJ96" s="56" t="n">
        <x:f>--(AI96=O96)</x:f>
        <x:v>0</x:v>
      </x:c>
      <x:c r="AK96" s="58" t="n">
        <x:v>0.8196990679533318</x:v>
      </x:c>
      <x:c r="AL96" s="56" t="n">
        <x:f>--(AK96&gt;=0.5)</x:f>
        <x:v>1</x:v>
      </x:c>
      <x:c r="AM96" s="56" t="n">
        <x:f>--(AL96=O96)</x:f>
        <x:v>0</x:v>
      </x:c>
    </x:row>
    <x:row r="97" ht="32" customHeight="1">
      <x:c r="A97" s="56" t="str">
        <x:v>3132</x:v>
      </x:c>
      <x:c r="B97" s="56" t="str">
        <x:v>8167</x:v>
      </x:c>
      <x:c r="C97" s="56" t="str">
        <x:v>6582</x:v>
      </x:c>
      <x:c r="D97" s="56" t="str">
        <x:v>Santo Spirito Formation</x:v>
      </x:c>
      <x:c r="E97" s="56" t="str">
        <x:v>42.200001</x:v>
      </x:c>
      <x:c r="F97" s="56" t="str">
        <x:v>14.1</x:v>
      </x:c>
      <x:c r="G97" s="56" t="str"/>
      <x:c r="H97" s="56" t="str">
        <x:v>32</x:v>
      </x:c>
      <x:c r="I97" s="56" t="str">
        <x:v>35</x:v>
      </x:c>
      <x:c r="J97" s="56" t="str">
        <x:v>54.599998</x:v>
      </x:c>
      <x:c r="K97" s="56" t="str">
        <x:v>134.5</x:v>
      </x:c>
      <x:c r="L97" s="56" t="str">
        <x:v>D</x:v>
      </x:c>
      <x:c r="M97" s="59" t="str"/>
      <x:c r="N97" s="56" t="n">
        <x:f>--(LEN(M97)&gt;0)</x:f>
        <x:v>0</x:v>
      </x:c>
      <x:c r="O97" s="56" t="n">
        <x:v>0</x:v>
      </x:c>
      <x:c r="P97" s="56" t="n">
        <x:f>--(N97=O97)</x:f>
        <x:v>1</x:v>
      </x:c>
      <x:c r="Q97" s="56" t="str">
        <x:v>ABSTAIN_INSUFFICIENT</x:v>
      </x:c>
      <x:c r="R97" s="59" t="str"/>
      <x:c r="S97" s="59" t="str"/>
      <x:c r="T97" s="56" t="n">
        <x:f>--(Q97="PRESENT")</x:f>
        <x:v>0</x:v>
      </x:c>
      <x:c r="U97" s="56" t="n">
        <x:f>--(T97=N97)</x:f>
        <x:v>1</x:v>
      </x:c>
      <x:c r="V97" s="56" t="n">
        <x:f>--(T97=O97)</x:f>
        <x:v>1</x:v>
      </x:c>
      <x:c r="W97" s="56" t="n">
        <x:f>--(OR(Q97="PRESENT",Q97="ABSENT"))</x:f>
        <x:v>0</x:v>
      </x:c>
      <x:c r="X97" s="56" t="str">
        <x:v>LOW</x:v>
      </x:c>
      <x:c r="Y97" s="56" t="str">
        <x:v>PAPER_ROW_MATCH</x:v>
      </x:c>
      <x:c r="Z97" s="57" t="b">
        <x:v>1</x:v>
      </x:c>
      <x:c r="AA97" s="57" t="b">
        <x:v>1</x:v>
      </x:c>
      <x:c r="AB97" s="56" t="n">
        <x:v>0</x:v>
      </x:c>
      <x:c r="AC97" s="56" t="str"/>
      <x:c r="AD97" s="56" t="str"/>
      <x:c r="AE97" s="56" t="str"/>
      <x:c r="AF97" s="56" t="str">
        <x:v>6</x:v>
      </x:c>
      <x:c r="AG97" s="59" t="str">
        <x:v>p.6: eversed polarity and (b) normal polarity, after removal of a normal component below 300°C. Numbers beside data points indicate temperature (in “Cl. Solid symbols = projections on the horizontal plane; open symbols = projections on the N-S vertical plane. in the Montagna della Maiella, based on limestones of early Cretaceous age, Jackson [25] concluded that the allochthonous Maiella complex had undergone a Table 1 Summary of ChRM directions (after simple corrections for bedding tilt) at the regio</x:v>
      </x:c>
      <x:c r="AH97" s="58" t="n">
        <x:v>0.7715312412082358</x:v>
      </x:c>
      <x:c r="AI97" s="56" t="n">
        <x:f>--(AH97&gt;=0.5)</x:f>
        <x:v>1</x:v>
      </x:c>
      <x:c r="AJ97" s="56" t="n">
        <x:f>--(AI97=O97)</x:f>
        <x:v>0</x:v>
      </x:c>
      <x:c r="AK97" s="58" t="n">
        <x:v>0.7715312412082358</x:v>
      </x:c>
      <x:c r="AL97" s="56" t="n">
        <x:f>--(AK97&gt;=0.5)</x:f>
        <x:v>1</x:v>
      </x:c>
      <x:c r="AM97" s="56" t="n">
        <x:f>--(AL97=O97)</x:f>
        <x:v>0</x:v>
      </x:c>
    </x:row>
    <x:row r="98" ht="32" customHeight="1">
      <x:c r="A98" s="56" t="str">
        <x:v>3132</x:v>
      </x:c>
      <x:c r="B98" s="56" t="str">
        <x:v>8168</x:v>
      </x:c>
      <x:c r="C98" s="56" t="str">
        <x:v>6583</x:v>
      </x:c>
      <x:c r="D98" s="56" t="str">
        <x:v>Pannepiedimonte Sequence</x:v>
      </x:c>
      <x:c r="E98" s="56" t="str">
        <x:v>42.200001</x:v>
      </x:c>
      <x:c r="F98" s="56" t="str">
        <x:v>14.2</x:v>
      </x:c>
      <x:c r="G98" s="56" t="str"/>
      <x:c r="H98" s="56" t="str">
        <x:v>358.60001</x:v>
      </x:c>
      <x:c r="I98" s="56" t="str">
        <x:v>36.200001</x:v>
      </x:c>
      <x:c r="J98" s="56" t="str">
        <x:v>67.900002</x:v>
      </x:c>
      <x:c r="K98" s="56" t="str">
        <x:v>197.7</x:v>
      </x:c>
      <x:c r="L98" s="56" t="str">
        <x:v>D</x:v>
      </x:c>
      <x:c r="M98" s="59" t="str">
        <x:v>IRM(sat. 0.2T)</x:v>
      </x:c>
      <x:c r="N98" s="56" t="n">
        <x:f>--(LEN(M98)&gt;0)</x:f>
        <x:v>1</x:v>
      </x:c>
      <x:c r="O98" s="56" t="n">
        <x:v>1</x:v>
      </x:c>
      <x:c r="P98" s="56" t="n">
        <x:f>--(N98=O98)</x:f>
        <x:v>1</x:v>
      </x:c>
      <x:c r="Q98" s="56" t="str">
        <x:v>ABSTAIN_ANCHOR</x:v>
      </x:c>
      <x:c r="R98" s="59" t="str"/>
      <x:c r="S98" s="59" t="str"/>
      <x:c r="T98" s="56" t="n">
        <x:f>--(Q98="PRESENT")</x:f>
        <x:v>0</x:v>
      </x:c>
      <x:c r="U98" s="56" t="n">
        <x:f>--(T98=N98)</x:f>
        <x:v>0</x:v>
      </x:c>
      <x:c r="V98" s="56" t="n">
        <x:f>--(T98=O98)</x:f>
        <x:v>0</x:v>
      </x:c>
      <x:c r="W98" s="56" t="n">
        <x:f>--(OR(Q98="PRESENT",Q98="ABSENT"))</x:f>
        <x:v>0</x:v>
      </x:c>
      <x:c r="X98" s="56" t="str">
        <x:v>LOW</x:v>
      </x:c>
      <x:c r="Y98" s="56" t="str">
        <x:v>METADATA_UNIQUE</x:v>
      </x:c>
      <x:c r="Z98" s="57" t="b">
        <x:v>1</x:v>
      </x:c>
      <x:c r="AA98" s="57" t="b">
        <x:v>1</x:v>
      </x:c>
      <x:c r="AB98" s="56" t="n">
        <x:v>0</x:v>
      </x:c>
      <x:c r="AC98" s="56" t="str"/>
      <x:c r="AD98" s="56" t="str"/>
      <x:c r="AE98" s="56" t="str"/>
      <x:c r="AF98" s="56" t="str"/>
      <x:c r="AG98" s="59" t="str"/>
      <x:c r="AH98" s="58" t="n">
        <x:v>0.8553187797869827</x:v>
      </x:c>
      <x:c r="AI98" s="56" t="n">
        <x:f>--(AH98&gt;=0.5)</x:f>
        <x:v>1</x:v>
      </x:c>
      <x:c r="AJ98" s="56" t="n">
        <x:f>--(AI98=O98)</x:f>
        <x:v>1</x:v>
      </x:c>
      <x:c r="AK98" s="58" t="n">
        <x:v>0.8553187797869828</x:v>
      </x:c>
      <x:c r="AL98" s="56" t="n">
        <x:f>--(AK98&gt;=0.5)</x:f>
        <x:v>1</x:v>
      </x:c>
      <x:c r="AM98" s="56" t="n">
        <x:f>--(AL98=O98)</x:f>
        <x:v>1</x:v>
      </x:c>
    </x:row>
    <x:row r="99" ht="32" customHeight="1">
      <x:c r="A99" s="56" t="str">
        <x:v>3162</x:v>
      </x:c>
      <x:c r="B99" s="56" t="str">
        <x:v>8215</x:v>
      </x:c>
      <x:c r="C99" s="56" t="str">
        <x:v>6619</x:v>
      </x:c>
      <x:c r="D99" s="56" t="str">
        <x:v>Heizaki Volcanics</x:v>
      </x:c>
      <x:c r="E99" s="56" t="str">
        <x:v>39.599998</x:v>
      </x:c>
      <x:c r="F99" s="56" t="str">
        <x:v>142</x:v>
      </x:c>
      <x:c r="G99" s="56" t="str"/>
      <x:c r="H99" s="56" t="str">
        <x:v>283.5</x:v>
      </x:c>
      <x:c r="I99" s="56" t="str">
        <x:v>9.3999996</x:v>
      </x:c>
      <x:c r="J99" s="56" t="str">
        <x:v>13.4</x:v>
      </x:c>
      <x:c r="K99" s="56" t="str">
        <x:v>47.400002</x:v>
      </x:c>
      <x:c r="L99" s="56" t="str">
        <x:v>V</x:v>
      </x:c>
      <x:c r="M99" s="59" t="str">
        <x:v>IRM(sat. 0.3T)</x:v>
      </x:c>
      <x:c r="N99" s="56" t="n">
        <x:f>--(LEN(M99)&gt;0)</x:f>
        <x:v>1</x:v>
      </x:c>
      <x:c r="O99" s="56" t="n">
        <x:v>1</x:v>
      </x:c>
      <x:c r="P99" s="56" t="n">
        <x:f>--(N99=O99)</x:f>
        <x:v>1</x:v>
      </x:c>
      <x:c r="Q99" s="56" t="str">
        <x:v>PRESENT</x:v>
      </x:c>
      <x:c r="R99" s="59" t="str">
        <x:v>IRM(MAGN,HEM)</x:v>
      </x:c>
      <x:c r="S99" s="59" t="str">
        <x:v>IRM(MAGN,HEM)</x:v>
      </x:c>
      <x:c r="T99" s="56" t="n">
        <x:f>--(Q99="PRESENT")</x:f>
        <x:v>1</x:v>
      </x:c>
      <x:c r="U99" s="56" t="n">
        <x:f>--(T99=N99)</x:f>
        <x:v>1</x:v>
      </x:c>
      <x:c r="V99" s="56" t="n">
        <x:f>--(T99=O99)</x:f>
        <x:v>1</x:v>
      </x:c>
      <x:c r="W99" s="56" t="n">
        <x:f>--(OR(Q99="PRESENT",Q99="ABSENT"))</x:f>
        <x:v>1</x:v>
      </x:c>
      <x:c r="X99" s="56" t="str">
        <x:v>MEDIUM</x:v>
      </x:c>
      <x:c r="Y99" s="56" t="str">
        <x:v>METADATA_UNIQUE</x:v>
      </x:c>
      <x:c r="Z99" s="57" t="b">
        <x:v>1</x:v>
      </x:c>
      <x:c r="AA99" s="57" t="b">
        <x:v>1</x:v>
      </x:c>
      <x:c r="AB99" s="56" t="n">
        <x:v>0</x:v>
      </x:c>
      <x:c r="AC99" s="56" t="str">
        <x:v>IRM</x:v>
      </x:c>
      <x:c r="AD99" s="56" t="str">
        <x:v>MAGN,HEM</x:v>
      </x:c>
      <x:c r="AE99" s="56" t="str"/>
      <x:c r="AF99" s="56" t="str">
        <x:v>5, 7, 8</x:v>
      </x:c>
      <x:c r="AG99" s="59" t="str">
        <x:v>p.7: All samples reach saturation IRM in 0.3 T in DC field. | p.7: Their three-component IRM demagnetization shows that the unblocking temperature of all coercivity components ranges between 580 8 and 630 8C, indicating that all samples are dominated by  .magnetite and hematite. | p.5: IRM</x:v>
      </x:c>
      <x:c r="AH99" s="58" t="n">
        <x:v>0.9045152977749457</x:v>
      </x:c>
      <x:c r="AI99" s="56" t="n">
        <x:f>--(AH99&gt;=0.5)</x:f>
        <x:v>1</x:v>
      </x:c>
      <x:c r="AJ99" s="56" t="n">
        <x:f>--(AI99=O99)</x:f>
        <x:v>1</x:v>
      </x:c>
      <x:c r="AK99" s="58" t="n">
        <x:v>0.9355050079873588</x:v>
      </x:c>
      <x:c r="AL99" s="56" t="n">
        <x:f>--(AK99&gt;=0.5)</x:f>
        <x:v>1</x:v>
      </x:c>
      <x:c r="AM99" s="56" t="n">
        <x:f>--(AL99=O99)</x:f>
        <x:v>1</x:v>
      </x:c>
    </x:row>
    <x:row r="100" ht="32" customHeight="1">
      <x:c r="A100" s="56" t="str">
        <x:v>3162</x:v>
      </x:c>
      <x:c r="B100" s="56" t="str">
        <x:v>8216</x:v>
      </x:c>
      <x:c r="C100" s="56" t="str">
        <x:v>6620</x:v>
      </x:c>
      <x:c r="D100" s="56" t="str">
        <x:v>Harachiyama Formation</x:v>
      </x:c>
      <x:c r="E100" s="56" t="str">
        <x:v>39.5</x:v>
      </x:c>
      <x:c r="F100" s="56" t="str">
        <x:v>142</x:v>
      </x:c>
      <x:c r="G100" s="56" t="str">
        <x:v>High Temp.</x:v>
      </x:c>
      <x:c r="H100" s="56" t="str">
        <x:v>94.199997</x:v>
      </x:c>
      <x:c r="I100" s="56" t="str">
        <x:v>20.4</x:v>
      </x:c>
      <x:c r="J100" s="56" t="str">
        <x:v>-3.5</x:v>
      </x:c>
      <x:c r="K100" s="56" t="str">
        <x:v>41.200001</x:v>
      </x:c>
      <x:c r="L100" s="56" t="str">
        <x:v>D</x:v>
      </x:c>
      <x:c r="M100" s="59" t="str">
        <x:v>IRM(no sat. 2.7T)</x:v>
      </x:c>
      <x:c r="N100" s="56" t="n">
        <x:f>--(LEN(M100)&gt;0)</x:f>
        <x:v>1</x:v>
      </x:c>
      <x:c r="O100" s="56" t="n">
        <x:v>1</x:v>
      </x:c>
      <x:c r="P100" s="56" t="n">
        <x:f>--(N100=O100)</x:f>
        <x:v>1</x:v>
      </x:c>
      <x:c r="Q100" s="56" t="str">
        <x:v>PRESENT</x:v>
      </x:c>
      <x:c r="R100" s="59" t="str">
        <x:v>IRM(HEM,MAGN)</x:v>
      </x:c>
      <x:c r="S100" s="59" t="str">
        <x:v>IRM(HEM,MAGN)</x:v>
      </x:c>
      <x:c r="T100" s="56" t="n">
        <x:f>--(Q100="PRESENT")</x:f>
        <x:v>1</x:v>
      </x:c>
      <x:c r="U100" s="56" t="n">
        <x:f>--(T100=N100)</x:f>
        <x:v>1</x:v>
      </x:c>
      <x:c r="V100" s="56" t="n">
        <x:f>--(T100=O100)</x:f>
        <x:v>1</x:v>
      </x:c>
      <x:c r="W100" s="56" t="n">
        <x:f>--(OR(Q100="PRESENT",Q100="ABSENT"))</x:f>
        <x:v>1</x:v>
      </x:c>
      <x:c r="X100" s="56" t="str">
        <x:v>MEDIUM</x:v>
      </x:c>
      <x:c r="Y100" s="56" t="str">
        <x:v>METADATA_UNIQUE</x:v>
      </x:c>
      <x:c r="Z100" s="57" t="b">
        <x:v>1</x:v>
      </x:c>
      <x:c r="AA100" s="57" t="b">
        <x:v>1</x:v>
      </x:c>
      <x:c r="AB100" s="56" t="n">
        <x:v>1</x:v>
      </x:c>
      <x:c r="AC100" s="56" t="str">
        <x:v>IRM</x:v>
      </x:c>
      <x:c r="AD100" s="56" t="str">
        <x:v>HEM,MAGN</x:v>
      </x:c>
      <x:c r="AE100" s="56" t="str"/>
      <x:c r="AF100" s="56" t="str">
        <x:v>7, 8</x:v>
      </x:c>
      <x:c r="AG100" s="59" t="str">
        <x:v>p.8: IRM and its thermal demagnetization show that the samples of CK01 and CK03 are dominated by mag- Fig. 5. | p.7: Sample CK637 from site CK63 does not reach saturation IRM in 2.7 T in DC field. | p.8: IRM and its thermal demagnetization show that the samples of CK01 and CK03 are dominated by mag- Fig. 5.</x:v>
      </x:c>
      <x:c r="AH100" s="58" t="n">
        <x:v>0.898164309285677</x:v>
      </x:c>
      <x:c r="AI100" s="56" t="n">
        <x:f>--(AH100&gt;=0.5)</x:f>
        <x:v>1</x:v>
      </x:c>
      <x:c r="AJ100" s="56" t="n">
        <x:f>--(AI100=O100)</x:f>
        <x:v>1</x:v>
      </x:c>
      <x:c r="AK100" s="58" t="n">
        <x:v>0.903632955434842</x:v>
      </x:c>
      <x:c r="AL100" s="56" t="n">
        <x:f>--(AK100&gt;=0.5)</x:f>
        <x:v>1</x:v>
      </x:c>
      <x:c r="AM100" s="56" t="n">
        <x:f>--(AL100=O100)</x:f>
        <x:v>1</x:v>
      </x:c>
    </x:row>
    <x:row r="101" ht="32" customHeight="1">
      <x:c r="A101" s="56" t="str">
        <x:v>3162</x:v>
      </x:c>
      <x:c r="B101" s="56" t="str">
        <x:v>8217</x:v>
      </x:c>
      <x:c r="C101" s="56" t="str">
        <x:v>6620</x:v>
      </x:c>
      <x:c r="D101" s="56" t="str">
        <x:v>Harachiyama Formation</x:v>
      </x:c>
      <x:c r="E101" s="56" t="str">
        <x:v>39.5</x:v>
      </x:c>
      <x:c r="F101" s="56" t="str">
        <x:v>142</x:v>
      </x:c>
      <x:c r="G101" s="56" t="str">
        <x:v>Medium Temp.</x:v>
      </x:c>
      <x:c r="H101" s="56" t="str">
        <x:v>281</x:v>
      </x:c>
      <x:c r="I101" s="56" t="str">
        <x:v>17.299999</x:v>
      </x:c>
      <x:c r="J101" s="56" t="str">
        <x:v>14.1</x:v>
      </x:c>
      <x:c r="K101" s="56" t="str">
        <x:v>51.900002</x:v>
      </x:c>
      <x:c r="L101" s="56" t="str">
        <x:v>D</x:v>
      </x:c>
      <x:c r="M101" s="59" t="str">
        <x:v>IRM(no sat. 2.7T)</x:v>
      </x:c>
      <x:c r="N101" s="56" t="n">
        <x:f>--(LEN(M101)&gt;0)</x:f>
        <x:v>1</x:v>
      </x:c>
      <x:c r="O101" s="56" t="n">
        <x:v>1</x:v>
      </x:c>
      <x:c r="P101" s="56" t="n">
        <x:f>--(N101=O101)</x:f>
        <x:v>1</x:v>
      </x:c>
      <x:c r="Q101" s="56" t="str">
        <x:v>PRESENT</x:v>
      </x:c>
      <x:c r="R101" s="59" t="str">
        <x:v>IRM(HEM,MAGN)</x:v>
      </x:c>
      <x:c r="S101" s="59" t="str">
        <x:v>IRM(HEM,MAGN)</x:v>
      </x:c>
      <x:c r="T101" s="56" t="n">
        <x:f>--(Q101="PRESENT")</x:f>
        <x:v>1</x:v>
      </x:c>
      <x:c r="U101" s="56" t="n">
        <x:f>--(T101=N101)</x:f>
        <x:v>1</x:v>
      </x:c>
      <x:c r="V101" s="56" t="n">
        <x:f>--(T101=O101)</x:f>
        <x:v>1</x:v>
      </x:c>
      <x:c r="W101" s="56" t="n">
        <x:f>--(OR(Q101="PRESENT",Q101="ABSENT"))</x:f>
        <x:v>1</x:v>
      </x:c>
      <x:c r="X101" s="56" t="str">
        <x:v>MEDIUM</x:v>
      </x:c>
      <x:c r="Y101" s="56" t="str">
        <x:v>METADATA_UNIQUE</x:v>
      </x:c>
      <x:c r="Z101" s="57" t="b">
        <x:v>1</x:v>
      </x:c>
      <x:c r="AA101" s="57" t="b">
        <x:v>1</x:v>
      </x:c>
      <x:c r="AB101" s="56" t="n">
        <x:v>1</x:v>
      </x:c>
      <x:c r="AC101" s="56" t="str">
        <x:v>IRM</x:v>
      </x:c>
      <x:c r="AD101" s="56" t="str">
        <x:v>HEM,MAGN</x:v>
      </x:c>
      <x:c r="AE101" s="56" t="str"/>
      <x:c r="AF101" s="56" t="str">
        <x:v>7, 8</x:v>
      </x:c>
      <x:c r="AG101" s="59" t="str">
        <x:v>p.8: IRM and its thermal demagnetization show that the samples of CK01 and CK03 are dominated by mag- Fig. 5. | p.7: Sample CK637 from site CK63 does not reach saturation IRM in 2.7 T in DC field. | p.8: IRM and its thermal demagnetization show that the samples of CK01 and CK03 are dominated by mag- Fig. 5.</x:v>
      </x:c>
      <x:c r="AH101" s="58" t="n">
        <x:v>0.898164309285677</x:v>
      </x:c>
      <x:c r="AI101" s="56" t="n">
        <x:f>--(AH101&gt;=0.5)</x:f>
        <x:v>1</x:v>
      </x:c>
      <x:c r="AJ101" s="56" t="n">
        <x:f>--(AI101=O101)</x:f>
        <x:v>1</x:v>
      </x:c>
      <x:c r="AK101" s="58" t="n">
        <x:v>0.903632955434842</x:v>
      </x:c>
      <x:c r="AL101" s="56" t="n">
        <x:f>--(AK101&gt;=0.5)</x:f>
        <x:v>1</x:v>
      </x:c>
      <x:c r="AM101" s="56" t="n">
        <x:f>--(AL101=O101)</x:f>
        <x:v>1</x:v>
      </x:c>
    </x:row>
    <x:row r="102" ht="32" customHeight="1">
      <x:c r="A102" s="56" t="str">
        <x:v>3162</x:v>
      </x:c>
      <x:c r="B102" s="56" t="str">
        <x:v>8218</x:v>
      </x:c>
      <x:c r="C102" s="56" t="str">
        <x:v>6621</x:v>
      </x:c>
      <x:c r="D102" s="56" t="str">
        <x:v>Miyako-Oura Granire</x:v>
      </x:c>
      <x:c r="E102" s="56" t="str">
        <x:v>39.5</x:v>
      </x:c>
      <x:c r="F102" s="56" t="str">
        <x:v>142</x:v>
      </x:c>
      <x:c r="G102" s="56" t="str"/>
      <x:c r="H102" s="56" t="str">
        <x:v>298.89999</x:v>
      </x:c>
      <x:c r="I102" s="56" t="str">
        <x:v>46.799999</x:v>
      </x:c>
      <x:c r="J102" s="56" t="str">
        <x:v>38.900002</x:v>
      </x:c>
      <x:c r="K102" s="56" t="str">
        <x:v>58.700001</x:v>
      </x:c>
      <x:c r="L102" s="56" t="str">
        <x:v>D</x:v>
      </x:c>
      <x:c r="M102" s="59" t="str"/>
      <x:c r="N102" s="56" t="n">
        <x:f>--(LEN(M102)&gt;0)</x:f>
        <x:v>0</x:v>
      </x:c>
      <x:c r="O102" s="56" t="n">
        <x:v>0</x:v>
      </x:c>
      <x:c r="P102" s="56" t="n">
        <x:f>--(N102=O102)</x:f>
        <x:v>1</x:v>
      </x:c>
      <x:c r="Q102" s="56" t="str">
        <x:v>PRESENT</x:v>
      </x:c>
      <x:c r="R102" s="59" t="str">
        <x:v>IRM(MAGN,HEM)</x:v>
      </x:c>
      <x:c r="S102" s="59" t="str">
        <x:v>IRM(MAGN,HEM)</x:v>
      </x:c>
      <x:c r="T102" s="56" t="n">
        <x:f>--(Q102="PRESENT")</x:f>
        <x:v>1</x:v>
      </x:c>
      <x:c r="U102" s="56" t="n">
        <x:f>--(T102=N102)</x:f>
        <x:v>0</x:v>
      </x:c>
      <x:c r="V102" s="56" t="n">
        <x:f>--(T102=O102)</x:f>
        <x:v>0</x:v>
      </x:c>
      <x:c r="W102" s="56" t="n">
        <x:f>--(OR(Q102="PRESENT",Q102="ABSENT"))</x:f>
        <x:v>1</x:v>
      </x:c>
      <x:c r="X102" s="56" t="str">
        <x:v>MEDIUM</x:v>
      </x:c>
      <x:c r="Y102" s="56" t="str">
        <x:v>METADATA_UNIQUE</x:v>
      </x:c>
      <x:c r="Z102" s="57" t="b">
        <x:v>1</x:v>
      </x:c>
      <x:c r="AA102" s="57" t="b">
        <x:v>1</x:v>
      </x:c>
      <x:c r="AB102" s="56" t="n">
        <x:v>0</x:v>
      </x:c>
      <x:c r="AC102" s="56" t="str">
        <x:v>IRM</x:v>
      </x:c>
      <x:c r="AD102" s="56" t="str">
        <x:v>MAGN,HEM</x:v>
      </x:c>
      <x:c r="AE102" s="56" t="str"/>
      <x:c r="AF102" s="56" t="str">
        <x:v>5, 7</x:v>
      </x:c>
      <x:c r="AG102" s="59" t="str">
        <x:v>p.5: IRM | p.7: IRM | p.5: magnetite</x:v>
      </x:c>
      <x:c r="AH102" s="58" t="n">
        <x:v>0.8495733221415028</x:v>
      </x:c>
      <x:c r="AI102" s="56" t="n">
        <x:f>--(AH102&gt;=0.5)</x:f>
        <x:v>1</x:v>
      </x:c>
      <x:c r="AJ102" s="56" t="n">
        <x:f>--(AI102=O102)</x:f>
        <x:v>0</x:v>
      </x:c>
      <x:c r="AK102" s="58" t="n">
        <x:v>0.7654256600742521</x:v>
      </x:c>
      <x:c r="AL102" s="56" t="n">
        <x:f>--(AK102&gt;=0.5)</x:f>
        <x:v>1</x:v>
      </x:c>
      <x:c r="AM102" s="56" t="n">
        <x:f>--(AL102=O102)</x:f>
        <x:v>0</x:v>
      </x:c>
    </x:row>
    <x:row r="103" ht="32" customHeight="1">
      <x:c r="A103" s="56" t="str">
        <x:v>3180</x:v>
      </x:c>
      <x:c r="B103" s="56" t="str">
        <x:v>8256</x:v>
      </x:c>
      <x:c r="C103" s="56" t="str">
        <x:v>6649</x:v>
      </x:c>
      <x:c r="D103" s="56" t="str">
        <x:v>Alvesta-Ljungby Borderzone Group I</x:v>
      </x:c>
      <x:c r="E103" s="56" t="str">
        <x:v>57</x:v>
      </x:c>
      <x:c r="F103" s="56" t="str">
        <x:v>14.5</x:v>
      </x:c>
      <x:c r="G103" s="56" t="str">
        <x:v>Group I</x:v>
      </x:c>
      <x:c r="H103" s="56" t="str">
        <x:v>297</x:v>
      </x:c>
      <x:c r="I103" s="56" t="str">
        <x:v>-78.5</x:v>
      </x:c>
      <x:c r="J103" s="56" t="str">
        <x:v>-42.700001</x:v>
      </x:c>
      <x:c r="K103" s="56" t="str">
        <x:v>220.89999</x:v>
      </x:c>
      <x:c r="L103" s="56" t="str">
        <x:v>D</x:v>
      </x:c>
      <x:c r="M103" s="59" t="str">
        <x:v>IRM;SUSC (CT 580C)</x:v>
      </x:c>
      <x:c r="N103" s="56" t="n">
        <x:f>--(LEN(M103)&gt;0)</x:f>
        <x:v>1</x:v>
      </x:c>
      <x:c r="O103" s="56" t="n">
        <x:v>1</x:v>
      </x:c>
      <x:c r="P103" s="56" t="n">
        <x:f>--(N103=O103)</x:f>
        <x:v>1</x:v>
      </x:c>
      <x:c r="Q103" s="56" t="str">
        <x:v>ABSTAIN_INSUFFICIENT</x:v>
      </x:c>
      <x:c r="R103" s="59" t="str"/>
      <x:c r="S103" s="59" t="str"/>
      <x:c r="T103" s="56" t="n">
        <x:f>--(Q103="PRESENT")</x:f>
        <x:v>0</x:v>
      </x:c>
      <x:c r="U103" s="56" t="n">
        <x:f>--(T103=N103)</x:f>
        <x:v>0</x:v>
      </x:c>
      <x:c r="V103" s="56" t="n">
        <x:f>--(T103=O103)</x:f>
        <x:v>0</x:v>
      </x:c>
      <x:c r="W103" s="56" t="n">
        <x:f>--(OR(Q103="PRESENT",Q103="ABSENT"))</x:f>
        <x:v>0</x:v>
      </x:c>
      <x:c r="X103" s="56" t="str">
        <x:v>LOW</x:v>
      </x:c>
      <x:c r="Y103" s="56" t="str">
        <x:v>PAPER_ROW_MATCH</x:v>
      </x:c>
      <x:c r="Z103" s="57" t="b">
        <x:v>1</x:v>
      </x:c>
      <x:c r="AA103" s="57" t="b">
        <x:v>1</x:v>
      </x:c>
      <x:c r="AB103" s="56" t="n">
        <x:v>1</x:v>
      </x:c>
      <x:c r="AC103" s="56" t="str"/>
      <x:c r="AD103" s="56" t="str"/>
      <x:c r="AE103" s="56" t="str"/>
      <x:c r="AF103" s="56" t="str">
        <x:v>1, 14, 15</x:v>
      </x:c>
      <x:c r="AG103" s="59" t="str">
        <x:v>p.1: RI), L iteiny39, 191104 St. Petersburg, Russia 2 Department of Mineralogy and Petrology, Institute of Geology, University of L und, So¨lvegatan 13, S-223 62L und, Sweden. E-mail: goran.bylund@geol.lu.se Accepted 1997 November 3. Received 1997 October 15; in original form 1996 December 31 SUMMARY New palaeomagnetic data from the Protogine Zone (PZ) of southern Sweden are presented together with data from east and west of the zone. They conﬁrm previous palaeomagnetic results from the PZ that indic | p.14: ive inclinations. See also notes for Table 2. north of the ALBL (Bylund 1992) indicates that the age of this remanence is post-deformational and corresponds to the age of metamorphism. Any connection with local tectonics thus seems unlikely and this palaeomagnetic direction can be used for the whole Fennoscandian plate. The corresponding palaeopole position is at 42.7°S, 220.9°E and is situated at the apex of the Sveconorwegian Loop of the Fennoscandian APWP (Fig. 10). The loop is deﬁned as the  | p.15: pole positions indicates latter interval may correspond to a possible magnetization age that the Trollha¨ttan and Bredfja¨llet dolerites were magnetized for the rocks studied. at diVerent times during the Sveconorwegian Orogeny. It is Palaeomagnetic studies from the Egersund anorthosites not clear at present if their magnetizations are Sveconorwegian (Stearn &amp; Piper 1984; Hargraves &amp; Fish 1972; Murthy &amp; uplift and cooling remagnetizations or emplacement mag- Deutsch 1975) show that these anortho</x:v>
      </x:c>
      <x:c r="AH103" s="58" t="n">
        <x:v>0.771186377179861</x:v>
      </x:c>
      <x:c r="AI103" s="56" t="n">
        <x:f>--(AH103&gt;=0.5)</x:f>
        <x:v>1</x:v>
      </x:c>
      <x:c r="AJ103" s="56" t="n">
        <x:f>--(AI103=O103)</x:f>
        <x:v>1</x:v>
      </x:c>
      <x:c r="AK103" s="58" t="n">
        <x:v>0.771186377179861</x:v>
      </x:c>
      <x:c r="AL103" s="56" t="n">
        <x:f>--(AK103&gt;=0.5)</x:f>
        <x:v>1</x:v>
      </x:c>
      <x:c r="AM103" s="56" t="n">
        <x:f>--(AL103=O103)</x:f>
        <x:v>1</x:v>
      </x:c>
    </x:row>
    <x:row r="104" ht="32" customHeight="1">
      <x:c r="A104" s="56" t="str">
        <x:v>3180</x:v>
      </x:c>
      <x:c r="B104" s="56" t="str">
        <x:v>8257</x:v>
      </x:c>
      <x:c r="C104" s="56" t="str">
        <x:v>6649</x:v>
      </x:c>
      <x:c r="D104" s="56" t="str">
        <x:v>Alvesta-Ljungby Borderzone Group I</x:v>
      </x:c>
      <x:c r="E104" s="56" t="str">
        <x:v>57</x:v>
      </x:c>
      <x:c r="F104" s="56" t="str">
        <x:v>14.5</x:v>
      </x:c>
      <x:c r="G104" s="56" t="str">
        <x:v>GroupV</x:v>
      </x:c>
      <x:c r="H104" s="56" t="str">
        <x:v>304.5</x:v>
      </x:c>
      <x:c r="I104" s="56" t="str">
        <x:v>7.4000001</x:v>
      </x:c>
      <x:c r="J104" s="56" t="str">
        <x:v>21.299999</x:v>
      </x:c>
      <x:c r="K104" s="56" t="str">
        <x:v>255.89999</x:v>
      </x:c>
      <x:c r="L104" s="56" t="str">
        <x:v>D</x:v>
      </x:c>
      <x:c r="M104" s="59" t="str"/>
      <x:c r="N104" s="56" t="n">
        <x:f>--(LEN(M104)&gt;0)</x:f>
        <x:v>0</x:v>
      </x:c>
      <x:c r="O104" s="56" t="n">
        <x:v>0</x:v>
      </x:c>
      <x:c r="P104" s="56" t="n">
        <x:f>--(N104=O104)</x:f>
        <x:v>1</x:v>
      </x:c>
      <x:c r="Q104" s="56" t="str">
        <x:v>ABSTAIN_INSUFFICIENT</x:v>
      </x:c>
      <x:c r="R104" s="59" t="str"/>
      <x:c r="S104" s="59" t="str"/>
      <x:c r="T104" s="56" t="n">
        <x:f>--(Q104="PRESENT")</x:f>
        <x:v>0</x:v>
      </x:c>
      <x:c r="U104" s="56" t="n">
        <x:f>--(T104=N104)</x:f>
        <x:v>1</x:v>
      </x:c>
      <x:c r="V104" s="56" t="n">
        <x:f>--(T104=O104)</x:f>
        <x:v>1</x:v>
      </x:c>
      <x:c r="W104" s="56" t="n">
        <x:f>--(OR(Q104="PRESENT",Q104="ABSENT"))</x:f>
        <x:v>0</x:v>
      </x:c>
      <x:c r="X104" s="56" t="str">
        <x:v>LOW</x:v>
      </x:c>
      <x:c r="Y104" s="56" t="str">
        <x:v>METADATA_UNIQUE</x:v>
      </x:c>
      <x:c r="Z104" s="57" t="b">
        <x:v>1</x:v>
      </x:c>
      <x:c r="AA104" s="57" t="b">
        <x:v>1</x:v>
      </x:c>
      <x:c r="AB104" s="56" t="n">
        <x:v>1</x:v>
      </x:c>
      <x:c r="AC104" s="56" t="str"/>
      <x:c r="AD104" s="56" t="str"/>
      <x:c r="AE104" s="56" t="str"/>
      <x:c r="AF104" s="56" t="str"/>
      <x:c r="AG104" s="59" t="str"/>
      <x:c r="AH104" s="58" t="n">
        <x:v>0.771186377179861</x:v>
      </x:c>
      <x:c r="AI104" s="56" t="n">
        <x:f>--(AH104&gt;=0.5)</x:f>
        <x:v>1</x:v>
      </x:c>
      <x:c r="AJ104" s="56" t="n">
        <x:f>--(AI104=O104)</x:f>
        <x:v>0</x:v>
      </x:c>
      <x:c r="AK104" s="58" t="n">
        <x:v>0.771186377179861</x:v>
      </x:c>
      <x:c r="AL104" s="56" t="n">
        <x:f>--(AK104&gt;=0.5)</x:f>
        <x:v>1</x:v>
      </x:c>
      <x:c r="AM104" s="56" t="n">
        <x:f>--(AL104=O104)</x:f>
        <x:v>0</x:v>
      </x:c>
    </x:row>
    <x:row r="105" ht="32" customHeight="1">
      <x:c r="A105" s="56" t="str">
        <x:v>3180</x:v>
      </x:c>
      <x:c r="B105" s="56" t="str">
        <x:v>8258</x:v>
      </x:c>
      <x:c r="C105" s="56" t="str">
        <x:v>6650</x:v>
      </x:c>
      <x:c r="D105" s="56" t="str">
        <x:v>Alvesta-Ljungby Borderzone Group II</x:v>
      </x:c>
      <x:c r="E105" s="56" t="str">
        <x:v>57</x:v>
      </x:c>
      <x:c r="F105" s="56" t="str">
        <x:v>14.5</x:v>
      </x:c>
      <x:c r="G105" s="56" t="str"/>
      <x:c r="H105" s="56" t="str">
        <x:v>129.39999</x:v>
      </x:c>
      <x:c r="I105" s="56" t="str">
        <x:v>52.200001</x:v>
      </x:c>
      <x:c r="J105" s="56" t="str">
        <x:v>-9.3999996</x:v>
      </x:c>
      <x:c r="K105" s="56" t="str">
        <x:v>235.5</x:v>
      </x:c>
      <x:c r="L105" s="56" t="str">
        <x:v>D</x:v>
      </x:c>
      <x:c r="M105" s="59" t="str">
        <x:v>IRM;SUSC (CT 580C)</x:v>
      </x:c>
      <x:c r="N105" s="56" t="n">
        <x:f>--(LEN(M105)&gt;0)</x:f>
        <x:v>1</x:v>
      </x:c>
      <x:c r="O105" s="56" t="n">
        <x:v>1</x:v>
      </x:c>
      <x:c r="P105" s="56" t="n">
        <x:f>--(N105=O105)</x:f>
        <x:v>1</x:v>
      </x:c>
      <x:c r="Q105" s="56" t="str">
        <x:v>ABSTAIN_INSUFFICIENT</x:v>
      </x:c>
      <x:c r="R105" s="59" t="str"/>
      <x:c r="S105" s="59" t="str"/>
      <x:c r="T105" s="56" t="n">
        <x:f>--(Q105="PRESENT")</x:f>
        <x:v>0</x:v>
      </x:c>
      <x:c r="U105" s="56" t="n">
        <x:f>--(T105=N105)</x:f>
        <x:v>0</x:v>
      </x:c>
      <x:c r="V105" s="56" t="n">
        <x:f>--(T105=O105)</x:f>
        <x:v>0</x:v>
      </x:c>
      <x:c r="W105" s="56" t="n">
        <x:f>--(OR(Q105="PRESENT",Q105="ABSENT"))</x:f>
        <x:v>0</x:v>
      </x:c>
      <x:c r="X105" s="56" t="str">
        <x:v>LOW</x:v>
      </x:c>
      <x:c r="Y105" s="56" t="str">
        <x:v>METADATA_UNIQUE</x:v>
      </x:c>
      <x:c r="Z105" s="57" t="b">
        <x:v>1</x:v>
      </x:c>
      <x:c r="AA105" s="57" t="b">
        <x:v>1</x:v>
      </x:c>
      <x:c r="AB105" s="56" t="n">
        <x:v>0</x:v>
      </x:c>
      <x:c r="AC105" s="56" t="str"/>
      <x:c r="AD105" s="56" t="str"/>
      <x:c r="AE105" s="56" t="str"/>
      <x:c r="AF105" s="56" t="str"/>
      <x:c r="AG105" s="59" t="str"/>
      <x:c r="AH105" s="58" t="n">
        <x:v>0.7939885602786306</x:v>
      </x:c>
      <x:c r="AI105" s="56" t="n">
        <x:f>--(AH105&gt;=0.5)</x:f>
        <x:v>1</x:v>
      </x:c>
      <x:c r="AJ105" s="56" t="n">
        <x:f>--(AI105=O105)</x:f>
        <x:v>1</x:v>
      </x:c>
      <x:c r="AK105" s="58" t="n">
        <x:v>0.7939885602786305</x:v>
      </x:c>
      <x:c r="AL105" s="56" t="n">
        <x:f>--(AK105&gt;=0.5)</x:f>
        <x:v>1</x:v>
      </x:c>
      <x:c r="AM105" s="56" t="n">
        <x:f>--(AL105=O105)</x:f>
        <x:v>1</x:v>
      </x:c>
    </x:row>
    <x:row r="106" ht="32" customHeight="1">
      <x:c r="A106" s="56" t="str">
        <x:v>3180</x:v>
      </x:c>
      <x:c r="B106" s="56" t="str">
        <x:v>8259</x:v>
      </x:c>
      <x:c r="C106" s="56" t="str">
        <x:v>6651</x:v>
      </x:c>
      <x:c r="D106" s="56" t="str">
        <x:v>Alvesta-Ljungby Borderzone Group III</x:v>
      </x:c>
      <x:c r="E106" s="56" t="str">
        <x:v>57</x:v>
      </x:c>
      <x:c r="F106" s="56" t="str">
        <x:v>14.5</x:v>
      </x:c>
      <x:c r="G106" s="56" t="str"/>
      <x:c r="H106" s="56" t="str">
        <x:v>155.39999</x:v>
      </x:c>
      <x:c r="I106" s="56" t="str">
        <x:v>61.299999</x:v>
      </x:c>
      <x:c r="J106" s="56" t="str">
        <x:v>-11.6</x:v>
      </x:c>
      <x:c r="K106" s="56" t="str">
        <x:v>211.2</x:v>
      </x:c>
      <x:c r="L106" s="56" t="str">
        <x:v>D</x:v>
      </x:c>
      <x:c r="M106" s="59" t="str">
        <x:v>IRM;SUSC</x:v>
      </x:c>
      <x:c r="N106" s="56" t="n">
        <x:f>--(LEN(M106)&gt;0)</x:f>
        <x:v>1</x:v>
      </x:c>
      <x:c r="O106" s="56" t="n">
        <x:v>1</x:v>
      </x:c>
      <x:c r="P106" s="56" t="n">
        <x:f>--(N106=O106)</x:f>
        <x:v>1</x:v>
      </x:c>
      <x:c r="Q106" s="56" t="str">
        <x:v>ABSTAIN_INSUFFICIENT</x:v>
      </x:c>
      <x:c r="R106" s="59" t="str"/>
      <x:c r="S106" s="59" t="str"/>
      <x:c r="T106" s="56" t="n">
        <x:f>--(Q106="PRESENT")</x:f>
        <x:v>0</x:v>
      </x:c>
      <x:c r="U106" s="56" t="n">
        <x:f>--(T106=N106)</x:f>
        <x:v>0</x:v>
      </x:c>
      <x:c r="V106" s="56" t="n">
        <x:f>--(T106=O106)</x:f>
        <x:v>0</x:v>
      </x:c>
      <x:c r="W106" s="56" t="n">
        <x:f>--(OR(Q106="PRESENT",Q106="ABSENT"))</x:f>
        <x:v>0</x:v>
      </x:c>
      <x:c r="X106" s="56" t="str">
        <x:v>LOW</x:v>
      </x:c>
      <x:c r="Y106" s="56" t="str">
        <x:v>METADATA_UNIQUE</x:v>
      </x:c>
      <x:c r="Z106" s="57" t="b">
        <x:v>1</x:v>
      </x:c>
      <x:c r="AA106" s="57" t="b">
        <x:v>1</x:v>
      </x:c>
      <x:c r="AB106" s="56" t="n">
        <x:v>0</x:v>
      </x:c>
      <x:c r="AC106" s="56" t="str"/>
      <x:c r="AD106" s="56" t="str"/>
      <x:c r="AE106" s="56" t="str"/>
      <x:c r="AF106" s="56" t="str"/>
      <x:c r="AG106" s="59" t="str"/>
      <x:c r="AH106" s="58" t="n">
        <x:v>0.7683721094621271</x:v>
      </x:c>
      <x:c r="AI106" s="56" t="n">
        <x:f>--(AH106&gt;=0.5)</x:f>
        <x:v>1</x:v>
      </x:c>
      <x:c r="AJ106" s="56" t="n">
        <x:f>--(AI106=O106)</x:f>
        <x:v>1</x:v>
      </x:c>
      <x:c r="AK106" s="58" t="n">
        <x:v>0.768372109462127</x:v>
      </x:c>
      <x:c r="AL106" s="56" t="n">
        <x:f>--(AK106&gt;=0.5)</x:f>
        <x:v>1</x:v>
      </x:c>
      <x:c r="AM106" s="56" t="n">
        <x:f>--(AL106=O106)</x:f>
        <x:v>1</x:v>
      </x:c>
    </x:row>
    <x:row r="107" ht="32" customHeight="1">
      <x:c r="A107" s="56" t="str">
        <x:v>3180</x:v>
      </x:c>
      <x:c r="B107" s="56" t="str">
        <x:v>8260</x:v>
      </x:c>
      <x:c r="C107" s="56" t="str">
        <x:v>6652</x:v>
      </x:c>
      <x:c r="D107" s="56" t="str">
        <x:v>Alvesta-Ljungby Borderzone Group IV</x:v>
      </x:c>
      <x:c r="E107" s="56" t="str">
        <x:v>57</x:v>
      </x:c>
      <x:c r="F107" s="56" t="str">
        <x:v>14.5</x:v>
      </x:c>
      <x:c r="G107" s="56" t="str"/>
      <x:c r="H107" s="56" t="str">
        <x:v>125.5</x:v>
      </x:c>
      <x:c r="I107" s="56" t="str">
        <x:v>35.400002</x:v>
      </x:c>
      <x:c r="J107" s="56" t="str">
        <x:v>0.80000001</x:v>
      </x:c>
      <x:c r="K107" s="56" t="str">
        <x:v>244.10001</x:v>
      </x:c>
      <x:c r="L107" s="56" t="str">
        <x:v>D</x:v>
      </x:c>
      <x:c r="M107" s="59" t="str">
        <x:v>IRM;SUSC</x:v>
      </x:c>
      <x:c r="N107" s="56" t="n">
        <x:f>--(LEN(M107)&gt;0)</x:f>
        <x:v>1</x:v>
      </x:c>
      <x:c r="O107" s="56" t="n">
        <x:v>1</x:v>
      </x:c>
      <x:c r="P107" s="56" t="n">
        <x:f>--(N107=O107)</x:f>
        <x:v>1</x:v>
      </x:c>
      <x:c r="Q107" s="56" t="str">
        <x:v>ABSTAIN_INSUFFICIENT</x:v>
      </x:c>
      <x:c r="R107" s="59" t="str"/>
      <x:c r="S107" s="59" t="str"/>
      <x:c r="T107" s="56" t="n">
        <x:f>--(Q107="PRESENT")</x:f>
        <x:v>0</x:v>
      </x:c>
      <x:c r="U107" s="56" t="n">
        <x:f>--(T107=N107)</x:f>
        <x:v>0</x:v>
      </x:c>
      <x:c r="V107" s="56" t="n">
        <x:f>--(T107=O107)</x:f>
        <x:v>0</x:v>
      </x:c>
      <x:c r="W107" s="56" t="n">
        <x:f>--(OR(Q107="PRESENT",Q107="ABSENT"))</x:f>
        <x:v>0</x:v>
      </x:c>
      <x:c r="X107" s="56" t="str">
        <x:v>LOW</x:v>
      </x:c>
      <x:c r="Y107" s="56" t="str">
        <x:v>METADATA_UNIQUE</x:v>
      </x:c>
      <x:c r="Z107" s="57" t="b">
        <x:v>1</x:v>
      </x:c>
      <x:c r="AA107" s="57" t="b">
        <x:v>1</x:v>
      </x:c>
      <x:c r="AB107" s="56" t="n">
        <x:v>0</x:v>
      </x:c>
      <x:c r="AC107" s="56" t="str"/>
      <x:c r="AD107" s="56" t="str"/>
      <x:c r="AE107" s="56" t="str"/>
      <x:c r="AF107" s="56" t="str"/>
      <x:c r="AG107" s="59" t="str"/>
      <x:c r="AH107" s="58" t="n">
        <x:v>0.7939885602786306</x:v>
      </x:c>
      <x:c r="AI107" s="56" t="n">
        <x:f>--(AH107&gt;=0.5)</x:f>
        <x:v>1</x:v>
      </x:c>
      <x:c r="AJ107" s="56" t="n">
        <x:f>--(AI107=O107)</x:f>
        <x:v>1</x:v>
      </x:c>
      <x:c r="AK107" s="58" t="n">
        <x:v>0.7939885602786305</x:v>
      </x:c>
      <x:c r="AL107" s="56" t="n">
        <x:f>--(AK107&gt;=0.5)</x:f>
        <x:v>1</x:v>
      </x:c>
      <x:c r="AM107" s="56" t="n">
        <x:f>--(AL107=O107)</x:f>
        <x:v>1</x:v>
      </x:c>
    </x:row>
    <x:row r="108" ht="32" customHeight="1">
      <x:c r="A108" s="56" t="str">
        <x:v>3236</x:v>
      </x:c>
      <x:c r="B108" s="56" t="str">
        <x:v>8359</x:v>
      </x:c>
      <x:c r="C108" s="56" t="str">
        <x:v>6729</x:v>
      </x:c>
      <x:c r="D108" s="56" t="str">
        <x:v>Boot-Phantom Pluton</x:v>
      </x:c>
      <x:c r="E108" s="56" t="str">
        <x:v>54.700001</x:v>
      </x:c>
      <x:c r="F108" s="56" t="str">
        <x:v>-101.9</x:v>
      </x:c>
      <x:c r="G108" s="56" t="str"/>
      <x:c r="H108" s="56" t="str">
        <x:v>46.700001</x:v>
      </x:c>
      <x:c r="I108" s="56" t="str">
        <x:v>83.199997</x:v>
      </x:c>
      <x:c r="J108" s="56" t="str">
        <x:v>62.400002</x:v>
      </x:c>
      <x:c r="K108" s="56" t="str">
        <x:v>279.39999</x:v>
      </x:c>
      <x:c r="L108" s="56" t="str">
        <x:v>D</x:v>
      </x:c>
      <x:c r="M108" s="59" t="str">
        <x:v>IRM(sat. 0.5T)</x:v>
      </x:c>
      <x:c r="N108" s="56" t="n">
        <x:f>--(LEN(M108)&gt;0)</x:f>
        <x:v>1</x:v>
      </x:c>
      <x:c r="O108" s="56" t="n">
        <x:v>1</x:v>
      </x:c>
      <x:c r="P108" s="56" t="n">
        <x:f>--(N108=O108)</x:f>
        <x:v>1</x:v>
      </x:c>
      <x:c r="Q108" s="56" t="str">
        <x:v>PRESENT</x:v>
      </x:c>
      <x:c r="R108" s="59" t="str">
        <x:v>SUSC-T(MAGN,PYRR)</x:v>
      </x:c>
      <x:c r="S108" s="59" t="str">
        <x:v>SUSC-T(MAGN,PYRR)</x:v>
      </x:c>
      <x:c r="T108" s="56" t="n">
        <x:f>--(Q108="PRESENT")</x:f>
        <x:v>1</x:v>
      </x:c>
      <x:c r="U108" s="56" t="n">
        <x:f>--(T108=N108)</x:f>
        <x:v>1</x:v>
      </x:c>
      <x:c r="V108" s="56" t="n">
        <x:f>--(T108=O108)</x:f>
        <x:v>1</x:v>
      </x:c>
      <x:c r="W108" s="56" t="n">
        <x:f>--(OR(Q108="PRESENT",Q108="ABSENT"))</x:f>
        <x:v>1</x:v>
      </x:c>
      <x:c r="X108" s="56" t="str">
        <x:v>MEDIUM</x:v>
      </x:c>
      <x:c r="Y108" s="56" t="str">
        <x:v>METADATA_UNIQUE</x:v>
      </x:c>
      <x:c r="Z108" s="57" t="b">
        <x:v>1</x:v>
      </x:c>
      <x:c r="AA108" s="57" t="b">
        <x:v>1</x:v>
      </x:c>
      <x:c r="AB108" s="56" t="n">
        <x:v>0</x:v>
      </x:c>
      <x:c r="AC108" s="56" t="str">
        <x:v>SUSC-T</x:v>
      </x:c>
      <x:c r="AD108" s="56" t="str">
        <x:v>MAGN,PYRR</x:v>
      </x:c>
      <x:c r="AE108" s="56" t="str">
        <x:v>SD</x:v>
      </x:c>
      <x:c r="AF108" s="56" t="str">
        <x:v>1</x:v>
      </x:c>
      <x:c r="AG108" s="59" t="str">
        <x:v>p.1: 585°C Curie temperature | p.1: magnetite | p.1: pyrrhotite</x:v>
      </x:c>
      <x:c r="AH108" s="58" t="n">
        <x:v>0.5916675966545593</x:v>
      </x:c>
      <x:c r="AI108" s="56" t="n">
        <x:f>--(AH108&gt;=0.5)</x:f>
        <x:v>1</x:v>
      </x:c>
      <x:c r="AJ108" s="56" t="n">
        <x:f>--(AI108=O108)</x:f>
        <x:v>1</x:v>
      </x:c>
      <x:c r="AK108" s="58" t="n">
        <x:v>0.5916675966545593</x:v>
      </x:c>
      <x:c r="AL108" s="56" t="n">
        <x:f>--(AK108&gt;=0.5)</x:f>
        <x:v>1</x:v>
      </x:c>
      <x:c r="AM108" s="56" t="n">
        <x:f>--(AL108=O108)</x:f>
        <x:v>1</x:v>
      </x:c>
    </x:row>
    <x:row r="109" ht="32" customHeight="1">
      <x:c r="A109" s="56" t="str">
        <x:v>3236</x:v>
      </x:c>
      <x:c r="B109" s="56" t="str">
        <x:v>8360</x:v>
      </x:c>
      <x:c r="C109" s="56" t="str">
        <x:v>6730</x:v>
      </x:c>
      <x:c r="D109" s="56" t="str">
        <x:v>Kaminis Lake Pluton and Amisk Metavolcanics</x:v>
      </x:c>
      <x:c r="E109" s="56" t="str">
        <x:v>54.700001</x:v>
      </x:c>
      <x:c r="F109" s="56" t="str">
        <x:v>-101.9</x:v>
      </x:c>
      <x:c r="G109" s="56" t="str"/>
      <x:c r="H109" s="56" t="str">
        <x:v>153.60001</x:v>
      </x:c>
      <x:c r="I109" s="56" t="str">
        <x:v>61.299999</x:v>
      </x:c>
      <x:c r="J109" s="56" t="str">
        <x:v>9.6999998</x:v>
      </x:c>
      <x:c r="K109" s="56" t="str">
        <x:v>277.60001</x:v>
      </x:c>
      <x:c r="L109" s="56" t="str">
        <x:v>D</x:v>
      </x:c>
      <x:c r="M109" s="59" t="str"/>
      <x:c r="N109" s="56" t="n">
        <x:f>--(LEN(M109)&gt;0)</x:f>
        <x:v>0</x:v>
      </x:c>
      <x:c r="O109" s="56" t="n">
        <x:v>0</x:v>
      </x:c>
      <x:c r="P109" s="56" t="n">
        <x:f>--(N109=O109)</x:f>
        <x:v>1</x:v>
      </x:c>
      <x:c r="Q109" s="56" t="str">
        <x:v>PRESENT</x:v>
      </x:c>
      <x:c r="R109" s="59" t="str">
        <x:v>SUSC-T(MAGN,PYRR)</x:v>
      </x:c>
      <x:c r="S109" s="59" t="str">
        <x:v>SUSC-T(MAGN,PYRR)</x:v>
      </x:c>
      <x:c r="T109" s="56" t="n">
        <x:f>--(Q109="PRESENT")</x:f>
        <x:v>1</x:v>
      </x:c>
      <x:c r="U109" s="56" t="n">
        <x:f>--(T109=N109)</x:f>
        <x:v>0</x:v>
      </x:c>
      <x:c r="V109" s="56" t="n">
        <x:f>--(T109=O109)</x:f>
        <x:v>0</x:v>
      </x:c>
      <x:c r="W109" s="56" t="n">
        <x:f>--(OR(Q109="PRESENT",Q109="ABSENT"))</x:f>
        <x:v>1</x:v>
      </x:c>
      <x:c r="X109" s="56" t="str">
        <x:v>MEDIUM</x:v>
      </x:c>
      <x:c r="Y109" s="56" t="str">
        <x:v>METADATA_UNIQUE</x:v>
      </x:c>
      <x:c r="Z109" s="57" t="b">
        <x:v>1</x:v>
      </x:c>
      <x:c r="AA109" s="57" t="b">
        <x:v>1</x:v>
      </x:c>
      <x:c r="AB109" s="56" t="n">
        <x:v>0</x:v>
      </x:c>
      <x:c r="AC109" s="56" t="str">
        <x:v>SUSC-T</x:v>
      </x:c>
      <x:c r="AD109" s="56" t="str">
        <x:v>MAGN,PYRR</x:v>
      </x:c>
      <x:c r="AE109" s="56" t="str">
        <x:v>SD</x:v>
      </x:c>
      <x:c r="AF109" s="56" t="str">
        <x:v>1</x:v>
      </x:c>
      <x:c r="AG109" s="59" t="str">
        <x:v>p.1: 585°C Curie temperature | p.1: magnetite | p.1: pyrrhotite</x:v>
      </x:c>
      <x:c r="AH109" s="58" t="n">
        <x:v>0.5910028107530342</x:v>
      </x:c>
      <x:c r="AI109" s="56" t="n">
        <x:f>--(AH109&gt;=0.5)</x:f>
        <x:v>1</x:v>
      </x:c>
      <x:c r="AJ109" s="56" t="n">
        <x:f>--(AI109=O109)</x:f>
        <x:v>0</x:v>
      </x:c>
      <x:c r="AK109" s="58" t="n">
        <x:v>0.5910028107530342</x:v>
      </x:c>
      <x:c r="AL109" s="56" t="n">
        <x:f>--(AK109&gt;=0.5)</x:f>
        <x:v>1</x:v>
      </x:c>
      <x:c r="AM109" s="56" t="n">
        <x:f>--(AL109=O109)</x:f>
        <x:v>0</x:v>
      </x:c>
    </x:row>
    <x:row r="110" ht="32" customHeight="1">
      <x:c r="A110" s="56" t="str">
        <x:v>3290</x:v>
      </x:c>
      <x:c r="B110" s="56" t="str">
        <x:v>8455</x:v>
      </x:c>
      <x:c r="C110" s="56" t="str">
        <x:v>6812</x:v>
      </x:c>
      <x:c r="D110" s="56" t="str">
        <x:v>Voronezh Massif</x:v>
      </x:c>
      <x:c r="E110" s="56" t="str">
        <x:v>50.400002</x:v>
      </x:c>
      <x:c r="F110" s="56" t="str">
        <x:v>40.099998</x:v>
      </x:c>
      <x:c r="G110" s="56" t="str">
        <x:v>A Component</x:v>
      </x:c>
      <x:c r="H110" s="56" t="str">
        <x:v>229</x:v>
      </x:c>
      <x:c r="I110" s="56" t="str">
        <x:v>28</x:v>
      </x:c>
      <x:c r="J110" s="56" t="str">
        <x:v>12</x:v>
      </x:c>
      <x:c r="K110" s="56" t="str">
        <x:v>172</x:v>
      </x:c>
      <x:c r="L110" s="56" t="str">
        <x:v>D</x:v>
      </x:c>
      <x:c r="M110" s="59" t="str">
        <x:v>SUSC</x:v>
      </x:c>
      <x:c r="N110" s="56" t="n">
        <x:f>--(LEN(M110)&gt;0)</x:f>
        <x:v>1</x:v>
      </x:c>
      <x:c r="O110" s="56" t="n">
        <x:v>1</x:v>
      </x:c>
      <x:c r="P110" s="56" t="n">
        <x:f>--(N110=O110)</x:f>
        <x:v>1</x:v>
      </x:c>
      <x:c r="Q110" s="56" t="str">
        <x:v>PRESENT</x:v>
      </x:c>
      <x:c r="R110" s="59" t="str">
        <x:v>SUSC-T,OP(HEM,MAGN)</x:v>
      </x:c>
      <x:c r="S110" s="59" t="str">
        <x:v>SUSC-T,OP(HEM,MAGN)</x:v>
      </x:c>
      <x:c r="T110" s="56" t="n">
        <x:f>--(Q110="PRESENT")</x:f>
        <x:v>1</x:v>
      </x:c>
      <x:c r="U110" s="56" t="n">
        <x:f>--(T110=N110)</x:f>
        <x:v>1</x:v>
      </x:c>
      <x:c r="V110" s="56" t="n">
        <x:f>--(T110=O110)</x:f>
        <x:v>1</x:v>
      </x:c>
      <x:c r="W110" s="56" t="n">
        <x:f>--(OR(Q110="PRESENT",Q110="ABSENT"))</x:f>
        <x:v>1</x:v>
      </x:c>
      <x:c r="X110" s="56" t="str">
        <x:v>HIGH</x:v>
      </x:c>
      <x:c r="Y110" s="56" t="str">
        <x:v>PAPER_ROW_MATCH</x:v>
      </x:c>
      <x:c r="Z110" s="57" t="b">
        <x:v>1</x:v>
      </x:c>
      <x:c r="AA110" s="57" t="b">
        <x:v>1</x:v>
      </x:c>
      <x:c r="AB110" s="56" t="n">
        <x:v>1</x:v>
      </x:c>
      <x:c r="AC110" s="56" t="str">
        <x:v>SUSC-T,OP</x:v>
      </x:c>
      <x:c r="AD110" s="56" t="str">
        <x:v>HEM,MAGN</x:v>
      </x:c>
      <x:c r="AE110" s="56" t="str"/>
      <x:c r="AF110" s="56" t="str">
        <x:v>3, 4, 5, 6</x:v>
      </x:c>
      <x:c r="AG110" s="59" t="str">
        <x:v>p.3: temperature dependence of the magnetic susceptibility | p.3: susceptibility versus temperature | p.3: temperature dependence of magnetic susceptibility</x:v>
      </x:c>
      <x:c r="AH110" s="58" t="n">
        <x:v>0.7044078339724641</x:v>
      </x:c>
      <x:c r="AI110" s="56" t="n">
        <x:f>--(AH110&gt;=0.5)</x:f>
        <x:v>1</x:v>
      </x:c>
      <x:c r="AJ110" s="56" t="n">
        <x:f>--(AI110=O110)</x:f>
        <x:v>1</x:v>
      </x:c>
      <x:c r="AK110" s="58" t="n">
        <x:v>0.7044078339724641</x:v>
      </x:c>
      <x:c r="AL110" s="56" t="n">
        <x:f>--(AK110&gt;=0.5)</x:f>
        <x:v>1</x:v>
      </x:c>
      <x:c r="AM110" s="56" t="n">
        <x:f>--(AL110=O110)</x:f>
        <x:v>1</x:v>
      </x:c>
    </x:row>
    <x:row r="111" ht="32" customHeight="1">
      <x:c r="A111" s="56" t="str">
        <x:v>3290</x:v>
      </x:c>
      <x:c r="B111" s="56" t="str">
        <x:v>8456</x:v>
      </x:c>
      <x:c r="C111" s="56" t="str">
        <x:v>6812</x:v>
      </x:c>
      <x:c r="D111" s="56" t="str">
        <x:v>Voronezh Massif</x:v>
      </x:c>
      <x:c r="E111" s="56" t="str">
        <x:v>50.400002</x:v>
      </x:c>
      <x:c r="F111" s="56" t="str">
        <x:v>40.099998</x:v>
      </x:c>
      <x:c r="G111" s="56" t="str">
        <x:v>B Component</x:v>
      </x:c>
      <x:c r="H111" s="56" t="str">
        <x:v>144</x:v>
      </x:c>
      <x:c r="I111" s="56" t="str">
        <x:v>49</x:v>
      </x:c>
      <x:c r="J111" s="56" t="str">
        <x:v>4</x:v>
      </x:c>
      <x:c r="K111" s="56" t="str">
        <x:v>251</x:v>
      </x:c>
      <x:c r="L111" s="56" t="str">
        <x:v>D</x:v>
      </x:c>
      <x:c r="M111" s="59" t="str">
        <x:v>SUSC</x:v>
      </x:c>
      <x:c r="N111" s="56" t="n">
        <x:f>--(LEN(M111)&gt;0)</x:f>
        <x:v>1</x:v>
      </x:c>
      <x:c r="O111" s="56" t="n">
        <x:v>0</x:v>
      </x:c>
      <x:c r="P111" s="56" t="n">
        <x:f>--(N111=O111)</x:f>
        <x:v>0</x:v>
      </x:c>
      <x:c r="Q111" s="56" t="str">
        <x:v>PRESENT</x:v>
      </x:c>
      <x:c r="R111" s="59" t="str">
        <x:v>SUSC-T,OP(HEM,MAGN)</x:v>
      </x:c>
      <x:c r="S111" s="59" t="str">
        <x:v>SUSC-T,OP(HEM,MAGN)</x:v>
      </x:c>
      <x:c r="T111" s="56" t="n">
        <x:f>--(Q111="PRESENT")</x:f>
        <x:v>1</x:v>
      </x:c>
      <x:c r="U111" s="56" t="n">
        <x:f>--(T111=N111)</x:f>
        <x:v>1</x:v>
      </x:c>
      <x:c r="V111" s="56" t="n">
        <x:f>--(T111=O111)</x:f>
        <x:v>0</x:v>
      </x:c>
      <x:c r="W111" s="56" t="n">
        <x:f>--(OR(Q111="PRESENT",Q111="ABSENT"))</x:f>
        <x:v>1</x:v>
      </x:c>
      <x:c r="X111" s="56" t="str">
        <x:v>HIGH</x:v>
      </x:c>
      <x:c r="Y111" s="56" t="str">
        <x:v>PAPER_ROW_MATCH</x:v>
      </x:c>
      <x:c r="Z111" s="57" t="b">
        <x:v>1</x:v>
      </x:c>
      <x:c r="AA111" s="57" t="b">
        <x:v>1</x:v>
      </x:c>
      <x:c r="AB111" s="56" t="n">
        <x:v>1</x:v>
      </x:c>
      <x:c r="AC111" s="56" t="str">
        <x:v>SUSC-T,OP</x:v>
      </x:c>
      <x:c r="AD111" s="56" t="str">
        <x:v>HEM,MAGN</x:v>
      </x:c>
      <x:c r="AE111" s="56" t="str"/>
      <x:c r="AF111" s="56" t="str">
        <x:v>1, 3, 5, 6</x:v>
      </x:c>
      <x:c r="AG111" s="59" t="str">
        <x:v>p.3: temperature dependence of the magnetic susceptibility | p.3: susceptibility versus temperature | p.3: temperature dependence of magnetic susceptibility</x:v>
      </x:c>
      <x:c r="AH111" s="58" t="n">
        <x:v>0.7044078339724641</x:v>
      </x:c>
      <x:c r="AI111" s="56" t="n">
        <x:f>--(AH111&gt;=0.5)</x:f>
        <x:v>1</x:v>
      </x:c>
      <x:c r="AJ111" s="56" t="n">
        <x:f>--(AI111=O111)</x:f>
        <x:v>0</x:v>
      </x:c>
      <x:c r="AK111" s="58" t="n">
        <x:v>0.7044078339724641</x:v>
      </x:c>
      <x:c r="AL111" s="56" t="n">
        <x:f>--(AK111&gt;=0.5)</x:f>
        <x:v>1</x:v>
      </x:c>
      <x:c r="AM111" s="56" t="n">
        <x:f>--(AL111=O111)</x:f>
        <x:v>0</x:v>
      </x:c>
    </x:row>
    <x:row r="112" ht="32" customHeight="1">
      <x:c r="A112" s="56" t="str">
        <x:v>3286</x:v>
      </x:c>
      <x:c r="B112" s="56" t="str">
        <x:v>8495</x:v>
      </x:c>
      <x:c r="C112" s="56" t="str">
        <x:v>6845</x:v>
      </x:c>
      <x:c r="D112" s="56" t="str">
        <x:v>Chopyeong Formation</x:v>
      </x:c>
      <x:c r="E112" s="56" t="str">
        <x:v>36.799999</x:v>
      </x:c>
      <x:c r="F112" s="56" t="str">
        <x:v>127.6</x:v>
      </x:c>
      <x:c r="G112" s="56" t="str"/>
      <x:c r="H112" s="56" t="str">
        <x:v>350.79999</x:v>
      </x:c>
      <x:c r="I112" s="56" t="str">
        <x:v>57.900002</x:v>
      </x:c>
      <x:c r="J112" s="56" t="str">
        <x:v>82.5</x:v>
      </x:c>
      <x:c r="K112" s="56" t="str">
        <x:v>54</x:v>
      </x:c>
      <x:c r="L112" s="56" t="str">
        <x:v>D</x:v>
      </x:c>
      <x:c r="M112" s="59" t="str">
        <x:v>IRM; HYST; Mrs/Ms vs Bcr/Bc; SEM;</x:v>
      </x:c>
      <x:c r="N112" s="56" t="n">
        <x:f>--(LEN(M112)&gt;0)</x:f>
        <x:v>1</x:v>
      </x:c>
      <x:c r="O112" s="56" t="n">
        <x:v>1</x:v>
      </x:c>
      <x:c r="P112" s="56" t="n">
        <x:f>--(N112=O112)</x:f>
        <x:v>1</x:v>
      </x:c>
      <x:c r="Q112" s="56" t="str">
        <x:v>PRESENT</x:v>
      </x:c>
      <x:c r="R112" s="59" t="str">
        <x:v>IRM,HYST(MAGN,HEM,ILM)</x:v>
      </x:c>
      <x:c r="S112" s="59" t="str">
        <x:v>IRM,HYST(MAGN,HEM,ILM)</x:v>
      </x:c>
      <x:c r="T112" s="56" t="n">
        <x:f>--(Q112="PRESENT")</x:f>
        <x:v>1</x:v>
      </x:c>
      <x:c r="U112" s="56" t="n">
        <x:f>--(T112=N112)</x:f>
        <x:v>1</x:v>
      </x:c>
      <x:c r="V112" s="56" t="n">
        <x:f>--(T112=O112)</x:f>
        <x:v>1</x:v>
      </x:c>
      <x:c r="W112" s="56" t="n">
        <x:f>--(OR(Q112="PRESENT",Q112="ABSENT"))</x:f>
        <x:v>1</x:v>
      </x:c>
      <x:c r="X112" s="56" t="str">
        <x:v>MEDIUM</x:v>
      </x:c>
      <x:c r="Y112" s="56" t="str">
        <x:v>METADATA_UNIQUE</x:v>
      </x:c>
      <x:c r="Z112" s="57" t="b">
        <x:v>1</x:v>
      </x:c>
      <x:c r="AA112" s="57" t="b">
        <x:v>1</x:v>
      </x:c>
      <x:c r="AB112" s="56" t="n">
        <x:v>0</x:v>
      </x:c>
      <x:c r="AC112" s="56" t="str">
        <x:v>IRM,HYST</x:v>
      </x:c>
      <x:c r="AD112" s="56" t="str">
        <x:v>MAGN,HEM,ILM</x:v>
      </x:c>
      <x:c r="AE112" s="56" t="str">
        <x:v>PSD,MD</x:v>
      </x:c>
      <x:c r="AF112" s="56" t="str">
        <x:v>6, 7, 8</x:v>
      </x:c>
      <x:c r="AG112" s="59" t="str">
        <x:v>p.6: IRM acquisition curves for the samples (a) from the Chopyeong Formation and (b) from the granite. | p.7: Typical hysteresis loops from (a) red bed and (b) greenish mudstone of the Chopyeong Formation. | p.7: The third group, all samples from red bed of the Chopyeong Formation shows continuous increase in IRM intensity with increasing ﬁeld (Fig. 4(a)), indicat- ing canted antiferromagnetic material makes an important contribution to the IRM acquisition and the amount of fer- rimagnetic mineral is negligible.</x:v>
      </x:c>
      <x:c r="AH112" s="58" t="n">
        <x:v>0.9626180145447779</x:v>
      </x:c>
      <x:c r="AI112" s="56" t="n">
        <x:f>--(AH112&gt;=0.5)</x:f>
        <x:v>1</x:v>
      </x:c>
      <x:c r="AJ112" s="56" t="n">
        <x:f>--(AI112=O112)</x:f>
        <x:v>1</x:v>
      </x:c>
      <x:c r="AK112" s="58" t="n">
        <x:v>0.9626180145447779</x:v>
      </x:c>
      <x:c r="AL112" s="56" t="n">
        <x:f>--(AK112&gt;=0.5)</x:f>
        <x:v>1</x:v>
      </x:c>
      <x:c r="AM112" s="56" t="n">
        <x:f>--(AL112=O112)</x:f>
        <x:v>1</x:v>
      </x:c>
    </x:row>
    <x:row r="113" ht="32" customHeight="1">
      <x:c r="A113" s="56" t="str">
        <x:v>3286</x:v>
      </x:c>
      <x:c r="B113" s="56" t="str">
        <x:v>8496</x:v>
      </x:c>
      <x:c r="C113" s="56" t="str">
        <x:v>6846</x:v>
      </x:c>
      <x:c r="D113" s="56" t="str">
        <x:v>Eumsung Basin Granites</x:v>
      </x:c>
      <x:c r="E113" s="56" t="str">
        <x:v>36.900002</x:v>
      </x:c>
      <x:c r="F113" s="56" t="str">
        <x:v>127.6</x:v>
      </x:c>
      <x:c r="G113" s="56" t="str"/>
      <x:c r="H113" s="56" t="str">
        <x:v>350.5</x:v>
      </x:c>
      <x:c r="I113" s="56" t="str">
        <x:v>52.799999</x:v>
      </x:c>
      <x:c r="J113" s="56" t="str">
        <x:v>81.5</x:v>
      </x:c>
      <x:c r="K113" s="56" t="str">
        <x:v>21.1</x:v>
      </x:c>
      <x:c r="L113" s="56" t="str">
        <x:v>V</x:v>
      </x:c>
      <x:c r="M113" s="59" t="str"/>
      <x:c r="N113" s="56" t="n">
        <x:f>--(LEN(M113)&gt;0)</x:f>
        <x:v>0</x:v>
      </x:c>
      <x:c r="O113" s="56" t="n">
        <x:v>0</x:v>
      </x:c>
      <x:c r="P113" s="56" t="n">
        <x:f>--(N113=O113)</x:f>
        <x:v>1</x:v>
      </x:c>
      <x:c r="Q113" s="56" t="str">
        <x:v>PRESENT</x:v>
      </x:c>
      <x:c r="R113" s="59" t="str">
        <x:v>IRM(MAGN,HEM)</x:v>
      </x:c>
      <x:c r="S113" s="59" t="str">
        <x:v>IRM(MAGN,HEM)</x:v>
      </x:c>
      <x:c r="T113" s="56" t="n">
        <x:f>--(Q113="PRESENT")</x:f>
        <x:v>1</x:v>
      </x:c>
      <x:c r="U113" s="56" t="n">
        <x:f>--(T113=N113)</x:f>
        <x:v>0</x:v>
      </x:c>
      <x:c r="V113" s="56" t="n">
        <x:f>--(T113=O113)</x:f>
        <x:v>0</x:v>
      </x:c>
      <x:c r="W113" s="56" t="n">
        <x:f>--(OR(Q113="PRESENT",Q113="ABSENT"))</x:f>
        <x:v>1</x:v>
      </x:c>
      <x:c r="X113" s="56" t="str">
        <x:v>MEDIUM</x:v>
      </x:c>
      <x:c r="Y113" s="56" t="str">
        <x:v>METADATA_UNIQUE</x:v>
      </x:c>
      <x:c r="Z113" s="57" t="b">
        <x:v>1</x:v>
      </x:c>
      <x:c r="AA113" s="57" t="b">
        <x:v>1</x:v>
      </x:c>
      <x:c r="AB113" s="56" t="n">
        <x:v>0</x:v>
      </x:c>
      <x:c r="AC113" s="56" t="str">
        <x:v>IRM</x:v>
      </x:c>
      <x:c r="AD113" s="56" t="str">
        <x:v>MAGN,HEM</x:v>
      </x:c>
      <x:c r="AE113" s="56" t="str"/>
      <x:c r="AF113" s="56" t="str">
        <x:v>6</x:v>
      </x:c>
      <x:c r="AG113" s="59" t="str">
        <x:v>p.6: IRM | p.6: magnetite | p.6: hematite</x:v>
      </x:c>
      <x:c r="AH113" s="58" t="n">
        <x:v>0.9065064030735366</x:v>
      </x:c>
      <x:c r="AI113" s="56" t="n">
        <x:f>--(AH113&gt;=0.5)</x:f>
        <x:v>1</x:v>
      </x:c>
      <x:c r="AJ113" s="56" t="n">
        <x:f>--(AI113=O113)</x:f>
        <x:v>0</x:v>
      </x:c>
      <x:c r="AK113" s="58" t="n">
        <x:v>0.9065064030735366</x:v>
      </x:c>
      <x:c r="AL113" s="56" t="n">
        <x:f>--(AK113&gt;=0.5)</x:f>
        <x:v>1</x:v>
      </x:c>
      <x:c r="AM113" s="56" t="n">
        <x:f>--(AL113=O113)</x:f>
        <x:v>0</x:v>
      </x:c>
    </x:row>
    <x:row r="114" ht="32" customHeight="1">
      <x:c r="A114" s="56" t="str">
        <x:v>2850</x:v>
      </x:c>
      <x:c r="B114" s="56" t="str">
        <x:v>8516</x:v>
      </x:c>
      <x:c r="C114" s="56" t="str">
        <x:v>6868</x:v>
      </x:c>
      <x:c r="D114" s="56" t="str">
        <x:v>Segozero Dolerite Dykes</x:v>
      </x:c>
      <x:c r="E114" s="56" t="str">
        <x:v>63.200001</x:v>
      </x:c>
      <x:c r="F114" s="56" t="str">
        <x:v>33.5</x:v>
      </x:c>
      <x:c r="G114" s="56" t="str">
        <x:v>Component B2</x:v>
      </x:c>
      <x:c r="H114" s="56" t="str">
        <x:v>325.39999</x:v>
      </x:c>
      <x:c r="I114" s="56" t="str">
        <x:v>44.599998</x:v>
      </x:c>
      <x:c r="J114" s="56" t="str">
        <x:v>46.700001</x:v>
      </x:c>
      <x:c r="K114" s="56" t="str">
        <x:v>261.39999</x:v>
      </x:c>
      <x:c r="L114" s="56" t="str">
        <x:v>V</x:v>
      </x:c>
      <x:c r="M114" s="59" t="str"/>
      <x:c r="N114" s="56" t="n">
        <x:f>--(LEN(M114)&gt;0)</x:f>
        <x:v>0</x:v>
      </x:c>
      <x:c r="O114" s="56" t="n">
        <x:v>0</x:v>
      </x:c>
      <x:c r="P114" s="56" t="n">
        <x:f>--(N114=O114)</x:f>
        <x:v>1</x:v>
      </x:c>
      <x:c r="Q114" s="56" t="str">
        <x:v>ABSTAIN_INSUFFICIENT</x:v>
      </x:c>
      <x:c r="R114" s="59" t="str"/>
      <x:c r="S114" s="59" t="str"/>
      <x:c r="T114" s="56" t="n">
        <x:f>--(Q114="PRESENT")</x:f>
        <x:v>0</x:v>
      </x:c>
      <x:c r="U114" s="56" t="n">
        <x:f>--(T114=N114)</x:f>
        <x:v>1</x:v>
      </x:c>
      <x:c r="V114" s="56" t="n">
        <x:f>--(T114=O114)</x:f>
        <x:v>1</x:v>
      </x:c>
      <x:c r="W114" s="56" t="n">
        <x:f>--(OR(Q114="PRESENT",Q114="ABSENT"))</x:f>
        <x:v>0</x:v>
      </x:c>
      <x:c r="X114" s="56" t="str">
        <x:v>LOW</x:v>
      </x:c>
      <x:c r="Y114" s="56" t="str">
        <x:v>PAPER_ROW_MATCH</x:v>
      </x:c>
      <x:c r="Z114" s="57" t="b">
        <x:v>1</x:v>
      </x:c>
      <x:c r="AA114" s="57" t="b">
        <x:v>1</x:v>
      </x:c>
      <x:c r="AB114" s="56" t="n">
        <x:v>1</x:v>
      </x:c>
      <x:c r="AC114" s="56" t="str"/>
      <x:c r="AD114" s="56" t="str"/>
      <x:c r="AE114" s="56" t="str"/>
      <x:c r="AF114" s="56" t="str">
        <x:v>14, 15</x:v>
      </x:c>
      <x:c r="AG114" s="59" t="str">
        <x:v>p.14: events, time span between these magnetizations. Hence, the age of the A component for the Main Range rocks is nearly the same aswhich yield Rb–Sr ages of 2450± 83 Ma and 2198± 172 Ma, are possibly related to the A and C components isolated in the the age of pluton pyroxenites. The structural relationships between these bodies indicate that the Monchegorsk plutonVoche–Lambina rocks (Table 1, entries 1.6, 1.7, 1.8 and 1.9). In the Karelian province, the B1 component from the Matozero cannot be old | p.14: stimate the age of the A component, isolated indoleritic dykes is dated from a U–Pb age of 2150 ± 60 Ma (Table 2, entries 2.3 and 2.4), and the B2 component from the the pluton pyroxenites, as 2406 ± 3 Ma—the age of the Main Range amphibolized gabbro (Mitrofanov et al. 1993). FieldRopruchey Sill is dated from a U–Pb age of 1770 ± 12 Ma (Table 2, entries 2.10, 2.11 and 2.12). The A component from relationships between the Moncha picritic dykes (entry 1.1) and the doleritic dykes of ﬁrst and secon | p.15: high-coercivity one. The doleritic sill carries In the North Onega region, component B1 was isolated in the only one intermediate-temperature, low-coercivity component A Upper Jatulian doleritic dykes with an age of 2100–2200 Ma, (Table 5). and in the Lower Jatulian baked quartzites and schists; in the The Girvas area is about 70 km to the south of Segozero, latter units this component represents a high-temperature near the Girvas waterfall (Fig. 3). The doleritic dykes here are haematite compon</x:v>
      </x:c>
      <x:c r="AH114" s="58" t="n">
        <x:v>0.595498380382546</x:v>
      </x:c>
      <x:c r="AI114" s="56" t="n">
        <x:f>--(AH114&gt;=0.5)</x:f>
        <x:v>1</x:v>
      </x:c>
      <x:c r="AJ114" s="56" t="n">
        <x:f>--(AI114=O114)</x:f>
        <x:v>0</x:v>
      </x:c>
      <x:c r="AK114" s="58" t="n">
        <x:v>0.8347564703999256</x:v>
      </x:c>
      <x:c r="AL114" s="56" t="n">
        <x:f>--(AK114&gt;=0.5)</x:f>
        <x:v>1</x:v>
      </x:c>
      <x:c r="AM114" s="56" t="n">
        <x:f>--(AL114=O114)</x:f>
        <x:v>0</x:v>
      </x:c>
    </x:row>
    <x:row r="115" ht="32" customHeight="1">
      <x:c r="A115" s="56" t="str">
        <x:v>2850</x:v>
      </x:c>
      <x:c r="B115" s="56" t="str">
        <x:v>8517</x:v>
      </x:c>
      <x:c r="C115" s="56" t="str">
        <x:v>6868</x:v>
      </x:c>
      <x:c r="D115" s="56" t="str">
        <x:v>Segozero Dolerite Dykes</x:v>
      </x:c>
      <x:c r="E115" s="56" t="str">
        <x:v>63.200001</x:v>
      </x:c>
      <x:c r="F115" s="56" t="str">
        <x:v>33.5</x:v>
      </x:c>
      <x:c r="G115" s="56" t="str">
        <x:v>Component B1</x:v>
      </x:c>
      <x:c r="H115" s="56" t="str">
        <x:v>290.10001</x:v>
      </x:c>
      <x:c r="I115" s="56" t="str">
        <x:v>-25.6</x:v>
      </x:c>
      <x:c r="J115" s="56" t="str">
        <x:v>-3.3</x:v>
      </x:c>
      <x:c r="K115" s="56" t="str">
        <x:v>279.70001</x:v>
      </x:c>
      <x:c r="L115" s="56" t="str">
        <x:v>V</x:v>
      </x:c>
      <x:c r="M115" s="59" t="str"/>
      <x:c r="N115" s="56" t="n">
        <x:f>--(LEN(M115)&gt;0)</x:f>
        <x:v>0</x:v>
      </x:c>
      <x:c r="O115" s="56" t="n">
        <x:v>0</x:v>
      </x:c>
      <x:c r="P115" s="56" t="n">
        <x:f>--(N115=O115)</x:f>
        <x:v>1</x:v>
      </x:c>
      <x:c r="Q115" s="56" t="str">
        <x:v>ABSTAIN_INSUFFICIENT</x:v>
      </x:c>
      <x:c r="R115" s="59" t="str"/>
      <x:c r="S115" s="59" t="str"/>
      <x:c r="T115" s="56" t="n">
        <x:f>--(Q115="PRESENT")</x:f>
        <x:v>0</x:v>
      </x:c>
      <x:c r="U115" s="56" t="n">
        <x:f>--(T115=N115)</x:f>
        <x:v>1</x:v>
      </x:c>
      <x:c r="V115" s="56" t="n">
        <x:f>--(T115=O115)</x:f>
        <x:v>1</x:v>
      </x:c>
      <x:c r="W115" s="56" t="n">
        <x:f>--(OR(Q115="PRESENT",Q115="ABSENT"))</x:f>
        <x:v>0</x:v>
      </x:c>
      <x:c r="X115" s="56" t="str">
        <x:v>LOW</x:v>
      </x:c>
      <x:c r="Y115" s="56" t="str">
        <x:v>PAPER_ROW_MATCH</x:v>
      </x:c>
      <x:c r="Z115" s="57" t="b">
        <x:v>1</x:v>
      </x:c>
      <x:c r="AA115" s="57" t="b">
        <x:v>1</x:v>
      </x:c>
      <x:c r="AB115" s="56" t="n">
        <x:v>1</x:v>
      </x:c>
      <x:c r="AC115" s="56" t="str"/>
      <x:c r="AD115" s="56" t="str"/>
      <x:c r="AE115" s="56" t="str"/>
      <x:c r="AF115" s="56" t="str">
        <x:v>14, 15, 16</x:v>
      </x:c>
      <x:c r="AG115" s="59" t="str">
        <x:v>p.14: Ma (Table 1, the mean directions for the normal and reverse magnetizations (Table 1, entries 1.2 and 1.3). This result implies a shortentry 1.2), whereas in the Kolvitsa porphyrities it is dated from a U–Pb age of 2450± 10 Ma. Two metamorphic events, time span between these magnetizations. Hence, the age of the A component for the Main Range rocks is nearly the same aswhich yield Rb–Sr ages of 2450± 83 Ma and 2198± 172 Ma, are possibly related to the A and C components isolated in the the age of | p.14: stimate the age of the A component, isolated indoleritic dykes is dated from a U–Pb age of 2150 ± 60 Ma (Table 2, entries 2.3 and 2.4), and the B2 component from the the pluton pyroxenites, as 2406 ± 3 Ma—the age of the Main Range amphibolized gabbro (Mitrofanov et al. 1993). FieldRopruchey Sill is dated from a U–Pb age of 1770 ± 12 Ma (Table 2, entries 2.10, 2.11 and 2.12). The A component from relationships between the Moncha picritic dykes (entry 1.1) and the doleritic dykes of ﬁrst and secon | p.15: he variety of ages of this The Segozero area (Fig. 3) extends along the southern component in the mentioned areas. These younger age limits shore of Lake Segozero, close to the northern margin of of components A and C are indirectly conﬁrmed by the fact the Onega depression. Doleritic dykes here carry two NRM that these components were recorded in the Lower Jatulian components: the ﬁrst one, indicated as B 1, is isolated in formations of the North Onega region (Table 2) and are absent the range </x:v>
      </x:c>
      <x:c r="AH115" s="58" t="n">
        <x:v>0.595498380382546</x:v>
      </x:c>
      <x:c r="AI115" s="56" t="n">
        <x:f>--(AH115&gt;=0.5)</x:f>
        <x:v>1</x:v>
      </x:c>
      <x:c r="AJ115" s="56" t="n">
        <x:f>--(AI115=O115)</x:f>
        <x:v>0</x:v>
      </x:c>
      <x:c r="AK115" s="58" t="n">
        <x:v>0.8347564703999256</x:v>
      </x:c>
      <x:c r="AL115" s="56" t="n">
        <x:f>--(AK115&gt;=0.5)</x:f>
        <x:v>1</x:v>
      </x:c>
      <x:c r="AM115" s="56" t="n">
        <x:f>--(AL115=O115)</x:f>
        <x:v>0</x:v>
      </x:c>
    </x:row>
    <x:row r="116" ht="32" customHeight="1">
      <x:c r="A116" s="56" t="str">
        <x:v>2850</x:v>
      </x:c>
      <x:c r="B116" s="56" t="str">
        <x:v>8518</x:v>
      </x:c>
      <x:c r="C116" s="56" t="str">
        <x:v>6869</x:v>
      </x:c>
      <x:c r="D116" s="56" t="str">
        <x:v>Segozero Dolerite Sill</x:v>
      </x:c>
      <x:c r="E116" s="56" t="str">
        <x:v>63.200001</x:v>
      </x:c>
      <x:c r="F116" s="56" t="str">
        <x:v>33.5</x:v>
      </x:c>
      <x:c r="G116" s="56" t="str">
        <x:v>Component A</x:v>
      </x:c>
      <x:c r="H116" s="56" t="str">
        <x:v>62.599998</x:v>
      </x:c>
      <x:c r="I116" s="56" t="str">
        <x:v>52.5</x:v>
      </x:c>
      <x:c r="J116" s="56" t="str">
        <x:v>-41.400002</x:v>
      </x:c>
      <x:c r="K116" s="56" t="str">
        <x:v>311</x:v>
      </x:c>
      <x:c r="L116" s="56" t="str">
        <x:v>V</x:v>
      </x:c>
      <x:c r="M116" s="59" t="str"/>
      <x:c r="N116" s="56" t="n">
        <x:f>--(LEN(M116)&gt;0)</x:f>
        <x:v>0</x:v>
      </x:c>
      <x:c r="O116" s="56" t="n">
        <x:v>0</x:v>
      </x:c>
      <x:c r="P116" s="56" t="n">
        <x:f>--(N116=O116)</x:f>
        <x:v>1</x:v>
      </x:c>
      <x:c r="Q116" s="56" t="str">
        <x:v>ABSTAIN_INSUFFICIENT</x:v>
      </x:c>
      <x:c r="R116" s="59" t="str"/>
      <x:c r="S116" s="59" t="str"/>
      <x:c r="T116" s="56" t="n">
        <x:f>--(Q116="PRESENT")</x:f>
        <x:v>0</x:v>
      </x:c>
      <x:c r="U116" s="56" t="n">
        <x:f>--(T116=N116)</x:f>
        <x:v>1</x:v>
      </x:c>
      <x:c r="V116" s="56" t="n">
        <x:f>--(T116=O116)</x:f>
        <x:v>1</x:v>
      </x:c>
      <x:c r="W116" s="56" t="n">
        <x:f>--(OR(Q116="PRESENT",Q116="ABSENT"))</x:f>
        <x:v>0</x:v>
      </x:c>
      <x:c r="X116" s="56" t="str">
        <x:v>LOW</x:v>
      </x:c>
      <x:c r="Y116" s="56" t="str">
        <x:v>PAPER_ROW_MATCH</x:v>
      </x:c>
      <x:c r="Z116" s="57" t="b">
        <x:v>1</x:v>
      </x:c>
      <x:c r="AA116" s="57" t="b">
        <x:v>1</x:v>
      </x:c>
      <x:c r="AB116" s="56" t="n">
        <x:v>0</x:v>
      </x:c>
      <x:c r="AC116" s="56" t="str"/>
      <x:c r="AD116" s="56" t="str"/>
      <x:c r="AE116" s="56" t="str"/>
      <x:c r="AF116" s="56" t="str">
        <x:v>14, 15</x:v>
      </x:c>
      <x:c r="AG116" s="59" t="str">
        <x:v>p.14: 704 M. A. Fedotova et al. Figure 13. Thermomagnetic and di Verential thermomagnetic curves: decay of the SIRM, per cent per 25 ° C. Sample 111: Monchegorsk pluton pyroxenite; sample 35: Voche–Lambina dolerite; sample K17: Kolvitsa peridotite; sample K21: Kolvitsa porphyritic dyke; sample M1: Ladva gabbro-dolerite; sample B91: Shoksha dolerite. 1: ﬁrst heating, 2: second heating. been radiometrically dated). For the Kola and Belomorian A component isolated in the Moncha rocks gave a positive resu | p.14: stimate the age of the A component, isolated indoleritic dykes is dated from a U–Pb age of 2150 ± 60 Ma (Table 2, entries 2.3 and 2.4), and the B2 component from the the pluton pyroxenites, as 2406 ± 3 Ma—the age of the Main Range amphibolized gabbro (Mitrofanov et al. 1993). FieldRopruchey Sill is dated from a U–Pb age of 1770 ± 12 Ma (Table 2, entries 2.10, 2.11 and 2.12). The A component from relationships between the Moncha picritic dykes (entry 1.1) and the doleritic dykes of ﬁrst and secon | p.15: Early Proterozoic palaeomagnetism 705 dykes cutting these metamorphic rocks. Finally, the B 2 com- This lopolith-like body is 6 km long and up to 2 km wide and is mantled by a broad rim of banded garnet amphibolites.ponent has been isolated in all rock types mentioned above and, thus, appears to be superimposed. Hence, in this case we In addition, there are three generations of maﬁc dykes; the youngest of them is of Svecofennian age (Miller et al. 1995).have the same time succession of NRM-compo</x:v>
      </x:c>
      <x:c r="AH116" s="58" t="n">
        <x:v>0.6213969247146679</x:v>
      </x:c>
      <x:c r="AI116" s="56" t="n">
        <x:f>--(AH116&gt;=0.5)</x:f>
        <x:v>1</x:v>
      </x:c>
      <x:c r="AJ116" s="56" t="n">
        <x:f>--(AI116=O116)</x:f>
        <x:v>0</x:v>
      </x:c>
      <x:c r="AK116" s="58" t="n">
        <x:v>0.8527031462023508</x:v>
      </x:c>
      <x:c r="AL116" s="56" t="n">
        <x:f>--(AK116&gt;=0.5)</x:f>
        <x:v>1</x:v>
      </x:c>
      <x:c r="AM116" s="56" t="n">
        <x:f>--(AL116=O116)</x:f>
        <x:v>0</x:v>
      </x:c>
    </x:row>
    <x:row r="117" ht="32" customHeight="1">
      <x:c r="A117" s="56" t="str">
        <x:v>2850</x:v>
      </x:c>
      <x:c r="B117" s="56" t="str">
        <x:v>8519</x:v>
      </x:c>
      <x:c r="C117" s="56" t="str">
        <x:v>5954</x:v>
      </x:c>
      <x:c r="D117" s="56" t="str">
        <x:v>Girvas Lavas and Schists</x:v>
      </x:c>
      <x:c r="E117" s="56" t="str">
        <x:v>62.5</x:v>
      </x:c>
      <x:c r="F117" s="56" t="str">
        <x:v>33.5</x:v>
      </x:c>
      <x:c r="G117" s="56" t="str">
        <x:v>Component B2</x:v>
      </x:c>
      <x:c r="H117" s="56" t="str">
        <x:v>321.29999</x:v>
      </x:c>
      <x:c r="I117" s="56" t="str">
        <x:v>39.5</x:v>
      </x:c>
      <x:c r="J117" s="56" t="str">
        <x:v>42.200001</x:v>
      </x:c>
      <x:c r="K117" s="56" t="str">
        <x:v>264.70001</x:v>
      </x:c>
      <x:c r="L117" s="56" t="str">
        <x:v>V</x:v>
      </x:c>
      <x:c r="M117" s="59" t="str"/>
      <x:c r="N117" s="56" t="n">
        <x:f>--(LEN(M117)&gt;0)</x:f>
        <x:v>0</x:v>
      </x:c>
      <x:c r="O117" s="56" t="n">
        <x:v>0</x:v>
      </x:c>
      <x:c r="P117" s="56" t="n">
        <x:f>--(N117=O117)</x:f>
        <x:v>1</x:v>
      </x:c>
      <x:c r="Q117" s="56" t="str">
        <x:v>ABSTAIN_INSUFFICIENT</x:v>
      </x:c>
      <x:c r="R117" s="59" t="str"/>
      <x:c r="S117" s="59" t="str"/>
      <x:c r="T117" s="56" t="n">
        <x:f>--(Q117="PRESENT")</x:f>
        <x:v>0</x:v>
      </x:c>
      <x:c r="U117" s="56" t="n">
        <x:f>--(T117=N117)</x:f>
        <x:v>1</x:v>
      </x:c>
      <x:c r="V117" s="56" t="n">
        <x:f>--(T117=O117)</x:f>
        <x:v>1</x:v>
      </x:c>
      <x:c r="W117" s="56" t="n">
        <x:f>--(OR(Q117="PRESENT",Q117="ABSENT"))</x:f>
        <x:v>0</x:v>
      </x:c>
      <x:c r="X117" s="56" t="str">
        <x:v>LOW</x:v>
      </x:c>
      <x:c r="Y117" s="56" t="str">
        <x:v>PAPER_ROW_MATCH</x:v>
      </x:c>
      <x:c r="Z117" s="57" t="b">
        <x:v>1</x:v>
      </x:c>
      <x:c r="AA117" s="57" t="b">
        <x:v>1</x:v>
      </x:c>
      <x:c r="AB117" s="56" t="n">
        <x:v>1</x:v>
      </x:c>
      <x:c r="AC117" s="56" t="str"/>
      <x:c r="AD117" s="56" t="str"/>
      <x:c r="AE117" s="56" t="str"/>
      <x:c r="AF117" s="56" t="str">
        <x:v>14, 15</x:v>
      </x:c>
      <x:c r="AG117" s="59" t="str">
        <x:v>p.14: events, time span between these magnetizations. Hence, the age of the A component for the Main Range rocks is nearly the same aswhich yield Rb–Sr ages of 2450± 83 Ma and 2198± 172 Ma, are possibly related to the A and C components isolated in the the age of pluton pyroxenites. The structural relationships between these bodies indicate that the Monchegorsk plutonVoche–Lambina rocks (Table 1, entries 1.6, 1.7, 1.8 and 1.9). In the Karelian province, the B1 component from the Matozero cannot be old | p.14: stimate the age of the A component, isolated indoleritic dykes is dated from a U–Pb age of 2150 ± 60 Ma (Table 2, entries 2.3 and 2.4), and the B2 component from the the pluton pyroxenites, as 2406 ± 3 Ma—the age of the Main Range amphibolized gabbro (Mitrofanov et al. 1993). FieldRopruchey Sill is dated from a U–Pb age of 1770 ± 12 Ma (Table 2, entries 2.10, 2.11 and 2.12). The A component from relationships between the Moncha picritic dykes (entry 1.1) and the doleritic dykes of ﬁrst and secon | p.15: high-coercivity one. The doleritic sill carries In the North Onega region, component B1 was isolated in the only one intermediate-temperature, low-coercivity component A Upper Jatulian doleritic dykes with an age of 2100–2200 Ma, (Table 5). and in the Lower Jatulian baked quartzites and schists; in the The Girvas area is about 70 km to the south of Segozero, latter units this component represents a high-temperature near the Girvas waterfall (Fig. 3). The doleritic dykes here are haematite compon</x:v>
      </x:c>
      <x:c r="AH117" s="58" t="n">
        <x:v>0.6101043233518512</x:v>
      </x:c>
      <x:c r="AI117" s="56" t="n">
        <x:f>--(AH117&gt;=0.5)</x:f>
        <x:v>1</x:v>
      </x:c>
      <x:c r="AJ117" s="56" t="n">
        <x:f>--(AI117=O117)</x:f>
        <x:v>0</x:v>
      </x:c>
      <x:c r="AK117" s="58" t="n">
        <x:v>0.47243186070630583</x:v>
      </x:c>
      <x:c r="AL117" s="56" t="n">
        <x:f>--(AK117&gt;=0.5)</x:f>
        <x:v>0</x:v>
      </x:c>
      <x:c r="AM117" s="56" t="n">
        <x:f>--(AL117=O117)</x:f>
        <x:v>1</x:v>
      </x:c>
    </x:row>
    <x:row r="118" ht="32" customHeight="1">
      <x:c r="A118" s="56" t="str">
        <x:v>2850</x:v>
      </x:c>
      <x:c r="B118" s="56" t="str">
        <x:v>8520</x:v>
      </x:c>
      <x:c r="C118" s="56" t="str">
        <x:v>5954</x:v>
      </x:c>
      <x:c r="D118" s="56" t="str">
        <x:v>Girvas Lavas and Schists</x:v>
      </x:c>
      <x:c r="E118" s="56" t="str">
        <x:v>62.5</x:v>
      </x:c>
      <x:c r="F118" s="56" t="str">
        <x:v>33.5</x:v>
      </x:c>
      <x:c r="G118" s="56" t="str">
        <x:v>Component D</x:v>
      </x:c>
      <x:c r="H118" s="56" t="str">
        <x:v>256.10001</x:v>
      </x:c>
      <x:c r="I118" s="56" t="str">
        <x:v>67</x:v>
      </x:c>
      <x:c r="J118" s="56" t="str">
        <x:v>-37.200001</x:v>
      </x:c>
      <x:c r="K118" s="56" t="str">
        <x:v>161.5</x:v>
      </x:c>
      <x:c r="L118" s="56" t="str">
        <x:v>V</x:v>
      </x:c>
      <x:c r="M118" s="59" t="str"/>
      <x:c r="N118" s="56" t="n">
        <x:f>--(LEN(M118)&gt;0)</x:f>
        <x:v>0</x:v>
      </x:c>
      <x:c r="O118" s="56" t="n">
        <x:v>0</x:v>
      </x:c>
      <x:c r="P118" s="56" t="n">
        <x:f>--(N118=O118)</x:f>
        <x:v>1</x:v>
      </x:c>
      <x:c r="Q118" s="56" t="str">
        <x:v>ABSTAIN_INSUFFICIENT</x:v>
      </x:c>
      <x:c r="R118" s="59" t="str"/>
      <x:c r="S118" s="59" t="str">
        <x:v>MAGN,HEM</x:v>
      </x:c>
      <x:c r="T118" s="56" t="n">
        <x:f>--(Q118="PRESENT")</x:f>
        <x:v>0</x:v>
      </x:c>
      <x:c r="U118" s="56" t="n">
        <x:f>--(T118=N118)</x:f>
        <x:v>1</x:v>
      </x:c>
      <x:c r="V118" s="56" t="n">
        <x:f>--(T118=O118)</x:f>
        <x:v>1</x:v>
      </x:c>
      <x:c r="W118" s="56" t="n">
        <x:f>--(OR(Q118="PRESENT",Q118="ABSENT"))</x:f>
        <x:v>0</x:v>
      </x:c>
      <x:c r="X118" s="56" t="str">
        <x:v>LOW</x:v>
      </x:c>
      <x:c r="Y118" s="56" t="str">
        <x:v>PAPER_ROW_MATCH</x:v>
      </x:c>
      <x:c r="Z118" s="57" t="b">
        <x:v>1</x:v>
      </x:c>
      <x:c r="AA118" s="57" t="b">
        <x:v>1</x:v>
      </x:c>
      <x:c r="AB118" s="56" t="n">
        <x:v>1</x:v>
      </x:c>
      <x:c r="AC118" s="56" t="str"/>
      <x:c r="AD118" s="56" t="str">
        <x:v>MAGN,HEM</x:v>
      </x:c>
      <x:c r="AE118" s="56" t="str"/>
      <x:c r="AF118" s="56" t="str">
        <x:v>15</x:v>
      </x:c>
      <x:c r="AG118" s="59" t="str">
        <x:v>p.15: , low-coercivity component A Upper Jatulian doleritic dykes with an age of 2100–2200 Ma, (Table 5). and in the Lower Jatulian baked quartzites and schists; in the The Girvas area is about 70 km to the south of Segozero, latter units this component represents a high-temperature near the Girvas waterfall (Fig. 3). The doleritic dykes here are haematite component (Table 2, entries 2.3 and 2.4). The Lower characterized by an A component, with intermediate values of Jatulian schists and subvolcanic d | p.15: the (Tub=450–580° C) isolated in the Ropruchey dolerites and isolated component can be estimated. These are: A~2250 Ma; gabbro (Table 2, entries 2.10, 2.11 and 2.12). This fact, together C~2200 Ma; B1~2150 Ma; B2~1800 Ma. We attribute the with the absence of metamorphic features, prompts us to A component of the Tolstik rocks to the most intense meta- conclude a probable primary origin of the B 2 component in morphic event, terminated by the intrusion of potassic granites these rocks. Hence, its</x:v>
      </x:c>
      <x:c r="AH118" s="58" t="n">
        <x:v>0.6101043233518512</x:v>
      </x:c>
      <x:c r="AI118" s="56" t="n">
        <x:f>--(AH118&gt;=0.5)</x:f>
        <x:v>1</x:v>
      </x:c>
      <x:c r="AJ118" s="56" t="n">
        <x:f>--(AI118=O118)</x:f>
        <x:v>0</x:v>
      </x:c>
      <x:c r="AK118" s="58" t="n">
        <x:v>0.47243186070630583</x:v>
      </x:c>
      <x:c r="AL118" s="56" t="n">
        <x:f>--(AK118&gt;=0.5)</x:f>
        <x:v>0</x:v>
      </x:c>
      <x:c r="AM118" s="56" t="n">
        <x:f>--(AL118=O118)</x:f>
        <x:v>1</x:v>
      </x:c>
    </x:row>
    <x:row r="119" ht="32" customHeight="1">
      <x:c r="A119" s="56" t="str">
        <x:v>2850</x:v>
      </x:c>
      <x:c r="B119" s="56" t="str">
        <x:v>8521</x:v>
      </x:c>
      <x:c r="C119" s="56" t="str">
        <x:v>5955</x:v>
      </x:c>
      <x:c r="D119" s="56" t="str">
        <x:v>Girvas Dykes</x:v>
      </x:c>
      <x:c r="E119" s="56" t="str">
        <x:v>62.5</x:v>
      </x:c>
      <x:c r="F119" s="56" t="str">
        <x:v>33.5</x:v>
      </x:c>
      <x:c r="G119" s="56" t="str">
        <x:v>Component A</x:v>
      </x:c>
      <x:c r="H119" s="56" t="str">
        <x:v>94.400002</x:v>
      </x:c>
      <x:c r="I119" s="56" t="str">
        <x:v>57</x:v>
      </x:c>
      <x:c r="J119" s="56" t="str">
        <x:v>-30.9</x:v>
      </x:c>
      <x:c r="K119" s="56" t="str">
        <x:v>280.5</x:v>
      </x:c>
      <x:c r="L119" s="56" t="str">
        <x:v>V</x:v>
      </x:c>
      <x:c r="M119" s="59" t="str"/>
      <x:c r="N119" s="56" t="n">
        <x:f>--(LEN(M119)&gt;0)</x:f>
        <x:v>0</x:v>
      </x:c>
      <x:c r="O119" s="56" t="n">
        <x:v>0</x:v>
      </x:c>
      <x:c r="P119" s="56" t="n">
        <x:f>--(N119=O119)</x:f>
        <x:v>1</x:v>
      </x:c>
      <x:c r="Q119" s="56" t="str">
        <x:v>ABSTAIN_INSUFFICIENT</x:v>
      </x:c>
      <x:c r="R119" s="59" t="str"/>
      <x:c r="S119" s="59" t="str"/>
      <x:c r="T119" s="56" t="n">
        <x:f>--(Q119="PRESENT")</x:f>
        <x:v>0</x:v>
      </x:c>
      <x:c r="U119" s="56" t="n">
        <x:f>--(T119=N119)</x:f>
        <x:v>1</x:v>
      </x:c>
      <x:c r="V119" s="56" t="n">
        <x:f>--(T119=O119)</x:f>
        <x:v>1</x:v>
      </x:c>
      <x:c r="W119" s="56" t="n">
        <x:f>--(OR(Q119="PRESENT",Q119="ABSENT"))</x:f>
        <x:v>0</x:v>
      </x:c>
      <x:c r="X119" s="56" t="str">
        <x:v>LOW</x:v>
      </x:c>
      <x:c r="Y119" s="56" t="str">
        <x:v>PAPER_ROW_MATCH</x:v>
      </x:c>
      <x:c r="Z119" s="57" t="b">
        <x:v>1</x:v>
      </x:c>
      <x:c r="AA119" s="57" t="b">
        <x:v>1</x:v>
      </x:c>
      <x:c r="AB119" s="56" t="n">
        <x:v>0</x:v>
      </x:c>
      <x:c r="AC119" s="56" t="str"/>
      <x:c r="AD119" s="56" t="str"/>
      <x:c r="AE119" s="56" t="str"/>
      <x:c r="AF119" s="56" t="str">
        <x:v>14, 15</x:v>
      </x:c>
      <x:c r="AG119" s="59" t="str">
        <x:v>p.14: 704 M. A. Fedotova et al. Figure 13. Thermomagnetic and di Verential thermomagnetic curves: decay of the SIRM, per cent per 25 ° C. Sample 111: Monchegorsk pluton pyroxenite; sample 35: Voche–Lambina dolerite; sample K17: Kolvitsa peridotite; sample K21: Kolvitsa porphyritic dyke; sample M1: Ladva gabbro-dolerite; sample B91: Shoksha dolerite. 1: ﬁrst heating, 2: second heating. been radiometrically dated). For the Kola and Belomorian A component isolated in the Moncha rocks gave a positive resu | p.14: stimate the age of the A component, isolated indoleritic dykes is dated from a U–Pb age of 2150 ± 60 Ma (Table 2, entries 2.3 and 2.4), and the B2 component from the the pluton pyroxenites, as 2406 ± 3 Ma—the age of the Main Range amphibolized gabbro (Mitrofanov et al. 1993). FieldRopruchey Sill is dated from a U–Pb age of 1770 ± 12 Ma (Table 2, entries 2.10, 2.11 and 2.12). The A component from relationships between the Moncha picritic dykes (entry 1.1) and the doleritic dykes of ﬁrst and secon | p.15: Early Proterozoic palaeomagnetism 705 dykes cutting these metamorphic rocks. Finally, the B 2 com- This lopolith-like body is 6 km long and up to 2 km wide and is mantled by a broad rim of banded garnet amphibolites.ponent has been isolated in all rock types mentioned above and, thus, appears to be superimposed. Hence, in this case we In addition, there are three generations of maﬁc dykes; the youngest of them is of Svecofennian age (Miller et al. 1995).have the same time succession of NRM-compo</x:v>
      </x:c>
      <x:c r="AH119" s="58" t="n">
        <x:v>0.5536416843089044</x:v>
      </x:c>
      <x:c r="AI119" s="56" t="n">
        <x:f>--(AH119&gt;=0.5)</x:f>
        <x:v>1</x:v>
      </x:c>
      <x:c r="AJ119" s="56" t="n">
        <x:f>--(AI119=O119)</x:f>
        <x:v>0</x:v>
      </x:c>
      <x:c r="AK119" s="58" t="n">
        <x:v>0.738896423101872</x:v>
      </x:c>
      <x:c r="AL119" s="56" t="n">
        <x:f>--(AK119&gt;=0.5)</x:f>
        <x:v>1</x:v>
      </x:c>
      <x:c r="AM119" s="56" t="n">
        <x:f>--(AL119=O119)</x:f>
        <x:v>0</x:v>
      </x:c>
    </x:row>
    <x:row r="120" ht="32" customHeight="1">
      <x:c r="A120" s="56" t="str">
        <x:v>2850</x:v>
      </x:c>
      <x:c r="B120" s="56" t="str">
        <x:v>8522</x:v>
      </x:c>
      <x:c r="C120" s="56" t="str">
        <x:v>5956</x:v>
      </x:c>
      <x:c r="D120" s="56" t="str">
        <x:v>Burakovka Intrusion (Central Block)</x:v>
      </x:c>
      <x:c r="E120" s="56" t="str">
        <x:v>62.099998</x:v>
      </x:c>
      <x:c r="F120" s="56" t="str">
        <x:v>36.200001</x:v>
      </x:c>
      <x:c r="G120" s="56" t="str">
        <x:v>Component A</x:v>
      </x:c>
      <x:c r="H120" s="56" t="str">
        <x:v>119.6</x:v>
      </x:c>
      <x:c r="I120" s="56" t="str">
        <x:v>63.5</x:v>
      </x:c>
      <x:c r="J120" s="56" t="str">
        <x:v>-27.6</x:v>
      </x:c>
      <x:c r="K120" s="56" t="str">
        <x:v>260</x:v>
      </x:c>
      <x:c r="L120" s="56" t="str">
        <x:v>V</x:v>
      </x:c>
      <x:c r="M120" s="59" t="str"/>
      <x:c r="N120" s="56" t="n">
        <x:f>--(LEN(M120)&gt;0)</x:f>
        <x:v>0</x:v>
      </x:c>
      <x:c r="O120" s="56" t="n">
        <x:v>0</x:v>
      </x:c>
      <x:c r="P120" s="56" t="n">
        <x:f>--(N120=O120)</x:f>
        <x:v>1</x:v>
      </x:c>
      <x:c r="Q120" s="56" t="str">
        <x:v>ABSTAIN_INSUFFICIENT</x:v>
      </x:c>
      <x:c r="R120" s="59" t="str"/>
      <x:c r="S120" s="59" t="str"/>
      <x:c r="T120" s="56" t="n">
        <x:f>--(Q120="PRESENT")</x:f>
        <x:v>0</x:v>
      </x:c>
      <x:c r="U120" s="56" t="n">
        <x:f>--(T120=N120)</x:f>
        <x:v>1</x:v>
      </x:c>
      <x:c r="V120" s="56" t="n">
        <x:f>--(T120=O120)</x:f>
        <x:v>1</x:v>
      </x:c>
      <x:c r="W120" s="56" t="n">
        <x:f>--(OR(Q120="PRESENT",Q120="ABSENT"))</x:f>
        <x:v>0</x:v>
      </x:c>
      <x:c r="X120" s="56" t="str">
        <x:v>LOW</x:v>
      </x:c>
      <x:c r="Y120" s="56" t="str">
        <x:v>PAPER_ROW_MATCH</x:v>
      </x:c>
      <x:c r="Z120" s="57" t="b">
        <x:v>1</x:v>
      </x:c>
      <x:c r="AA120" s="57" t="b">
        <x:v>1</x:v>
      </x:c>
      <x:c r="AB120" s="56" t="n">
        <x:v>0</x:v>
      </x:c>
      <x:c r="AC120" s="56" t="str"/>
      <x:c r="AD120" s="56" t="str"/>
      <x:c r="AE120" s="56" t="str"/>
      <x:c r="AF120" s="56" t="str">
        <x:v>6, 9, 10</x:v>
      </x:c>
      <x:c r="AG120" s="59" t="str">
        <x:v>p.6: 696 M. A. Fedotova et al. majority of specimens. These components have diVerent ranges In the Voche–Lambina area, four groups of directions are isolated. They are similar to the directions of the Monchaof unblocking temperatures and coercive spectra. Moreover, diVerent rock types from the same site sometimes exhibit groups. The ﬁrst group (component A; Figs 6 and 9b) is of dual polarity with relatively high unblocking temperaturesdiVerent characteristic remanent magnetization (ChRM) directions ( | p.6: and for some pyroxenites of the Monchegorsk pluton (Figs 5 and 9a). It is a dual-polarity unblocking temperatures ( Tub=100–450° C). Component B1 is isolated in doleritic dykes, both in the Moncha and Voche–component with W-up/E-down directions. Dolerite dykes of the ﬁrst generation and micropyroxenites at the dyke contacts Lambina areas, whereas component C (Figs 6 and 9d), as well as component A (Figs 6 and 9b) are characteristic forcarry a single-polarity B 1 component (Fig. 9c). The second g | p.6: the In the Kolvitsa area, most specimens of the peridotitic dykes and basaltic porphyrites, as well as the country rock schists,Monchegorsk pluton and host gabbro. Components B2 and C are also of single polarity here (Table 1). contain two components of magnetization (Fig. 6). Bends in the Zijderveld diagrams, corresponding to the overlap of TubTub and Hc values (the isolation ranges) of the NRM components show that magnetite is the main carrier of spectra, are recorded at about 350–450 ° C, wit</x:v>
      </x:c>
      <x:c r="AH120" s="58" t="n">
        <x:v>0.6610052083431119</x:v>
      </x:c>
      <x:c r="AI120" s="56" t="n">
        <x:f>--(AH120&gt;=0.5)</x:f>
        <x:v>1</x:v>
      </x:c>
      <x:c r="AJ120" s="56" t="n">
        <x:f>--(AI120=O120)</x:f>
        <x:v>0</x:v>
      </x:c>
      <x:c r="AK120" s="58" t="n">
        <x:v>0.22369351095458836</x:v>
      </x:c>
      <x:c r="AL120" s="56" t="n">
        <x:f>--(AK120&gt;=0.5)</x:f>
        <x:v>0</x:v>
      </x:c>
      <x:c r="AM120" s="56" t="n">
        <x:f>--(AL120=O120)</x:f>
        <x:v>1</x:v>
      </x:c>
    </x:row>
    <x:row r="121" ht="32" customHeight="1">
      <x:c r="A121" s="56" t="str">
        <x:v>2850</x:v>
      </x:c>
      <x:c r="B121" s="56" t="str">
        <x:v>8523</x:v>
      </x:c>
      <x:c r="C121" s="56" t="str">
        <x:v>6874</x:v>
      </x:c>
      <x:c r="D121" s="56" t="str">
        <x:v>Picrite and Country Rock, Moncha Pluton</x:v>
      </x:c>
      <x:c r="E121" s="56" t="str">
        <x:v>68</x:v>
      </x:c>
      <x:c r="F121" s="56" t="str">
        <x:v>32.5</x:v>
      </x:c>
      <x:c r="G121" s="56" t="str">
        <x:v>Component C</x:v>
      </x:c>
      <x:c r="H121" s="56" t="str">
        <x:v>256.89999</x:v>
      </x:c>
      <x:c r="I121" s="56" t="str">
        <x:v>40.400002</x:v>
      </x:c>
      <x:c r="J121" s="56" t="str">
        <x:v>16.6</x:v>
      </x:c>
      <x:c r="K121" s="56" t="str">
        <x:v>323.29999</x:v>
      </x:c>
      <x:c r="L121" s="56" t="str">
        <x:v>V</x:v>
      </x:c>
      <x:c r="M121" s="59" t="str"/>
      <x:c r="N121" s="56" t="n">
        <x:f>--(LEN(M121)&gt;0)</x:f>
        <x:v>0</x:v>
      </x:c>
      <x:c r="O121" s="56" t="n">
        <x:v>0</x:v>
      </x:c>
      <x:c r="P121" s="56" t="n">
        <x:f>--(N121=O121)</x:f>
        <x:v>1</x:v>
      </x:c>
      <x:c r="Q121" s="56" t="str">
        <x:v>ABSTAIN_INSUFFICIENT</x:v>
      </x:c>
      <x:c r="R121" s="59" t="str"/>
      <x:c r="S121" s="59" t="str"/>
      <x:c r="T121" s="56" t="n">
        <x:f>--(Q121="PRESENT")</x:f>
        <x:v>0</x:v>
      </x:c>
      <x:c r="U121" s="56" t="n">
        <x:f>--(T121=N121)</x:f>
        <x:v>1</x:v>
      </x:c>
      <x:c r="V121" s="56" t="n">
        <x:f>--(T121=O121)</x:f>
        <x:v>1</x:v>
      </x:c>
      <x:c r="W121" s="56" t="n">
        <x:f>--(OR(Q121="PRESENT",Q121="ABSENT"))</x:f>
        <x:v>0</x:v>
      </x:c>
      <x:c r="X121" s="56" t="str">
        <x:v>LOW</x:v>
      </x:c>
      <x:c r="Y121" s="56" t="str">
        <x:v>PAPER_ROW_MATCH</x:v>
      </x:c>
      <x:c r="Z121" s="57" t="b">
        <x:v>1</x:v>
      </x:c>
      <x:c r="AA121" s="57" t="b">
        <x:v>1</x:v>
      </x:c>
      <x:c r="AB121" s="56" t="n">
        <x:v>0</x:v>
      </x:c>
      <x:c r="AC121" s="56" t="str"/>
      <x:c r="AD121" s="56" t="str"/>
      <x:c r="AE121" s="56" t="str"/>
      <x:c r="AF121" s="56" t="str">
        <x:v>6, 7, 8, 10</x:v>
      </x:c>
      <x:c r="AG121" s="59" t="str">
        <x:v>p.6: typical for the country ultramaﬁcs, gneisses and amphibolites. The second group of directions,In the Moncha area, four groups of ChRM directions are isolated (Fig. 9). The ﬁrst group (component A) is typical component B 1 (Figs 6 and 9c), in contrast to the Moncha area, also display dual polarity (NW-up/SE-down), with lowerfor the Main Range gabbro and for some pyroxenites of the Monchegorsk pluton (Figs 5 and 9a). It is a dual-polarity unblocking temperatures ( Tub=100–450° C). Component B1 is  | p.6: hegorsk pluton (Figs 5 and 9a). It is a dual-polarity unblocking temperatures ( Tub=100–450° C). Component B1 is isolated in doleritic dykes, both in the Moncha and Voche–component with W-up/E-down directions. Dolerite dykes of the ﬁrst generation and micropyroxenites at the dyke contacts Lambina areas, whereas component C (Figs 6 and 9d), as well as component A (Figs 6 and 9b) are characteristic forcarry a single-polarity B 1 component (Fig. 9c). The second generation of dykes, the so-called Ku | p.6: kes of the ﬁrst generation and micropyroxenites at the dyke contacts Lambina areas, whereas component C (Figs 6 and 9d), as well as component A (Figs 6 and 9b) are characteristic forcarry a single-polarity B 1 component (Fig. 9c). The second generation of dykes, the so-called Kumuzhya dykes, which cut the country rocks. The predominantly normal-polarity B 2component is recorded in all rock types (Fig. 9f, Table 1).all rocks, carry the B2 component (Figs 5 and 9e). A further component (C) (Figs 5</x:v>
      </x:c>
      <x:c r="AH121" s="58" t="n">
        <x:v>0.7161549422776043</x:v>
      </x:c>
      <x:c r="AI121" s="56" t="n">
        <x:f>--(AH121&gt;=0.5)</x:f>
        <x:v>1</x:v>
      </x:c>
      <x:c r="AJ121" s="56" t="n">
        <x:f>--(AI121=O121)</x:f>
        <x:v>0</x:v>
      </x:c>
      <x:c r="AK121" s="58" t="n">
        <x:v>0.8133930303129043</x:v>
      </x:c>
      <x:c r="AL121" s="56" t="n">
        <x:f>--(AK121&gt;=0.5)</x:f>
        <x:v>1</x:v>
      </x:c>
      <x:c r="AM121" s="56" t="n">
        <x:f>--(AL121=O121)</x:f>
        <x:v>0</x:v>
      </x:c>
    </x:row>
    <x:row r="122" ht="32" customHeight="1">
      <x:c r="A122" s="56" t="str">
        <x:v>2850</x:v>
      </x:c>
      <x:c r="B122" s="56" t="str">
        <x:v>8524</x:v>
      </x:c>
      <x:c r="C122" s="56" t="str">
        <x:v>6875</x:v>
      </x:c>
      <x:c r="D122" s="56" t="str">
        <x:v>Tolstik Layered Intrusion</x:v>
      </x:c>
      <x:c r="E122" s="56" t="str">
        <x:v>66.800003</x:v>
      </x:c>
      <x:c r="F122" s="56" t="str">
        <x:v>32.400002</x:v>
      </x:c>
      <x:c r="G122" s="56" t="str">
        <x:v>Component A</x:v>
      </x:c>
      <x:c r="H122" s="56" t="str">
        <x:v>254.39999</x:v>
      </x:c>
      <x:c r="I122" s="56" t="str">
        <x:v>-46.700001</x:v>
      </x:c>
      <x:c r="J122" s="56" t="str">
        <x:v>-31.6</x:v>
      </x:c>
      <x:c r="K122" s="56" t="str">
        <x:v>304.70001</x:v>
      </x:c>
      <x:c r="L122" s="56" t="str">
        <x:v>V</x:v>
      </x:c>
      <x:c r="M122" s="59" t="str"/>
      <x:c r="N122" s="56" t="n">
        <x:f>--(LEN(M122)&gt;0)</x:f>
        <x:v>0</x:v>
      </x:c>
      <x:c r="O122" s="56" t="n">
        <x:v>0</x:v>
      </x:c>
      <x:c r="P122" s="56" t="n">
        <x:f>--(N122=O122)</x:f>
        <x:v>1</x:v>
      </x:c>
      <x:c r="Q122" s="56" t="str">
        <x:v>ABSTAIN_INSUFFICIENT</x:v>
      </x:c>
      <x:c r="R122" s="59" t="str"/>
      <x:c r="S122" s="59" t="str"/>
      <x:c r="T122" s="56" t="n">
        <x:f>--(Q122="PRESENT")</x:f>
        <x:v>0</x:v>
      </x:c>
      <x:c r="U122" s="56" t="n">
        <x:f>--(T122=N122)</x:f>
        <x:v>1</x:v>
      </x:c>
      <x:c r="V122" s="56" t="n">
        <x:f>--(T122=O122)</x:f>
        <x:v>1</x:v>
      </x:c>
      <x:c r="W122" s="56" t="n">
        <x:f>--(OR(Q122="PRESENT",Q122="ABSENT"))</x:f>
        <x:v>0</x:v>
      </x:c>
      <x:c r="X122" s="56" t="str">
        <x:v>LOW</x:v>
      </x:c>
      <x:c r="Y122" s="56" t="str">
        <x:v>PAPER_ROW_MATCH</x:v>
      </x:c>
      <x:c r="Z122" s="57" t="b">
        <x:v>1</x:v>
      </x:c>
      <x:c r="AA122" s="57" t="b">
        <x:v>1</x:v>
      </x:c>
      <x:c r="AB122" s="56" t="n">
        <x:v>0</x:v>
      </x:c>
      <x:c r="AC122" s="56" t="str"/>
      <x:c r="AD122" s="56" t="str"/>
      <x:c r="AE122" s="56" t="str"/>
      <x:c r="AF122" s="56" t="str">
        <x:v>6, 9, 10</x:v>
      </x:c>
      <x:c r="AG122" s="59" t="str">
        <x:v>p.6: 696 M. A. Fedotova et al. majority of specimens. These components have diVerent ranges In the Voche–Lambina area, four groups of directions are isolated. They are similar to the directions of the Monchaof unblocking temperatures and coercive spectra. Moreover, diVerent rock types from the same site sometimes exhibit groups. The ﬁrst group (component A; Figs 6 and 9b) is of dual polarity with relatively high unblocking temperaturesdiVerent characteristic remanent magnetization (ChRM) directions ( | p.6: and for some pyroxenites of the Monchegorsk pluton (Figs 5 and 9a). It is a dual-polarity unblocking temperatures ( Tub=100–450° C). Component B1 is isolated in doleritic dykes, both in the Moncha and Voche–component with W-up/E-down directions. Dolerite dykes of the ﬁrst generation and micropyroxenites at the dyke contacts Lambina areas, whereas component C (Figs 6 and 9d), as well as component A (Figs 6 and 9b) are characteristic forcarry a single-polarity B 1 component (Fig. 9c). The second g | p.6: the In the Kolvitsa area, most specimens of the peridotitic dykes and basaltic porphyrites, as well as the country rock schists,Monchegorsk pluton and host gabbro. Components B2 and C are also of single polarity here (Table 1). contain two components of magnetization (Fig. 6). Bends in the Zijderveld diagrams, corresponding to the overlap of TubTub and Hc values (the isolation ranges) of the NRM components show that magnetite is the main carrier of spectra, are recorded at about 350–450 ° C, wit</x:v>
      </x:c>
      <x:c r="AH122" s="58" t="n">
        <x:v>0.6347394225077478</x:v>
      </x:c>
      <x:c r="AI122" s="56" t="n">
        <x:f>--(AH122&gt;=0.5)</x:f>
        <x:v>1</x:v>
      </x:c>
      <x:c r="AJ122" s="56" t="n">
        <x:f>--(AI122=O122)</x:f>
        <x:v>0</x:v>
      </x:c>
      <x:c r="AK122" s="58" t="n">
        <x:v>0.4615243503786703</x:v>
      </x:c>
      <x:c r="AL122" s="56" t="n">
        <x:f>--(AK122&gt;=0.5)</x:f>
        <x:v>0</x:v>
      </x:c>
      <x:c r="AM122" s="56" t="n">
        <x:f>--(AL122=O122)</x:f>
        <x:v>1</x:v>
      </x:c>
    </x:row>
    <x:row r="123" ht="32" customHeight="1">
      <x:c r="A123" s="56" t="str">
        <x:v>2850</x:v>
      </x:c>
      <x:c r="B123" s="56" t="str">
        <x:v>8525</x:v>
      </x:c>
      <x:c r="C123" s="56" t="str">
        <x:v>6876</x:v>
      </x:c>
      <x:c r="D123" s="56" t="str">
        <x:v>Tolstik Dykes and Amphibolite</x:v>
      </x:c>
      <x:c r="E123" s="56" t="str">
        <x:v>66.800003</x:v>
      </x:c>
      <x:c r="F123" s="56" t="str">
        <x:v>32.400002</x:v>
      </x:c>
      <x:c r="G123" s="56" t="str">
        <x:v>Component B2</x:v>
      </x:c>
      <x:c r="H123" s="56" t="str">
        <x:v>337.10001</x:v>
      </x:c>
      <x:c r="I123" s="56" t="str">
        <x:v>37.599998</x:v>
      </x:c>
      <x:c r="J123" s="56" t="str">
        <x:v>42</x:v>
      </x:c>
      <x:c r="K123" s="56" t="str">
        <x:v>241.60001</x:v>
      </x:c>
      <x:c r="L123" s="56" t="str">
        <x:v>V</x:v>
      </x:c>
      <x:c r="M123" s="59" t="str"/>
      <x:c r="N123" s="56" t="n">
        <x:f>--(LEN(M123)&gt;0)</x:f>
        <x:v>0</x:v>
      </x:c>
      <x:c r="O123" s="56" t="n">
        <x:v>0</x:v>
      </x:c>
      <x:c r="P123" s="56" t="n">
        <x:f>--(N123=O123)</x:f>
        <x:v>1</x:v>
      </x:c>
      <x:c r="Q123" s="56" t="str">
        <x:v>ABSTAIN_INSUFFICIENT</x:v>
      </x:c>
      <x:c r="R123" s="59" t="str"/>
      <x:c r="S123" s="59" t="str"/>
      <x:c r="T123" s="56" t="n">
        <x:f>--(Q123="PRESENT")</x:f>
        <x:v>0</x:v>
      </x:c>
      <x:c r="U123" s="56" t="n">
        <x:f>--(T123=N123)</x:f>
        <x:v>1</x:v>
      </x:c>
      <x:c r="V123" s="56" t="n">
        <x:f>--(T123=O123)</x:f>
        <x:v>1</x:v>
      </x:c>
      <x:c r="W123" s="56" t="n">
        <x:f>--(OR(Q123="PRESENT",Q123="ABSENT"))</x:f>
        <x:v>0</x:v>
      </x:c>
      <x:c r="X123" s="56" t="str">
        <x:v>LOW</x:v>
      </x:c>
      <x:c r="Y123" s="56" t="str">
        <x:v>PAPER_ROW_MATCH</x:v>
      </x:c>
      <x:c r="Z123" s="57" t="b">
        <x:v>1</x:v>
      </x:c>
      <x:c r="AA123" s="57" t="b">
        <x:v>1</x:v>
      </x:c>
      <x:c r="AB123" s="56" t="n">
        <x:v>0</x:v>
      </x:c>
      <x:c r="AC123" s="56" t="str"/>
      <x:c r="AD123" s="56" t="str"/>
      <x:c r="AE123" s="56" t="str"/>
      <x:c r="AF123" s="56" t="str">
        <x:v>6, 7, 9, 10, 11, 13</x:v>
      </x:c>
      <x:c r="AG123" s="59" t="str">
        <x:v>p.6: bro and for some pyroxenites of the Monchegorsk pluton (Figs 5 and 9a). It is a dual-polarity unblocking temperatures ( Tub=100–450° C). Component B1 is isolated in doleritic dykes, both in the Moncha and Voche–component with W-up/E-down directions. Dolerite dykes of the ﬁrst generation and micropyroxenites at the dyke contacts Lambina areas, whereas component C (Figs 6 and 9d), as well as component A (Figs 6 and 9b) are characteristic forcarry a single-polarity B 1 component (Fig. 9c). The seco | p.6: kes of the ﬁrst generation and micropyroxenites at the dyke contacts Lambina areas, whereas component C (Figs 6 and 9d), as well as component A (Figs 6 and 9b) are characteristic forcarry a single-polarity B 1 component (Fig. 9c). The second generation of dykes, the so-called Kumuzhya dykes, which cut the country rocks. The predominantly normal-polarity B 2component is recorded in all rock types (Fig. 9f, Table 1).all rocks, carry the B2 component (Figs 5 and 9e). A further component (C) (Figs 5 | p.7: e orthogonal projections, closed (open) symbols represent projections onto the vertical (horizontal) plane, where N is North, E is East, and UP is vertical up. Values are given in normalized units. NRM component indices (A, B1,B 2,C ) isolated during demagnetization are plotted behind the intervals of their isolation. Values of the temperatures ( ° C) and alternating ﬁeld (mT) are also shown. Sample 97: Main Range gabbro, component A (Tub=200–550° C), D=273.7° , I=−22.0° . Sample 106: Monchegors</x:v>
      </x:c>
      <x:c r="AH123" s="58" t="n">
        <x:v>0.50353135261054</x:v>
      </x:c>
      <x:c r="AI123" s="56" t="n">
        <x:f>--(AH123&gt;=0.5)</x:f>
        <x:v>1</x:v>
      </x:c>
      <x:c r="AJ123" s="56" t="n">
        <x:f>--(AI123=O123)</x:f>
        <x:v>0</x:v>
      </x:c>
      <x:c r="AK123" s="58" t="n">
        <x:v>0.4378498506749413</x:v>
      </x:c>
      <x:c r="AL123" s="56" t="n">
        <x:f>--(AK123&gt;=0.5)</x:f>
        <x:v>0</x:v>
      </x:c>
      <x:c r="AM123" s="56" t="n">
        <x:f>--(AL123=O123)</x:f>
        <x:v>1</x:v>
      </x:c>
    </x:row>
    <x:row r="124" ht="32" customHeight="1">
      <x:c r="A124" s="56" t="str">
        <x:v>3404</x:v>
      </x:c>
      <x:c r="B124" s="56" t="str">
        <x:v>8657</x:v>
      </x:c>
      <x:c r="C124" s="56" t="str">
        <x:v>6985</x:v>
      </x:c>
      <x:c r="D124" s="56" t="str">
        <x:v>Bukinsky Massif</x:v>
      </x:c>
      <x:c r="E124" s="56" t="str">
        <x:v>50.150002</x:v>
      </x:c>
      <x:c r="F124" s="56" t="str">
        <x:v>28.370001</x:v>
      </x:c>
      <x:c r="G124" s="56" t="str"/>
      <x:c r="H124" s="56" t="str">
        <x:v>32.200001</x:v>
      </x:c>
      <x:c r="I124" s="56" t="str">
        <x:v>36.900002</x:v>
      </x:c>
      <x:c r="J124" s="56" t="str">
        <x:v>51</x:v>
      </x:c>
      <x:c r="K124" s="56" t="str">
        <x:v>155.89999</x:v>
      </x:c>
      <x:c r="L124" s="56" t="str">
        <x:v>D</x:v>
      </x:c>
      <x:c r="M124" s="59" t="str"/>
      <x:c r="N124" s="56" t="n">
        <x:f>--(LEN(M124)&gt;0)</x:f>
        <x:v>0</x:v>
      </x:c>
      <x:c r="O124" s="56" t="n">
        <x:v>0</x:v>
      </x:c>
      <x:c r="P124" s="56" t="n">
        <x:f>--(N124=O124)</x:f>
        <x:v>1</x:v>
      </x:c>
      <x:c r="Q124" s="56" t="str">
        <x:v>ABSTAIN_INSUFFICIENT</x:v>
      </x:c>
      <x:c r="R124" s="59" t="str"/>
      <x:c r="S124" s="59" t="str"/>
      <x:c r="T124" s="56" t="n">
        <x:f>--(Q124="PRESENT")</x:f>
        <x:v>0</x:v>
      </x:c>
      <x:c r="U124" s="56" t="n">
        <x:f>--(T124=N124)</x:f>
        <x:v>1</x:v>
      </x:c>
      <x:c r="V124" s="56" t="n">
        <x:f>--(T124=O124)</x:f>
        <x:v>1</x:v>
      </x:c>
      <x:c r="W124" s="56" t="n">
        <x:f>--(OR(Q124="PRESENT",Q124="ABSENT"))</x:f>
        <x:v>0</x:v>
      </x:c>
      <x:c r="X124" s="56" t="str">
        <x:v>LOW</x:v>
      </x:c>
      <x:c r="Y124" s="56" t="str">
        <x:v>METADATA_UNIQUE</x:v>
      </x:c>
      <x:c r="Z124" s="57" t="b">
        <x:v>1</x:v>
      </x:c>
      <x:c r="AA124" s="57" t="b">
        <x:v>1</x:v>
      </x:c>
      <x:c r="AB124" s="56" t="n">
        <x:v>0</x:v>
      </x:c>
      <x:c r="AC124" s="56" t="str"/>
      <x:c r="AD124" s="56" t="str"/>
      <x:c r="AE124" s="56" t="str"/>
      <x:c r="AF124" s="56" t="str"/>
      <x:c r="AG124" s="59" t="str"/>
      <x:c r="AH124" s="58" t="n">
        <x:v>0.1341211803235758</x:v>
      </x:c>
      <x:c r="AI124" s="56" t="n">
        <x:f>--(AH124&gt;=0.5)</x:f>
        <x:v>0</x:v>
      </x:c>
      <x:c r="AJ124" s="56" t="n">
        <x:f>--(AI124=O124)</x:f>
        <x:v>1</x:v>
      </x:c>
      <x:c r="AK124" s="58" t="n">
        <x:v>0.1341211803235758</x:v>
      </x:c>
      <x:c r="AL124" s="56" t="n">
        <x:f>--(AK124&gt;=0.5)</x:f>
        <x:v>0</x:v>
      </x:c>
      <x:c r="AM124" s="56" t="n">
        <x:f>--(AL124=O124)</x:f>
        <x:v>1</x:v>
      </x:c>
    </x:row>
    <x:row r="125" ht="32" customHeight="1">
      <x:c r="A125" s="56" t="str">
        <x:v>3404</x:v>
      </x:c>
      <x:c r="B125" s="56" t="str">
        <x:v>8658</x:v>
      </x:c>
      <x:c r="C125" s="56" t="str">
        <x:v>6986</x:v>
      </x:c>
      <x:c r="D125" s="56" t="str">
        <x:v>Gabbroic dyke in Ostinsk Complex</x:v>
      </x:c>
      <x:c r="E125" s="56" t="str">
        <x:v>51.299999</x:v>
      </x:c>
      <x:c r="F125" s="56" t="str">
        <x:v>27.23</x:v>
      </x:c>
      <x:c r="G125" s="56" t="str"/>
      <x:c r="H125" s="56" t="str">
        <x:v>45.5</x:v>
      </x:c>
      <x:c r="I125" s="56" t="str">
        <x:v>53.700001</x:v>
      </x:c>
      <x:c r="J125" s="56" t="str">
        <x:v>53.299999</x:v>
      </x:c>
      <x:c r="K125" s="56" t="str">
        <x:v>126.9</x:v>
      </x:c>
      <x:c r="L125" s="56" t="str">
        <x:v>D</x:v>
      </x:c>
      <x:c r="M125" s="59" t="str"/>
      <x:c r="N125" s="56" t="n">
        <x:f>--(LEN(M125)&gt;0)</x:f>
        <x:v>0</x:v>
      </x:c>
      <x:c r="O125" s="56" t="n">
        <x:v>0</x:v>
      </x:c>
      <x:c r="P125" s="56" t="n">
        <x:f>--(N125=O125)</x:f>
        <x:v>1</x:v>
      </x:c>
      <x:c r="Q125" s="56" t="str">
        <x:v>ABSTAIN_ANCHOR</x:v>
      </x:c>
      <x:c r="R125" s="59" t="str"/>
      <x:c r="S125" s="59" t="str"/>
      <x:c r="T125" s="56" t="n">
        <x:f>--(Q125="PRESENT")</x:f>
        <x:v>0</x:v>
      </x:c>
      <x:c r="U125" s="56" t="n">
        <x:f>--(T125=N125)</x:f>
        <x:v>1</x:v>
      </x:c>
      <x:c r="V125" s="56" t="n">
        <x:f>--(T125=O125)</x:f>
        <x:v>1</x:v>
      </x:c>
      <x:c r="W125" s="56" t="n">
        <x:f>--(OR(Q125="PRESENT",Q125="ABSENT"))</x:f>
        <x:v>0</x:v>
      </x:c>
      <x:c r="X125" s="56" t="str">
        <x:v>LOW</x:v>
      </x:c>
      <x:c r="Y125" s="56" t="str">
        <x:v>METADATA_UNIQUE</x:v>
      </x:c>
      <x:c r="Z125" s="57" t="b">
        <x:v>1</x:v>
      </x:c>
      <x:c r="AA125" s="57" t="b">
        <x:v>1</x:v>
      </x:c>
      <x:c r="AB125" s="56" t="n">
        <x:v>0</x:v>
      </x:c>
      <x:c r="AC125" s="56" t="str"/>
      <x:c r="AD125" s="56" t="str"/>
      <x:c r="AE125" s="56" t="str"/>
      <x:c r="AF125" s="56" t="str"/>
      <x:c r="AG125" s="59" t="str"/>
      <x:c r="AH125" s="58" t="n">
        <x:v>0.1426190180332622</x:v>
      </x:c>
      <x:c r="AI125" s="56" t="n">
        <x:f>--(AH125&gt;=0.5)</x:f>
        <x:v>0</x:v>
      </x:c>
      <x:c r="AJ125" s="56" t="n">
        <x:f>--(AI125=O125)</x:f>
        <x:v>1</x:v>
      </x:c>
      <x:c r="AK125" s="58" t="n">
        <x:v>0.1426190180332622</x:v>
      </x:c>
      <x:c r="AL125" s="56" t="n">
        <x:f>--(AK125&gt;=0.5)</x:f>
        <x:v>0</x:v>
      </x:c>
      <x:c r="AM125" s="56" t="n">
        <x:f>--(AL125=O125)</x:f>
        <x:v>1</x:v>
      </x:c>
    </x:row>
    <x:row r="126" ht="32" customHeight="1">
      <x:c r="A126" s="56" t="str">
        <x:v>3404</x:v>
      </x:c>
      <x:c r="B126" s="56" t="str">
        <x:v>8659</x:v>
      </x:c>
      <x:c r="C126" s="56" t="str">
        <x:v>6987</x:v>
      </x:c>
      <x:c r="D126" s="56" t="str">
        <x:v>Belokorovichy Sediments</x:v>
      </x:c>
      <x:c r="E126" s="56" t="str">
        <x:v>51.119999</x:v>
      </x:c>
      <x:c r="F126" s="56" t="str">
        <x:v>28</x:v>
      </x:c>
      <x:c r="G126" s="56" t="str"/>
      <x:c r="H126" s="56" t="str">
        <x:v>26.9</x:v>
      </x:c>
      <x:c r="I126" s="56" t="str">
        <x:v>11</x:v>
      </x:c>
      <x:c r="J126" s="56" t="str">
        <x:v>39.200001</x:v>
      </x:c>
      <x:c r="K126" s="56" t="str">
        <x:v>172.5</x:v>
      </x:c>
      <x:c r="L126" s="56" t="str">
        <x:v>D</x:v>
      </x:c>
      <x:c r="M126" s="59" t="str"/>
      <x:c r="N126" s="56" t="n">
        <x:f>--(LEN(M126)&gt;0)</x:f>
        <x:v>0</x:v>
      </x:c>
      <x:c r="O126" s="56" t="n">
        <x:v>0</x:v>
      </x:c>
      <x:c r="P126" s="56" t="n">
        <x:f>--(N126=O126)</x:f>
        <x:v>1</x:v>
      </x:c>
      <x:c r="Q126" s="56" t="str">
        <x:v>ABSTAIN_INSUFFICIENT</x:v>
      </x:c>
      <x:c r="R126" s="59" t="str"/>
      <x:c r="S126" s="59" t="str"/>
      <x:c r="T126" s="56" t="n">
        <x:f>--(Q126="PRESENT")</x:f>
        <x:v>0</x:v>
      </x:c>
      <x:c r="U126" s="56" t="n">
        <x:f>--(T126=N126)</x:f>
        <x:v>1</x:v>
      </x:c>
      <x:c r="V126" s="56" t="n">
        <x:f>--(T126=O126)</x:f>
        <x:v>1</x:v>
      </x:c>
      <x:c r="W126" s="56" t="n">
        <x:f>--(OR(Q126="PRESENT",Q126="ABSENT"))</x:f>
        <x:v>0</x:v>
      </x:c>
      <x:c r="X126" s="56" t="str">
        <x:v>LOW</x:v>
      </x:c>
      <x:c r="Y126" s="56" t="str">
        <x:v>METADATA_UNIQUE</x:v>
      </x:c>
      <x:c r="Z126" s="57" t="b">
        <x:v>1</x:v>
      </x:c>
      <x:c r="AA126" s="57" t="b">
        <x:v>1</x:v>
      </x:c>
      <x:c r="AB126" s="56" t="n">
        <x:v>0</x:v>
      </x:c>
      <x:c r="AC126" s="56" t="str"/>
      <x:c r="AD126" s="56" t="str"/>
      <x:c r="AE126" s="56" t="str"/>
      <x:c r="AF126" s="56" t="str"/>
      <x:c r="AG126" s="59" t="str"/>
      <x:c r="AH126" s="58" t="n">
        <x:v>0.13982316232708994</x:v>
      </x:c>
      <x:c r="AI126" s="56" t="n">
        <x:f>--(AH126&gt;=0.5)</x:f>
        <x:v>0</x:v>
      </x:c>
      <x:c r="AJ126" s="56" t="n">
        <x:f>--(AI126=O126)</x:f>
        <x:v>1</x:v>
      </x:c>
      <x:c r="AK126" s="58" t="n">
        <x:v>0.13982316232708994</x:v>
      </x:c>
      <x:c r="AL126" s="56" t="n">
        <x:f>--(AK126&gt;=0.5)</x:f>
        <x:v>0</x:v>
      </x:c>
      <x:c r="AM126" s="56" t="n">
        <x:f>--(AL126=O126)</x:f>
        <x:v>1</x:v>
      </x:c>
    </x:row>
    <x:row r="127" ht="32" customHeight="1">
      <x:c r="A127" s="56" t="str">
        <x:v>3404</x:v>
      </x:c>
      <x:c r="B127" s="56" t="str">
        <x:v>8660</x:v>
      </x:c>
      <x:c r="C127" s="56" t="str">
        <x:v>6988</x:v>
      </x:c>
      <x:c r="D127" s="56" t="str">
        <x:v>Korosten Pluton</x:v>
      </x:c>
      <x:c r="E127" s="56" t="str">
        <x:v>50.599998</x:v>
      </x:c>
      <x:c r="F127" s="56" t="str">
        <x:v>28.700001</x:v>
      </x:c>
      <x:c r="G127" s="56" t="str"/>
      <x:c r="H127" s="56" t="str">
        <x:v>217.3</x:v>
      </x:c>
      <x:c r="I127" s="56" t="str">
        <x:v>19.1</x:v>
      </x:c>
      <x:c r="J127" s="56" t="str">
        <x:v>21.5</x:v>
      </x:c>
      <x:c r="K127" s="56" t="str">
        <x:v>168.89999</x:v>
      </x:c>
      <x:c r="L127" s="56" t="str">
        <x:v>D</x:v>
      </x:c>
      <x:c r="M127" s="59" t="str">
        <x:v>OP(MAGN)</x:v>
      </x:c>
      <x:c r="N127" s="56" t="n">
        <x:f>--(LEN(M127)&gt;0)</x:f>
        <x:v>1</x:v>
      </x:c>
      <x:c r="O127" s="56" t="n">
        <x:v>1</x:v>
      </x:c>
      <x:c r="P127" s="56" t="n">
        <x:f>--(N127=O127)</x:f>
        <x:v>1</x:v>
      </x:c>
      <x:c r="Q127" s="56" t="str">
        <x:v>ABSTAIN_INSUFFICIENT</x:v>
      </x:c>
      <x:c r="R127" s="59" t="str"/>
      <x:c r="S127" s="59" t="str"/>
      <x:c r="T127" s="56" t="n">
        <x:f>--(Q127="PRESENT")</x:f>
        <x:v>0</x:v>
      </x:c>
      <x:c r="U127" s="56" t="n">
        <x:f>--(T127=N127)</x:f>
        <x:v>0</x:v>
      </x:c>
      <x:c r="V127" s="56" t="n">
        <x:f>--(T127=O127)</x:f>
        <x:v>0</x:v>
      </x:c>
      <x:c r="W127" s="56" t="n">
        <x:f>--(OR(Q127="PRESENT",Q127="ABSENT"))</x:f>
        <x:v>0</x:v>
      </x:c>
      <x:c r="X127" s="56" t="str">
        <x:v>LOW</x:v>
      </x:c>
      <x:c r="Y127" s="56" t="str">
        <x:v>METADATA_UNIQUE</x:v>
      </x:c>
      <x:c r="Z127" s="57" t="b">
        <x:v>1</x:v>
      </x:c>
      <x:c r="AA127" s="57" t="b">
        <x:v>0</x:v>
      </x:c>
      <x:c r="AB127" s="56" t="n">
        <x:v>1</x:v>
      </x:c>
      <x:c r="AC127" s="56" t="str"/>
      <x:c r="AD127" s="56" t="str"/>
      <x:c r="AE127" s="56" t="str"/>
      <x:c r="AF127" s="56" t="str"/>
      <x:c r="AG127" s="59" t="str"/>
      <x:c r="AH127" s="58" t="n">
        <x:v>0.1046126853514315</x:v>
      </x:c>
      <x:c r="AI127" s="56" t="n">
        <x:f>--(AH127&gt;=0.5)</x:f>
        <x:v>0</x:v>
      </x:c>
      <x:c r="AJ127" s="56" t="n">
        <x:f>--(AI127=O127)</x:f>
        <x:v>0</x:v>
      </x:c>
      <x:c r="AK127" s="58" t="n">
        <x:v>0.10461268535143149</x:v>
      </x:c>
      <x:c r="AL127" s="56" t="n">
        <x:f>--(AK127&gt;=0.5)</x:f>
        <x:v>0</x:v>
      </x:c>
      <x:c r="AM127" s="56" t="n">
        <x:f>--(AL127=O127)</x:f>
        <x:v>0</x:v>
      </x:c>
    </x:row>
    <x:row r="128" ht="32" customHeight="1">
      <x:c r="A128" s="56" t="str">
        <x:v>3404</x:v>
      </x:c>
      <x:c r="B128" s="56" t="str">
        <x:v>8661</x:v>
      </x:c>
      <x:c r="C128" s="56" t="str">
        <x:v>6988</x:v>
      </x:c>
      <x:c r="D128" s="56" t="str">
        <x:v>Korosten Pluton</x:v>
      </x:c>
      <x:c r="E128" s="56" t="str">
        <x:v>50.599998</x:v>
      </x:c>
      <x:c r="F128" s="56" t="str">
        <x:v>28.700001</x:v>
      </x:c>
      <x:c r="G128" s="56" t="str"/>
      <x:c r="H128" s="56" t="str">
        <x:v>205.10001</x:v>
      </x:c>
      <x:c r="I128" s="56" t="str">
        <x:v>11.5</x:v>
      </x:c>
      <x:c r="J128" s="56" t="str">
        <x:v>29.5</x:v>
      </x:c>
      <x:c r="K128" s="56" t="str">
        <x:v>179.7</x:v>
      </x:c>
      <x:c r="L128" s="56" t="str">
        <x:v>D</x:v>
      </x:c>
      <x:c r="M128" s="59" t="str">
        <x:v>OP(MAGN)</x:v>
      </x:c>
      <x:c r="N128" s="56" t="n">
        <x:f>--(LEN(M128)&gt;0)</x:f>
        <x:v>1</x:v>
      </x:c>
      <x:c r="O128" s="56" t="n">
        <x:v>1</x:v>
      </x:c>
      <x:c r="P128" s="56" t="n">
        <x:f>--(N128=O128)</x:f>
        <x:v>1</x:v>
      </x:c>
      <x:c r="Q128" s="56" t="str">
        <x:v>ABSTAIN_INSUFFICIENT</x:v>
      </x:c>
      <x:c r="R128" s="59" t="str"/>
      <x:c r="S128" s="59" t="str"/>
      <x:c r="T128" s="56" t="n">
        <x:f>--(Q128="PRESENT")</x:f>
        <x:v>0</x:v>
      </x:c>
      <x:c r="U128" s="56" t="n">
        <x:f>--(T128=N128)</x:f>
        <x:v>0</x:v>
      </x:c>
      <x:c r="V128" s="56" t="n">
        <x:f>--(T128=O128)</x:f>
        <x:v>0</x:v>
      </x:c>
      <x:c r="W128" s="56" t="n">
        <x:f>--(OR(Q128="PRESENT",Q128="ABSENT"))</x:f>
        <x:v>0</x:v>
      </x:c>
      <x:c r="X128" s="56" t="str">
        <x:v>LOW</x:v>
      </x:c>
      <x:c r="Y128" s="56" t="str">
        <x:v>METADATA_UNIQUE</x:v>
      </x:c>
      <x:c r="Z128" s="57" t="b">
        <x:v>1</x:v>
      </x:c>
      <x:c r="AA128" s="57" t="b">
        <x:v>0</x:v>
      </x:c>
      <x:c r="AB128" s="56" t="n">
        <x:v>1</x:v>
      </x:c>
      <x:c r="AC128" s="56" t="str"/>
      <x:c r="AD128" s="56" t="str"/>
      <x:c r="AE128" s="56" t="str"/>
      <x:c r="AF128" s="56" t="str"/>
      <x:c r="AG128" s="59" t="str"/>
      <x:c r="AH128" s="58" t="n">
        <x:v>0.1046126853514315</x:v>
      </x:c>
      <x:c r="AI128" s="56" t="n">
        <x:f>--(AH128&gt;=0.5)</x:f>
        <x:v>0</x:v>
      </x:c>
      <x:c r="AJ128" s="56" t="n">
        <x:f>--(AI128=O128)</x:f>
        <x:v>0</x:v>
      </x:c>
      <x:c r="AK128" s="58" t="n">
        <x:v>0.10461268535143149</x:v>
      </x:c>
      <x:c r="AL128" s="56" t="n">
        <x:f>--(AK128&gt;=0.5)</x:f>
        <x:v>0</x:v>
      </x:c>
      <x:c r="AM128" s="56" t="n">
        <x:f>--(AL128=O128)</x:f>
        <x:v>0</x:v>
      </x:c>
    </x:row>
    <x:row r="129" ht="32" customHeight="1">
      <x:c r="A129" s="56" t="str">
        <x:v>3404</x:v>
      </x:c>
      <x:c r="B129" s="56" t="str">
        <x:v>8662</x:v>
      </x:c>
      <x:c r="C129" s="56" t="str">
        <x:v>6988</x:v>
      </x:c>
      <x:c r="D129" s="56" t="str">
        <x:v>Korosten Pluton</x:v>
      </x:c>
      <x:c r="E129" s="56" t="str">
        <x:v>50.599998</x:v>
      </x:c>
      <x:c r="F129" s="56" t="str">
        <x:v>28.700001</x:v>
      </x:c>
      <x:c r="G129" s="56" t="str"/>
      <x:c r="H129" s="56" t="str">
        <x:v>42.200001</x:v>
      </x:c>
      <x:c r="I129" s="56" t="str">
        <x:v>-22.200001</x:v>
      </x:c>
      <x:c r="J129" s="56" t="str">
        <x:v>17.799999</x:v>
      </x:c>
      <x:c r="K129" s="56" t="str">
        <x:v>164.60001</x:v>
      </x:c>
      <x:c r="L129" s="56" t="str">
        <x:v>D</x:v>
      </x:c>
      <x:c r="M129" s="59" t="str">
        <x:v>OP(MAGN)</x:v>
      </x:c>
      <x:c r="N129" s="56" t="n">
        <x:f>--(LEN(M129)&gt;0)</x:f>
        <x:v>1</x:v>
      </x:c>
      <x:c r="O129" s="56" t="n">
        <x:v>1</x:v>
      </x:c>
      <x:c r="P129" s="56" t="n">
        <x:f>--(N129=O129)</x:f>
        <x:v>1</x:v>
      </x:c>
      <x:c r="Q129" s="56" t="str">
        <x:v>ABSTAIN_INSUFFICIENT</x:v>
      </x:c>
      <x:c r="R129" s="59" t="str"/>
      <x:c r="S129" s="59" t="str"/>
      <x:c r="T129" s="56" t="n">
        <x:f>--(Q129="PRESENT")</x:f>
        <x:v>0</x:v>
      </x:c>
      <x:c r="U129" s="56" t="n">
        <x:f>--(T129=N129)</x:f>
        <x:v>0</x:v>
      </x:c>
      <x:c r="V129" s="56" t="n">
        <x:f>--(T129=O129)</x:f>
        <x:v>0</x:v>
      </x:c>
      <x:c r="W129" s="56" t="n">
        <x:f>--(OR(Q129="PRESENT",Q129="ABSENT"))</x:f>
        <x:v>0</x:v>
      </x:c>
      <x:c r="X129" s="56" t="str">
        <x:v>LOW</x:v>
      </x:c>
      <x:c r="Y129" s="56" t="str">
        <x:v>METADATA_UNIQUE</x:v>
      </x:c>
      <x:c r="Z129" s="57" t="b">
        <x:v>1</x:v>
      </x:c>
      <x:c r="AA129" s="57" t="b">
        <x:v>0</x:v>
      </x:c>
      <x:c r="AB129" s="56" t="n">
        <x:v>1</x:v>
      </x:c>
      <x:c r="AC129" s="56" t="str"/>
      <x:c r="AD129" s="56" t="str"/>
      <x:c r="AE129" s="56" t="str"/>
      <x:c r="AF129" s="56" t="str"/>
      <x:c r="AG129" s="59" t="str"/>
      <x:c r="AH129" s="58" t="n">
        <x:v>0.1046126853514315</x:v>
      </x:c>
      <x:c r="AI129" s="56" t="n">
        <x:f>--(AH129&gt;=0.5)</x:f>
        <x:v>0</x:v>
      </x:c>
      <x:c r="AJ129" s="56" t="n">
        <x:f>--(AI129=O129)</x:f>
        <x:v>0</x:v>
      </x:c>
      <x:c r="AK129" s="58" t="n">
        <x:v>0.10461268535143149</x:v>
      </x:c>
      <x:c r="AL129" s="56" t="n">
        <x:f>--(AK129&gt;=0.5)</x:f>
        <x:v>0</x:v>
      </x:c>
      <x:c r="AM129" s="56" t="n">
        <x:f>--(AL129=O129)</x:f>
        <x:v>0</x:v>
      </x:c>
    </x:row>
    <x:row r="130" ht="32" customHeight="1">
      <x:c r="A130" s="56" t="str">
        <x:v>3404</x:v>
      </x:c>
      <x:c r="B130" s="56" t="str">
        <x:v>8663</x:v>
      </x:c>
      <x:c r="C130" s="56" t="str">
        <x:v>6988</x:v>
      </x:c>
      <x:c r="D130" s="56" t="str">
        <x:v>Korosten Pluton</x:v>
      </x:c>
      <x:c r="E130" s="56" t="str">
        <x:v>50.599998</x:v>
      </x:c>
      <x:c r="F130" s="56" t="str">
        <x:v>28.700001</x:v>
      </x:c>
      <x:c r="G130" s="56" t="str"/>
      <x:c r="H130" s="56" t="str">
        <x:v>37.799999</x:v>
      </x:c>
      <x:c r="I130" s="56" t="str">
        <x:v>-21.6</x:v>
      </x:c>
      <x:c r="J130" s="56" t="str">
        <x:v>20.1</x:v>
      </x:c>
      <x:c r="K130" s="56" t="str">
        <x:v>168.60001</x:v>
      </x:c>
      <x:c r="L130" s="56" t="str">
        <x:v>D</x:v>
      </x:c>
      <x:c r="M130" s="59" t="str">
        <x:v>OP(MAGN)</x:v>
      </x:c>
      <x:c r="N130" s="56" t="n">
        <x:f>--(LEN(M130)&gt;0)</x:f>
        <x:v>1</x:v>
      </x:c>
      <x:c r="O130" s="56" t="n">
        <x:v>1</x:v>
      </x:c>
      <x:c r="P130" s="56" t="n">
        <x:f>--(N130=O130)</x:f>
        <x:v>1</x:v>
      </x:c>
      <x:c r="Q130" s="56" t="str">
        <x:v>ABSTAIN_INSUFFICIENT</x:v>
      </x:c>
      <x:c r="R130" s="59" t="str"/>
      <x:c r="S130" s="59" t="str"/>
      <x:c r="T130" s="56" t="n">
        <x:f>--(Q130="PRESENT")</x:f>
        <x:v>0</x:v>
      </x:c>
      <x:c r="U130" s="56" t="n">
        <x:f>--(T130=N130)</x:f>
        <x:v>0</x:v>
      </x:c>
      <x:c r="V130" s="56" t="n">
        <x:f>--(T130=O130)</x:f>
        <x:v>0</x:v>
      </x:c>
      <x:c r="W130" s="56" t="n">
        <x:f>--(OR(Q130="PRESENT",Q130="ABSENT"))</x:f>
        <x:v>0</x:v>
      </x:c>
      <x:c r="X130" s="56" t="str">
        <x:v>LOW</x:v>
      </x:c>
      <x:c r="Y130" s="56" t="str">
        <x:v>METADATA_UNIQUE</x:v>
      </x:c>
      <x:c r="Z130" s="57" t="b">
        <x:v>1</x:v>
      </x:c>
      <x:c r="AA130" s="57" t="b">
        <x:v>0</x:v>
      </x:c>
      <x:c r="AB130" s="56" t="n">
        <x:v>1</x:v>
      </x:c>
      <x:c r="AC130" s="56" t="str"/>
      <x:c r="AD130" s="56" t="str"/>
      <x:c r="AE130" s="56" t="str"/>
      <x:c r="AF130" s="56" t="str"/>
      <x:c r="AG130" s="59" t="str"/>
      <x:c r="AH130" s="58" t="n">
        <x:v>0.1046126853514315</x:v>
      </x:c>
      <x:c r="AI130" s="56" t="n">
        <x:f>--(AH130&gt;=0.5)</x:f>
        <x:v>0</x:v>
      </x:c>
      <x:c r="AJ130" s="56" t="n">
        <x:f>--(AI130=O130)</x:f>
        <x:v>0</x:v>
      </x:c>
      <x:c r="AK130" s="58" t="n">
        <x:v>0.10461268535143149</x:v>
      </x:c>
      <x:c r="AL130" s="56" t="n">
        <x:f>--(AK130&gt;=0.5)</x:f>
        <x:v>0</x:v>
      </x:c>
      <x:c r="AM130" s="56" t="n">
        <x:f>--(AL130=O130)</x:f>
        <x:v>0</x:v>
      </x:c>
    </x:row>
    <x:row r="131" ht="32" customHeight="1">
      <x:c r="A131" s="56" t="str">
        <x:v>3404</x:v>
      </x:c>
      <x:c r="B131" s="56" t="str">
        <x:v>8664</x:v>
      </x:c>
      <x:c r="C131" s="56" t="str">
        <x:v>6988</x:v>
      </x:c>
      <x:c r="D131" s="56" t="str">
        <x:v>Korosten Pluton</x:v>
      </x:c>
      <x:c r="E131" s="56" t="str">
        <x:v>50.599998</x:v>
      </x:c>
      <x:c r="F131" s="56" t="str">
        <x:v>28.700001</x:v>
      </x:c>
      <x:c r="G131" s="56" t="str"/>
      <x:c r="H131" s="56" t="str">
        <x:v>216</x:v>
      </x:c>
      <x:c r="I131" s="56" t="str">
        <x:v>15.8</x:v>
      </x:c>
      <x:c r="J131" s="56" t="str">
        <x:v>23.5</x:v>
      </x:c>
      <x:c r="K131" s="56" t="str">
        <x:v>169.2</x:v>
      </x:c>
      <x:c r="L131" s="56" t="str">
        <x:v>D</x:v>
      </x:c>
      <x:c r="M131" s="59" t="str">
        <x:v>OP(MAGN)</x:v>
      </x:c>
      <x:c r="N131" s="56" t="n">
        <x:f>--(LEN(M131)&gt;0)</x:f>
        <x:v>1</x:v>
      </x:c>
      <x:c r="O131" s="56" t="n">
        <x:v>1</x:v>
      </x:c>
      <x:c r="P131" s="56" t="n">
        <x:f>--(N131=O131)</x:f>
        <x:v>1</x:v>
      </x:c>
      <x:c r="Q131" s="56" t="str">
        <x:v>ABSTAIN_INSUFFICIENT</x:v>
      </x:c>
      <x:c r="R131" s="59" t="str"/>
      <x:c r="S131" s="59" t="str"/>
      <x:c r="T131" s="56" t="n">
        <x:f>--(Q131="PRESENT")</x:f>
        <x:v>0</x:v>
      </x:c>
      <x:c r="U131" s="56" t="n">
        <x:f>--(T131=N131)</x:f>
        <x:v>0</x:v>
      </x:c>
      <x:c r="V131" s="56" t="n">
        <x:f>--(T131=O131)</x:f>
        <x:v>0</x:v>
      </x:c>
      <x:c r="W131" s="56" t="n">
        <x:f>--(OR(Q131="PRESENT",Q131="ABSENT"))</x:f>
        <x:v>0</x:v>
      </x:c>
      <x:c r="X131" s="56" t="str">
        <x:v>LOW</x:v>
      </x:c>
      <x:c r="Y131" s="56" t="str">
        <x:v>METADATA_UNIQUE</x:v>
      </x:c>
      <x:c r="Z131" s="57" t="b">
        <x:v>1</x:v>
      </x:c>
      <x:c r="AA131" s="57" t="b">
        <x:v>0</x:v>
      </x:c>
      <x:c r="AB131" s="56" t="n">
        <x:v>1</x:v>
      </x:c>
      <x:c r="AC131" s="56" t="str"/>
      <x:c r="AD131" s="56" t="str"/>
      <x:c r="AE131" s="56" t="str"/>
      <x:c r="AF131" s="56" t="str"/>
      <x:c r="AG131" s="59" t="str"/>
      <x:c r="AH131" s="58" t="n">
        <x:v>0.1046126853514315</x:v>
      </x:c>
      <x:c r="AI131" s="56" t="n">
        <x:f>--(AH131&gt;=0.5)</x:f>
        <x:v>0</x:v>
      </x:c>
      <x:c r="AJ131" s="56" t="n">
        <x:f>--(AI131=O131)</x:f>
        <x:v>0</x:v>
      </x:c>
      <x:c r="AK131" s="58" t="n">
        <x:v>0.10461268535143149</x:v>
      </x:c>
      <x:c r="AL131" s="56" t="n">
        <x:f>--(AK131&gt;=0.5)</x:f>
        <x:v>0</x:v>
      </x:c>
      <x:c r="AM131" s="56" t="n">
        <x:f>--(AL131=O131)</x:f>
        <x:v>0</x:v>
      </x:c>
    </x:row>
    <x:row r="132" ht="32" customHeight="1">
      <x:c r="A132" s="56" t="str">
        <x:v>3404</x:v>
      </x:c>
      <x:c r="B132" s="56" t="str">
        <x:v>8665</x:v>
      </x:c>
      <x:c r="C132" s="56" t="str">
        <x:v>6988</x:v>
      </x:c>
      <x:c r="D132" s="56" t="str">
        <x:v>Korosten Pluton</x:v>
      </x:c>
      <x:c r="E132" s="56" t="str">
        <x:v>50.599998</x:v>
      </x:c>
      <x:c r="F132" s="56" t="str">
        <x:v>28.700001</x:v>
      </x:c>
      <x:c r="G132" s="56" t="str"/>
      <x:c r="H132" s="56" t="str">
        <x:v>210.3</x:v>
      </x:c>
      <x:c r="I132" s="56" t="str">
        <x:v>10.8</x:v>
      </x:c>
      <x:c r="J132" s="56" t="str">
        <x:v>28.1</x:v>
      </x:c>
      <x:c r="K132" s="56" t="str">
        <x:v>173.89999</x:v>
      </x:c>
      <x:c r="L132" s="56" t="str">
        <x:v>D</x:v>
      </x:c>
      <x:c r="M132" s="59" t="str">
        <x:v>OP(MAGN)</x:v>
      </x:c>
      <x:c r="N132" s="56" t="n">
        <x:f>--(LEN(M132)&gt;0)</x:f>
        <x:v>1</x:v>
      </x:c>
      <x:c r="O132" s="56" t="n">
        <x:v>1</x:v>
      </x:c>
      <x:c r="P132" s="56" t="n">
        <x:f>--(N132=O132)</x:f>
        <x:v>1</x:v>
      </x:c>
      <x:c r="Q132" s="56" t="str">
        <x:v>ABSTAIN_INSUFFICIENT</x:v>
      </x:c>
      <x:c r="R132" s="59" t="str"/>
      <x:c r="S132" s="59" t="str"/>
      <x:c r="T132" s="56" t="n">
        <x:f>--(Q132="PRESENT")</x:f>
        <x:v>0</x:v>
      </x:c>
      <x:c r="U132" s="56" t="n">
        <x:f>--(T132=N132)</x:f>
        <x:v>0</x:v>
      </x:c>
      <x:c r="V132" s="56" t="n">
        <x:f>--(T132=O132)</x:f>
        <x:v>0</x:v>
      </x:c>
      <x:c r="W132" s="56" t="n">
        <x:f>--(OR(Q132="PRESENT",Q132="ABSENT"))</x:f>
        <x:v>0</x:v>
      </x:c>
      <x:c r="X132" s="56" t="str">
        <x:v>LOW</x:v>
      </x:c>
      <x:c r="Y132" s="56" t="str">
        <x:v>METADATA_UNIQUE</x:v>
      </x:c>
      <x:c r="Z132" s="57" t="b">
        <x:v>1</x:v>
      </x:c>
      <x:c r="AA132" s="57" t="b">
        <x:v>0</x:v>
      </x:c>
      <x:c r="AB132" s="56" t="n">
        <x:v>1</x:v>
      </x:c>
      <x:c r="AC132" s="56" t="str"/>
      <x:c r="AD132" s="56" t="str"/>
      <x:c r="AE132" s="56" t="str"/>
      <x:c r="AF132" s="56" t="str"/>
      <x:c r="AG132" s="59" t="str"/>
      <x:c r="AH132" s="58" t="n">
        <x:v>0.1046126853514315</x:v>
      </x:c>
      <x:c r="AI132" s="56" t="n">
        <x:f>--(AH132&gt;=0.5)</x:f>
        <x:v>0</x:v>
      </x:c>
      <x:c r="AJ132" s="56" t="n">
        <x:f>--(AI132=O132)</x:f>
        <x:v>0</x:v>
      </x:c>
      <x:c r="AK132" s="58" t="n">
        <x:v>0.10461268535143149</x:v>
      </x:c>
      <x:c r="AL132" s="56" t="n">
        <x:f>--(AK132&gt;=0.5)</x:f>
        <x:v>0</x:v>
      </x:c>
      <x:c r="AM132" s="56" t="n">
        <x:f>--(AL132=O132)</x:f>
        <x:v>0</x:v>
      </x:c>
    </x:row>
    <x:row r="133" ht="32" customHeight="1">
      <x:c r="A133" s="56" t="str">
        <x:v>3404</x:v>
      </x:c>
      <x:c r="B133" s="56" t="str">
        <x:v>8666</x:v>
      </x:c>
      <x:c r="C133" s="56" t="str">
        <x:v>6988</x:v>
      </x:c>
      <x:c r="D133" s="56" t="str">
        <x:v>Korosten Pluton</x:v>
      </x:c>
      <x:c r="E133" s="56" t="str">
        <x:v>50.599998</x:v>
      </x:c>
      <x:c r="F133" s="56" t="str">
        <x:v>28.700001</x:v>
      </x:c>
      <x:c r="G133" s="56" t="str"/>
      <x:c r="H133" s="56" t="str">
        <x:v>33.200001</x:v>
      </x:c>
      <x:c r="I133" s="56" t="str">
        <x:v>-3.8</x:v>
      </x:c>
      <x:c r="J133" s="56" t="str">
        <x:v>30.4</x:v>
      </x:c>
      <x:c r="K133" s="56" t="str">
        <x:v>169.10001</x:v>
      </x:c>
      <x:c r="L133" s="56" t="str">
        <x:v>D</x:v>
      </x:c>
      <x:c r="M133" s="59" t="str">
        <x:v>OP(MAGN)</x:v>
      </x:c>
      <x:c r="N133" s="56" t="n">
        <x:f>--(LEN(M133)&gt;0)</x:f>
        <x:v>1</x:v>
      </x:c>
      <x:c r="O133" s="56" t="n">
        <x:v>1</x:v>
      </x:c>
      <x:c r="P133" s="56" t="n">
        <x:f>--(N133=O133)</x:f>
        <x:v>1</x:v>
      </x:c>
      <x:c r="Q133" s="56" t="str">
        <x:v>ABSTAIN_INSUFFICIENT</x:v>
      </x:c>
      <x:c r="R133" s="59" t="str"/>
      <x:c r="S133" s="59" t="str"/>
      <x:c r="T133" s="56" t="n">
        <x:f>--(Q133="PRESENT")</x:f>
        <x:v>0</x:v>
      </x:c>
      <x:c r="U133" s="56" t="n">
        <x:f>--(T133=N133)</x:f>
        <x:v>0</x:v>
      </x:c>
      <x:c r="V133" s="56" t="n">
        <x:f>--(T133=O133)</x:f>
        <x:v>0</x:v>
      </x:c>
      <x:c r="W133" s="56" t="n">
        <x:f>--(OR(Q133="PRESENT",Q133="ABSENT"))</x:f>
        <x:v>0</x:v>
      </x:c>
      <x:c r="X133" s="56" t="str">
        <x:v>LOW</x:v>
      </x:c>
      <x:c r="Y133" s="56" t="str">
        <x:v>METADATA_UNIQUE</x:v>
      </x:c>
      <x:c r="Z133" s="57" t="b">
        <x:v>1</x:v>
      </x:c>
      <x:c r="AA133" s="57" t="b">
        <x:v>0</x:v>
      </x:c>
      <x:c r="AB133" s="56" t="n">
        <x:v>1</x:v>
      </x:c>
      <x:c r="AC133" s="56" t="str"/>
      <x:c r="AD133" s="56" t="str"/>
      <x:c r="AE133" s="56" t="str"/>
      <x:c r="AF133" s="56" t="str"/>
      <x:c r="AG133" s="59" t="str"/>
      <x:c r="AH133" s="58" t="n">
        <x:v>0.1046126853514315</x:v>
      </x:c>
      <x:c r="AI133" s="56" t="n">
        <x:f>--(AH133&gt;=0.5)</x:f>
        <x:v>0</x:v>
      </x:c>
      <x:c r="AJ133" s="56" t="n">
        <x:f>--(AI133=O133)</x:f>
        <x:v>0</x:v>
      </x:c>
      <x:c r="AK133" s="58" t="n">
        <x:v>0.10461268535143149</x:v>
      </x:c>
      <x:c r="AL133" s="56" t="n">
        <x:f>--(AK133&gt;=0.5)</x:f>
        <x:v>0</x:v>
      </x:c>
      <x:c r="AM133" s="56" t="n">
        <x:f>--(AL133=O133)</x:f>
        <x:v>0</x:v>
      </x:c>
    </x:row>
    <x:row r="134" ht="32" customHeight="1">
      <x:c r="A134" s="56" t="str">
        <x:v>3404</x:v>
      </x:c>
      <x:c r="B134" s="56" t="str">
        <x:v>8667</x:v>
      </x:c>
      <x:c r="C134" s="56" t="str">
        <x:v>6988</x:v>
      </x:c>
      <x:c r="D134" s="56" t="str">
        <x:v>Korosten Pluton</x:v>
      </x:c>
      <x:c r="E134" s="56" t="str">
        <x:v>50.599998</x:v>
      </x:c>
      <x:c r="F134" s="56" t="str">
        <x:v>28.700001</x:v>
      </x:c>
      <x:c r="G134" s="56" t="str"/>
      <x:c r="H134" s="56" t="str">
        <x:v>208.8</x:v>
      </x:c>
      <x:c r="I134" s="56" t="str">
        <x:v>9.3000002</x:v>
      </x:c>
      <x:c r="J134" s="56" t="str">
        <x:v>29.299999</x:v>
      </x:c>
      <x:c r="K134" s="56" t="str">
        <x:v>175.2</x:v>
      </x:c>
      <x:c r="L134" s="56" t="str">
        <x:v>D</x:v>
      </x:c>
      <x:c r="M134" s="59" t="str">
        <x:v>OP(MAGN)</x:v>
      </x:c>
      <x:c r="N134" s="56" t="n">
        <x:f>--(LEN(M134)&gt;0)</x:f>
        <x:v>1</x:v>
      </x:c>
      <x:c r="O134" s="56" t="n">
        <x:v>1</x:v>
      </x:c>
      <x:c r="P134" s="56" t="n">
        <x:f>--(N134=O134)</x:f>
        <x:v>1</x:v>
      </x:c>
      <x:c r="Q134" s="56" t="str">
        <x:v>ABSTAIN_INSUFFICIENT</x:v>
      </x:c>
      <x:c r="R134" s="59" t="str"/>
      <x:c r="S134" s="59" t="str"/>
      <x:c r="T134" s="56" t="n">
        <x:f>--(Q134="PRESENT")</x:f>
        <x:v>0</x:v>
      </x:c>
      <x:c r="U134" s="56" t="n">
        <x:f>--(T134=N134)</x:f>
        <x:v>0</x:v>
      </x:c>
      <x:c r="V134" s="56" t="n">
        <x:f>--(T134=O134)</x:f>
        <x:v>0</x:v>
      </x:c>
      <x:c r="W134" s="56" t="n">
        <x:f>--(OR(Q134="PRESENT",Q134="ABSENT"))</x:f>
        <x:v>0</x:v>
      </x:c>
      <x:c r="X134" s="56" t="str">
        <x:v>LOW</x:v>
      </x:c>
      <x:c r="Y134" s="56" t="str">
        <x:v>METADATA_UNIQUE</x:v>
      </x:c>
      <x:c r="Z134" s="57" t="b">
        <x:v>1</x:v>
      </x:c>
      <x:c r="AA134" s="57" t="b">
        <x:v>0</x:v>
      </x:c>
      <x:c r="AB134" s="56" t="n">
        <x:v>1</x:v>
      </x:c>
      <x:c r="AC134" s="56" t="str"/>
      <x:c r="AD134" s="56" t="str"/>
      <x:c r="AE134" s="56" t="str"/>
      <x:c r="AF134" s="56" t="str"/>
      <x:c r="AG134" s="59" t="str"/>
      <x:c r="AH134" s="58" t="n">
        <x:v>0.1046126853514315</x:v>
      </x:c>
      <x:c r="AI134" s="56" t="n">
        <x:f>--(AH134&gt;=0.5)</x:f>
        <x:v>0</x:v>
      </x:c>
      <x:c r="AJ134" s="56" t="n">
        <x:f>--(AI134=O134)</x:f>
        <x:v>0</x:v>
      </x:c>
      <x:c r="AK134" s="58" t="n">
        <x:v>0.10461268535143149</x:v>
      </x:c>
      <x:c r="AL134" s="56" t="n">
        <x:f>--(AK134&gt;=0.5)</x:f>
        <x:v>0</x:v>
      </x:c>
      <x:c r="AM134" s="56" t="n">
        <x:f>--(AL134=O134)</x:f>
        <x:v>0</x:v>
      </x:c>
    </x:row>
    <x:row r="135" ht="32" customHeight="1">
      <x:c r="A135" s="56" t="str">
        <x:v>3404</x:v>
      </x:c>
      <x:c r="B135" s="56" t="str">
        <x:v>8668</x:v>
      </x:c>
      <x:c r="C135" s="56" t="str">
        <x:v>6989</x:v>
      </x:c>
      <x:c r="D135" s="56" t="str">
        <x:v>NW Ukrainian Basic Dyke</x:v>
      </x:c>
      <x:c r="E135" s="56" t="str">
        <x:v>51</x:v>
      </x:c>
      <x:c r="F135" s="56" t="str">
        <x:v>28.5</x:v>
      </x:c>
      <x:c r="G135" s="56" t="str"/>
      <x:c r="H135" s="56" t="str">
        <x:v>33.200001</x:v>
      </x:c>
      <x:c r="I135" s="56" t="str">
        <x:v>1.1</x:v>
      </x:c>
      <x:c r="J135" s="56" t="str">
        <x:v>32.299999</x:v>
      </x:c>
      <x:c r="K135" s="56" t="str">
        <x:v>168.10001</x:v>
      </x:c>
      <x:c r="L135" s="56" t="str">
        <x:v>D</x:v>
      </x:c>
      <x:c r="M135" s="59" t="str"/>
      <x:c r="N135" s="56" t="n">
        <x:f>--(LEN(M135)&gt;0)</x:f>
        <x:v>0</x:v>
      </x:c>
      <x:c r="O135" s="56" t="n">
        <x:v>0</x:v>
      </x:c>
      <x:c r="P135" s="56" t="n">
        <x:f>--(N135=O135)</x:f>
        <x:v>1</x:v>
      </x:c>
      <x:c r="Q135" s="56" t="str">
        <x:v>ABSTAIN_INSUFFICIENT</x:v>
      </x:c>
      <x:c r="R135" s="59" t="str"/>
      <x:c r="S135" s="59" t="str"/>
      <x:c r="T135" s="56" t="n">
        <x:f>--(Q135="PRESENT")</x:f>
        <x:v>0</x:v>
      </x:c>
      <x:c r="U135" s="56" t="n">
        <x:f>--(T135=N135)</x:f>
        <x:v>1</x:v>
      </x:c>
      <x:c r="V135" s="56" t="n">
        <x:f>--(T135=O135)</x:f>
        <x:v>1</x:v>
      </x:c>
      <x:c r="W135" s="56" t="n">
        <x:f>--(OR(Q135="PRESENT",Q135="ABSENT"))</x:f>
        <x:v>0</x:v>
      </x:c>
      <x:c r="X135" s="56" t="str">
        <x:v>LOW</x:v>
      </x:c>
      <x:c r="Y135" s="56" t="str">
        <x:v>METADATA_UNIQUE</x:v>
      </x:c>
      <x:c r="Z135" s="57" t="b">
        <x:v>1</x:v>
      </x:c>
      <x:c r="AA135" s="57" t="b">
        <x:v>1</x:v>
      </x:c>
      <x:c r="AB135" s="56" t="n">
        <x:v>0</x:v>
      </x:c>
      <x:c r="AC135" s="56" t="str"/>
      <x:c r="AD135" s="56" t="str"/>
      <x:c r="AE135" s="56" t="str"/>
      <x:c r="AF135" s="56" t="str"/>
      <x:c r="AG135" s="59" t="str"/>
      <x:c r="AH135" s="58" t="n">
        <x:v>0.15237613898793037</x:v>
      </x:c>
      <x:c r="AI135" s="56" t="n">
        <x:f>--(AH135&gt;=0.5)</x:f>
        <x:v>0</x:v>
      </x:c>
      <x:c r="AJ135" s="56" t="n">
        <x:f>--(AI135=O135)</x:f>
        <x:v>1</x:v>
      </x:c>
      <x:c r="AK135" s="58" t="n">
        <x:v>0.15237613898793037</x:v>
      </x:c>
      <x:c r="AL135" s="56" t="n">
        <x:f>--(AK135&gt;=0.5)</x:f>
        <x:v>0</x:v>
      </x:c>
      <x:c r="AM135" s="56" t="n">
        <x:f>--(AL135=O135)</x:f>
        <x:v>1</x:v>
      </x:c>
    </x:row>
    <x:row r="136" ht="32" customHeight="1">
      <x:c r="A136" s="56" t="str">
        <x:v>3404</x:v>
      </x:c>
      <x:c r="B136" s="56" t="str">
        <x:v>8669</x:v>
      </x:c>
      <x:c r="C136" s="56" t="str">
        <x:v>6990</x:v>
      </x:c>
      <x:c r="D136" s="56" t="str">
        <x:v>Korson-Novomirgorod Pluton</x:v>
      </x:c>
      <x:c r="E136" s="56" t="str">
        <x:v>49.799999</x:v>
      </x:c>
      <x:c r="F136" s="56" t="str">
        <x:v>31.5</x:v>
      </x:c>
      <x:c r="G136" s="56" t="str"/>
      <x:c r="H136" s="56" t="str">
        <x:v>51.700001</x:v>
      </x:c>
      <x:c r="I136" s="56" t="str">
        <x:v>-21.9</x:v>
      </x:c>
      <x:c r="J136" s="56" t="str">
        <x:v>14</x:v>
      </x:c>
      <x:c r="K136" s="56" t="str">
        <x:v>159.10001</x:v>
      </x:c>
      <x:c r="L136" s="56" t="str">
        <x:v>D</x:v>
      </x:c>
      <x:c r="M136" s="59" t="str"/>
      <x:c r="N136" s="56" t="n">
        <x:f>--(LEN(M136)&gt;0)</x:f>
        <x:v>0</x:v>
      </x:c>
      <x:c r="O136" s="56" t="n">
        <x:v>0</x:v>
      </x:c>
      <x:c r="P136" s="56" t="n">
        <x:f>--(N136=O136)</x:f>
        <x:v>1</x:v>
      </x:c>
      <x:c r="Q136" s="56" t="str">
        <x:v>ABSTAIN_INSUFFICIENT</x:v>
      </x:c>
      <x:c r="R136" s="59" t="str"/>
      <x:c r="S136" s="59" t="str"/>
      <x:c r="T136" s="56" t="n">
        <x:f>--(Q136="PRESENT")</x:f>
        <x:v>0</x:v>
      </x:c>
      <x:c r="U136" s="56" t="n">
        <x:f>--(T136=N136)</x:f>
        <x:v>1</x:v>
      </x:c>
      <x:c r="V136" s="56" t="n">
        <x:f>--(T136=O136)</x:f>
        <x:v>1</x:v>
      </x:c>
      <x:c r="W136" s="56" t="n">
        <x:f>--(OR(Q136="PRESENT",Q136="ABSENT"))</x:f>
        <x:v>0</x:v>
      </x:c>
      <x:c r="X136" s="56" t="str">
        <x:v>LOW</x:v>
      </x:c>
      <x:c r="Y136" s="56" t="str">
        <x:v>METADATA_UNIQUE</x:v>
      </x:c>
      <x:c r="Z136" s="57" t="b">
        <x:v>1</x:v>
      </x:c>
      <x:c r="AA136" s="57" t="b">
        <x:v>1</x:v>
      </x:c>
      <x:c r="AB136" s="56" t="n">
        <x:v>0</x:v>
      </x:c>
      <x:c r="AC136" s="56" t="str"/>
      <x:c r="AD136" s="56" t="str"/>
      <x:c r="AE136" s="56" t="str"/>
      <x:c r="AF136" s="56" t="str"/>
      <x:c r="AG136" s="59" t="str"/>
      <x:c r="AH136" s="58" t="n">
        <x:v>0.13566966106299855</x:v>
      </x:c>
      <x:c r="AI136" s="56" t="n">
        <x:f>--(AH136&gt;=0.5)</x:f>
        <x:v>0</x:v>
      </x:c>
      <x:c r="AJ136" s="56" t="n">
        <x:f>--(AI136=O136)</x:f>
        <x:v>1</x:v>
      </x:c>
      <x:c r="AK136" s="58" t="n">
        <x:v>0.13566966106299855</x:v>
      </x:c>
      <x:c r="AL136" s="56" t="n">
        <x:f>--(AK136&gt;=0.5)</x:f>
        <x:v>0</x:v>
      </x:c>
      <x:c r="AM136" s="56" t="n">
        <x:f>--(AL136=O136)</x:f>
        <x:v>1</x:v>
      </x:c>
    </x:row>
    <x:row r="137" ht="32" customHeight="1">
      <x:c r="A137" s="56" t="str">
        <x:v>3404</x:v>
      </x:c>
      <x:c r="B137" s="56" t="str">
        <x:v>8670</x:v>
      </x:c>
      <x:c r="C137" s="56" t="str">
        <x:v>6991</x:v>
      </x:c>
      <x:c r="D137" s="56" t="str">
        <x:v>Ingulo-Ingulets Basic Dyke</x:v>
      </x:c>
      <x:c r="E137" s="56" t="str">
        <x:v>49.200001</x:v>
      </x:c>
      <x:c r="F137" s="56" t="str">
        <x:v>31.9</x:v>
      </x:c>
      <x:c r="G137" s="56" t="str"/>
      <x:c r="H137" s="56" t="str">
        <x:v>45.599998</x:v>
      </x:c>
      <x:c r="I137" s="56" t="str">
        <x:v>-11.8</x:v>
      </x:c>
      <x:c r="J137" s="56" t="str">
        <x:v>22.1</x:v>
      </x:c>
      <x:c r="K137" s="56" t="str">
        <x:v>161.8</x:v>
      </x:c>
      <x:c r="L137" s="56" t="str">
        <x:v>D</x:v>
      </x:c>
      <x:c r="M137" s="59" t="str"/>
      <x:c r="N137" s="56" t="n">
        <x:f>--(LEN(M137)&gt;0)</x:f>
        <x:v>0</x:v>
      </x:c>
      <x:c r="O137" s="56" t="n">
        <x:v>0</x:v>
      </x:c>
      <x:c r="P137" s="56" t="n">
        <x:f>--(N137=O137)</x:f>
        <x:v>1</x:v>
      </x:c>
      <x:c r="Q137" s="56" t="str">
        <x:v>ABSTAIN_INSUFFICIENT</x:v>
      </x:c>
      <x:c r="R137" s="59" t="str"/>
      <x:c r="S137" s="59" t="str"/>
      <x:c r="T137" s="56" t="n">
        <x:f>--(Q137="PRESENT")</x:f>
        <x:v>0</x:v>
      </x:c>
      <x:c r="U137" s="56" t="n">
        <x:f>--(T137=N137)</x:f>
        <x:v>1</x:v>
      </x:c>
      <x:c r="V137" s="56" t="n">
        <x:f>--(T137=O137)</x:f>
        <x:v>1</x:v>
      </x:c>
      <x:c r="W137" s="56" t="n">
        <x:f>--(OR(Q137="PRESENT",Q137="ABSENT"))</x:f>
        <x:v>0</x:v>
      </x:c>
      <x:c r="X137" s="56" t="str">
        <x:v>LOW</x:v>
      </x:c>
      <x:c r="Y137" s="56" t="str">
        <x:v>METADATA_UNIQUE</x:v>
      </x:c>
      <x:c r="Z137" s="57" t="b">
        <x:v>1</x:v>
      </x:c>
      <x:c r="AA137" s="57" t="b">
        <x:v>1</x:v>
      </x:c>
      <x:c r="AB137" s="56" t="n">
        <x:v>0</x:v>
      </x:c>
      <x:c r="AC137" s="56" t="str"/>
      <x:c r="AD137" s="56" t="str"/>
      <x:c r="AE137" s="56" t="str"/>
      <x:c r="AF137" s="56" t="str"/>
      <x:c r="AG137" s="59" t="str"/>
      <x:c r="AH137" s="58" t="n">
        <x:v>0.15863128037978508</x:v>
      </x:c>
      <x:c r="AI137" s="56" t="n">
        <x:f>--(AH137&gt;=0.5)</x:f>
        <x:v>0</x:v>
      </x:c>
      <x:c r="AJ137" s="56" t="n">
        <x:f>--(AI137=O137)</x:f>
        <x:v>1</x:v>
      </x:c>
      <x:c r="AK137" s="58" t="n">
        <x:v>0.15863128037978508</x:v>
      </x:c>
      <x:c r="AL137" s="56" t="n">
        <x:f>--(AK137&gt;=0.5)</x:f>
        <x:v>0</x:v>
      </x:c>
      <x:c r="AM137" s="56" t="n">
        <x:f>--(AL137=O137)</x:f>
        <x:v>1</x:v>
      </x:c>
    </x:row>
    <x:row r="138" ht="32" customHeight="1">
      <x:c r="A138" s="56" t="str">
        <x:v>3404</x:v>
      </x:c>
      <x:c r="B138" s="56" t="str">
        <x:v>8671</x:v>
      </x:c>
      <x:c r="C138" s="56" t="str">
        <x:v>6992</x:v>
      </x:c>
      <x:c r="D138" s="56" t="str">
        <x:v>Dniepr Basic Dykes</x:v>
      </x:c>
      <x:c r="E138" s="56" t="str">
        <x:v>47.900002</x:v>
      </x:c>
      <x:c r="F138" s="56" t="str">
        <x:v>33.700001</x:v>
      </x:c>
      <x:c r="G138" s="56" t="str"/>
      <x:c r="H138" s="56" t="str">
        <x:v>205.89999</x:v>
      </x:c>
      <x:c r="I138" s="56" t="str">
        <x:v>44.099998</x:v>
      </x:c>
      <x:c r="J138" s="56" t="str">
        <x:v>12.8</x:v>
      </x:c>
      <x:c r="K138" s="56" t="str">
        <x:v>190.3</x:v>
      </x:c>
      <x:c r="L138" s="56" t="str">
        <x:v>D</x:v>
      </x:c>
      <x:c r="M138" s="59" t="str"/>
      <x:c r="N138" s="56" t="n">
        <x:f>--(LEN(M138)&gt;0)</x:f>
        <x:v>0</x:v>
      </x:c>
      <x:c r="O138" s="56" t="n">
        <x:v>0</x:v>
      </x:c>
      <x:c r="P138" s="56" t="n">
        <x:f>--(N138=O138)</x:f>
        <x:v>1</x:v>
      </x:c>
      <x:c r="Q138" s="56" t="str">
        <x:v>ABSTAIN_INSUFFICIENT</x:v>
      </x:c>
      <x:c r="R138" s="59" t="str"/>
      <x:c r="S138" s="59" t="str"/>
      <x:c r="T138" s="56" t="n">
        <x:f>--(Q138="PRESENT")</x:f>
        <x:v>0</x:v>
      </x:c>
      <x:c r="U138" s="56" t="n">
        <x:f>--(T138=N138)</x:f>
        <x:v>1</x:v>
      </x:c>
      <x:c r="V138" s="56" t="n">
        <x:f>--(T138=O138)</x:f>
        <x:v>1</x:v>
      </x:c>
      <x:c r="W138" s="56" t="n">
        <x:f>--(OR(Q138="PRESENT",Q138="ABSENT"))</x:f>
        <x:v>0</x:v>
      </x:c>
      <x:c r="X138" s="56" t="str">
        <x:v>LOW</x:v>
      </x:c>
      <x:c r="Y138" s="56" t="str">
        <x:v>METADATA_UNIQUE</x:v>
      </x:c>
      <x:c r="Z138" s="57" t="b">
        <x:v>1</x:v>
      </x:c>
      <x:c r="AA138" s="57" t="b">
        <x:v>0</x:v>
      </x:c>
      <x:c r="AB138" s="56" t="n">
        <x:v>1</x:v>
      </x:c>
      <x:c r="AC138" s="56" t="str"/>
      <x:c r="AD138" s="56" t="str"/>
      <x:c r="AE138" s="56" t="str"/>
      <x:c r="AF138" s="56" t="str"/>
      <x:c r="AG138" s="59" t="str"/>
      <x:c r="AH138" s="58" t="n">
        <x:v>0.13632214744746404</x:v>
      </x:c>
      <x:c r="AI138" s="56" t="n">
        <x:f>--(AH138&gt;=0.5)</x:f>
        <x:v>0</x:v>
      </x:c>
      <x:c r="AJ138" s="56" t="n">
        <x:f>--(AI138=O138)</x:f>
        <x:v>1</x:v>
      </x:c>
      <x:c r="AK138" s="58" t="n">
        <x:v>0.13632214744746404</x:v>
      </x:c>
      <x:c r="AL138" s="56" t="n">
        <x:f>--(AK138&gt;=0.5)</x:f>
        <x:v>0</x:v>
      </x:c>
      <x:c r="AM138" s="56" t="n">
        <x:f>--(AL138=O138)</x:f>
        <x:v>1</x:v>
      </x:c>
    </x:row>
    <x:row r="139" ht="32" customHeight="1">
      <x:c r="A139" s="56" t="str">
        <x:v>3404</x:v>
      </x:c>
      <x:c r="B139" s="56" t="str">
        <x:v>8672</x:v>
      </x:c>
      <x:c r="C139" s="56" t="str">
        <x:v>6992</x:v>
      </x:c>
      <x:c r="D139" s="56" t="str">
        <x:v>Dniepr Basic Dykes</x:v>
      </x:c>
      <x:c r="E139" s="56" t="str">
        <x:v>47.900002</x:v>
      </x:c>
      <x:c r="F139" s="56" t="str">
        <x:v>33.700001</x:v>
      </x:c>
      <x:c r="G139" s="56" t="str"/>
      <x:c r="H139" s="56" t="str">
        <x:v>43.099998</x:v>
      </x:c>
      <x:c r="I139" s="56" t="str">
        <x:v>-0.40000001</x:v>
      </x:c>
      <x:c r="J139" s="56" t="str">
        <x:v>29.1</x:v>
      </x:c>
      <x:c r="K139" s="56" t="str">
        <x:v>161.8</x:v>
      </x:c>
      <x:c r="L139" s="56" t="str">
        <x:v>D</x:v>
      </x:c>
      <x:c r="M139" s="59" t="str"/>
      <x:c r="N139" s="56" t="n">
        <x:f>--(LEN(M139)&gt;0)</x:f>
        <x:v>0</x:v>
      </x:c>
      <x:c r="O139" s="56" t="n">
        <x:v>0</x:v>
      </x:c>
      <x:c r="P139" s="56" t="n">
        <x:f>--(N139=O139)</x:f>
        <x:v>1</x:v>
      </x:c>
      <x:c r="Q139" s="56" t="str">
        <x:v>ABSTAIN_INSUFFICIENT</x:v>
      </x:c>
      <x:c r="R139" s="59" t="str"/>
      <x:c r="S139" s="59" t="str"/>
      <x:c r="T139" s="56" t="n">
        <x:f>--(Q139="PRESENT")</x:f>
        <x:v>0</x:v>
      </x:c>
      <x:c r="U139" s="56" t="n">
        <x:f>--(T139=N139)</x:f>
        <x:v>1</x:v>
      </x:c>
      <x:c r="V139" s="56" t="n">
        <x:f>--(T139=O139)</x:f>
        <x:v>1</x:v>
      </x:c>
      <x:c r="W139" s="56" t="n">
        <x:f>--(OR(Q139="PRESENT",Q139="ABSENT"))</x:f>
        <x:v>0</x:v>
      </x:c>
      <x:c r="X139" s="56" t="str">
        <x:v>LOW</x:v>
      </x:c>
      <x:c r="Y139" s="56" t="str">
        <x:v>METADATA_UNIQUE</x:v>
      </x:c>
      <x:c r="Z139" s="57" t="b">
        <x:v>1</x:v>
      </x:c>
      <x:c r="AA139" s="57" t="b">
        <x:v>0</x:v>
      </x:c>
      <x:c r="AB139" s="56" t="n">
        <x:v>1</x:v>
      </x:c>
      <x:c r="AC139" s="56" t="str"/>
      <x:c r="AD139" s="56" t="str"/>
      <x:c r="AE139" s="56" t="str"/>
      <x:c r="AF139" s="56" t="str"/>
      <x:c r="AG139" s="59" t="str"/>
      <x:c r="AH139" s="58" t="n">
        <x:v>0.13632214744746404</x:v>
      </x:c>
      <x:c r="AI139" s="56" t="n">
        <x:f>--(AH139&gt;=0.5)</x:f>
        <x:v>0</x:v>
      </x:c>
      <x:c r="AJ139" s="56" t="n">
        <x:f>--(AI139=O139)</x:f>
        <x:v>1</x:v>
      </x:c>
      <x:c r="AK139" s="58" t="n">
        <x:v>0.13632214744746404</x:v>
      </x:c>
      <x:c r="AL139" s="56" t="n">
        <x:f>--(AK139&gt;=0.5)</x:f>
        <x:v>0</x:v>
      </x:c>
      <x:c r="AM139" s="56" t="n">
        <x:f>--(AL139=O139)</x:f>
        <x:v>1</x:v>
      </x:c>
    </x:row>
    <x:row r="140" ht="32" customHeight="1">
      <x:c r="A140" s="56" t="str">
        <x:v>3415</x:v>
      </x:c>
      <x:c r="B140" s="56" t="str">
        <x:v>8684</x:v>
      </x:c>
      <x:c r="C140" s="56" t="str">
        <x:v>7003</x:v>
      </x:c>
      <x:c r="D140" s="56" t="str">
        <x:v>Ljusdal Batholith</x:v>
      </x:c>
      <x:c r="E140" s="56" t="str">
        <x:v>61.900002</x:v>
      </x:c>
      <x:c r="F140" s="56" t="str">
        <x:v>15.2</x:v>
      </x:c>
      <x:c r="G140" s="56" t="str"/>
      <x:c r="H140" s="56" t="str">
        <x:v>7</x:v>
      </x:c>
      <x:c r="I140" s="56" t="str">
        <x:v>25</x:v>
      </x:c>
      <x:c r="J140" s="56" t="str">
        <x:v>41</x:v>
      </x:c>
      <x:c r="K140" s="56" t="str">
        <x:v>187</x:v>
      </x:c>
      <x:c r="L140" s="56" t="str">
        <x:v>D</x:v>
      </x:c>
      <x:c r="M140" s="59" t="str"/>
      <x:c r="N140" s="56" t="n">
        <x:f>--(LEN(M140)&gt;0)</x:f>
        <x:v>0</x:v>
      </x:c>
      <x:c r="O140" s="56" t="n">
        <x:v>0</x:v>
      </x:c>
      <x:c r="P140" s="56" t="n">
        <x:f>--(N140=O140)</x:f>
        <x:v>1</x:v>
      </x:c>
      <x:c r="Q140" s="56" t="str">
        <x:v>ABSTAIN_INSUFFICIENT</x:v>
      </x:c>
      <x:c r="R140" s="59" t="str"/>
      <x:c r="S140" s="59" t="str"/>
      <x:c r="T140" s="56" t="n">
        <x:f>--(Q140="PRESENT")</x:f>
        <x:v>0</x:v>
      </x:c>
      <x:c r="U140" s="56" t="n">
        <x:f>--(T140=N140)</x:f>
        <x:v>1</x:v>
      </x:c>
      <x:c r="V140" s="56" t="n">
        <x:f>--(T140=O140)</x:f>
        <x:v>1</x:v>
      </x:c>
      <x:c r="W140" s="56" t="n">
        <x:f>--(OR(Q140="PRESENT",Q140="ABSENT"))</x:f>
        <x:v>0</x:v>
      </x:c>
      <x:c r="X140" s="56" t="str">
        <x:v>LOW</x:v>
      </x:c>
      <x:c r="Y140" s="56" t="str">
        <x:v>PAPER_ROW_MATCH</x:v>
      </x:c>
      <x:c r="Z140" s="57" t="b">
        <x:v>1</x:v>
      </x:c>
      <x:c r="AA140" s="57" t="b">
        <x:v>1</x:v>
      </x:c>
      <x:c r="AB140" s="56" t="n">
        <x:v>0</x:v>
      </x:c>
      <x:c r="AC140" s="56" t="str"/>
      <x:c r="AD140" s="56" t="str"/>
      <x:c r="AE140" s="56" t="str"/>
      <x:c r="AF140" s="56" t="str">
        <x:v>9, 10, 11, 14</x:v>
      </x:c>
      <x:c r="AG140" s="59" t="str">
        <x:v>p.9: s considered characteristic for unaltered dolerite sills (Knight and Walker, 1988). A 20 m wide dolerite dyke at site 23 (Fig. 4) also seems to carry a primary magnetic fabric, even though an inter- pretation of aeromagnetic data indicates that the dyke is cut by a NNW–SSE trending brittle shear zone and dextrally displaced  400 m. The aver- age degree of anisotropy is low ( P 1.03) and the principal axes of the AMS ellipsoid correlate well with the dyke plane and its pole (Fig. 10B). 5.3. Paleo | p.10: H.J. Mattsson, S.A,. Elming : Precambrian Research 107 (2001) 265–281274 indicates a direction similar to what is deﬁned from the alternating ﬁeld demagnetization (Table 1). The paleopole (Plat 41°, Plon 187°,d p 6° and dm 10°) calculated from the mean rema- Fig. 8. Lower hemisphere equal area projection plot of great circles ﬁtted to alternating ﬁeld demagnetization sequences for 10 samples (maximum MAD accepted is 6.5°) from the Ljus- dal batholith (site KA02) (A). The star denotes the mean di | p.11: pling site relative to the center of the zone, indicates that the dyke post-dates all plas- tic deformation activity of the zone in this area. Table 1 Paleomagnetic results a dp:dm (°)Plat:Plon (°)Met. kSite a95 (°)Dec.:Inc. (°)S:n:NMAD (°) 17107:251:15:165.8 6:10AFKA02 41:187 Th 3.1 1 :13:14 19 :31 30 3 43 :171 19 :33 4.9 1 :15:20 29 : 26 6 43 10 :166 4 :6ST16 AF 1.3 1 :4:42 9 : 24 4 623 12 :166 2 :4Th 10:209:153461942: 23ST17 1 :3:45.5AF 6.4 1 :10:10 46 : 18 8 43 10 :149 4 :8Th AF 6.4 1 :10:10</x:v>
      </x:c>
      <x:c r="AH140" s="58" t="n">
        <x:v>0.6880722845802415</x:v>
      </x:c>
      <x:c r="AI140" s="56" t="n">
        <x:f>--(AH140&gt;=0.5)</x:f>
        <x:v>1</x:v>
      </x:c>
      <x:c r="AJ140" s="56" t="n">
        <x:f>--(AI140=O140)</x:f>
        <x:v>0</x:v>
      </x:c>
      <x:c r="AK140" s="58" t="n">
        <x:v>0.6880722845802415</x:v>
      </x:c>
      <x:c r="AL140" s="56" t="n">
        <x:f>--(AK140&gt;=0.5)</x:f>
        <x:v>1</x:v>
      </x:c>
      <x:c r="AM140" s="56" t="n">
        <x:f>--(AL140=O140)</x:f>
        <x:v>0</x:v>
      </x:c>
    </x:row>
    <x:row r="141" ht="32" customHeight="1">
      <x:c r="A141" s="56" t="str">
        <x:v>3415</x:v>
      </x:c>
      <x:c r="B141" s="56" t="str">
        <x:v>8685</x:v>
      </x:c>
      <x:c r="C141" s="56" t="str">
        <x:v>7004</x:v>
      </x:c>
      <x:c r="D141" s="56" t="str">
        <x:v>Storsjon-Edsbyn Sills</x:v>
      </x:c>
      <x:c r="E141" s="56" t="str">
        <x:v>63.5</x:v>
      </x:c>
      <x:c r="F141" s="56" t="str">
        <x:v>14.5</x:v>
      </x:c>
      <x:c r="G141" s="56" t="str"/>
      <x:c r="H141" s="56" t="str">
        <x:v>33</x:v>
      </x:c>
      <x:c r="I141" s="56" t="str">
        <x:v>-23</x:v>
      </x:c>
      <x:c r="J141" s="56" t="str">
        <x:v>12</x:v>
      </x:c>
      <x:c r="K141" s="56" t="str">
        <x:v>162</x:v>
      </x:c>
      <x:c r="L141" s="56" t="str">
        <x:v>D</x:v>
      </x:c>
      <x:c r="M141" s="59" t="str">
        <x:v>SUSC-T(MAGN)</x:v>
      </x:c>
      <x:c r="N141" s="56" t="n">
        <x:f>--(LEN(M141)&gt;0)</x:f>
        <x:v>1</x:v>
      </x:c>
      <x:c r="O141" s="56" t="n">
        <x:v>1</x:v>
      </x:c>
      <x:c r="P141" s="56" t="n">
        <x:f>--(N141=O141)</x:f>
        <x:v>1</x:v>
      </x:c>
      <x:c r="Q141" s="56" t="str">
        <x:v>ABSTAIN_INSUFFICIENT</x:v>
      </x:c>
      <x:c r="R141" s="59" t="str"/>
      <x:c r="S141" s="59" t="str"/>
      <x:c r="T141" s="56" t="n">
        <x:f>--(Q141="PRESENT")</x:f>
        <x:v>0</x:v>
      </x:c>
      <x:c r="U141" s="56" t="n">
        <x:f>--(T141=N141)</x:f>
        <x:v>0</x:v>
      </x:c>
      <x:c r="V141" s="56" t="n">
        <x:f>--(T141=O141)</x:f>
        <x:v>0</x:v>
      </x:c>
      <x:c r="W141" s="56" t="n">
        <x:f>--(OR(Q141="PRESENT",Q141="ABSENT"))</x:f>
        <x:v>0</x:v>
      </x:c>
      <x:c r="X141" s="56" t="str">
        <x:v>LOW</x:v>
      </x:c>
      <x:c r="Y141" s="56" t="str">
        <x:v>PAPER_ROW_MATCH</x:v>
      </x:c>
      <x:c r="Z141" s="57" t="b">
        <x:v>1</x:v>
      </x:c>
      <x:c r="AA141" s="57" t="b">
        <x:v>1</x:v>
      </x:c>
      <x:c r="AB141" s="56" t="n">
        <x:v>0</x:v>
      </x:c>
      <x:c r="AC141" s="56" t="str"/>
      <x:c r="AD141" s="56" t="str"/>
      <x:c r="AE141" s="56" t="str"/>
      <x:c r="AF141" s="56" t="str">
        <x:v>11</x:v>
      </x:c>
      <x:c r="AG141" s="59" t="str">
        <x:v>p.11: H.J. Mattsson, S.A,. Elming : Precambrian Research 107 (2001) 265–281 275 The dolerite sill that truncates the plastic de- formation pattern in the zone at site ST16 car- ries a stable mean remanence direction after AF demagnetization (decl. 29°, incl. 26°, a 95 6° and k 43) that is likely to represent the primary magnetization of the rock (Table 1). Together with the other dolerite sills (ST17– ST20) a formation mean direction of decl. 32° and incl. 23° (a 95 10°, k 56, 61 samples) is deﬁned (F | p.11: in this area. Table 1 Paleomagnetic results a dp:dm (°)Plat:Plon (°)Met. kSite a95 (°)Dec.:Inc. (°)S:n:NMAD (°) 17107:251:15:165.8 6:10AFKA02 41:187 Th 3.1 1 :13:14 19 :31 30 3 43 :171 19 :33 4.9 1 :15:20 29 : 26 6 43 10 :166 4 :6ST16 AF 1.3 1 :4:42 9 : 24 4 623 12 :166 2 :4Th 10:209:153461942: 23ST17 1 :3:45.5AF 6.4 1 :10:10 46 : 18 8 43 10 :149 4 :8Th AF 6.4 1 :10:10 31 : 19ST18 83 8 1 4 :163 4 :8 10:2014:163441931: 191:3:31.3Th AF 4.2 1 :16:16 28 : 34ST19 47 7 6 :168 3 :5 5.4 1 :5:6–Th – – – </x:v>
      </x:c>
      <x:c r="AH141" s="58" t="n">
        <x:v>0.7194998517401424</x:v>
      </x:c>
      <x:c r="AI141" s="56" t="n">
        <x:f>--(AH141&gt;=0.5)</x:f>
        <x:v>1</x:v>
      </x:c>
      <x:c r="AJ141" s="56" t="n">
        <x:f>--(AI141=O141)</x:f>
        <x:v>1</x:v>
      </x:c>
      <x:c r="AK141" s="58" t="n">
        <x:v>0.7194998517401423</x:v>
      </x:c>
      <x:c r="AL141" s="56" t="n">
        <x:f>--(AK141&gt;=0.5)</x:f>
        <x:v>1</x:v>
      </x:c>
      <x:c r="AM141" s="56" t="n">
        <x:f>--(AL141=O141)</x:f>
        <x:v>1</x:v>
      </x:c>
    </x:row>
    <x:row r="142" ht="32" customHeight="1">
      <x:c r="A142" s="56" t="str">
        <x:v>3416</x:v>
      </x:c>
      <x:c r="B142" s="56" t="str">
        <x:v>8686</x:v>
      </x:c>
      <x:c r="C142" s="56" t="str">
        <x:v>7005</x:v>
      </x:c>
      <x:c r="D142" s="56" t="str">
        <x:v>Vasterbotten Complex</x:v>
      </x:c>
      <x:c r="E142" s="56" t="str">
        <x:v>64.599998</x:v>
      </x:c>
      <x:c r="F142" s="56" t="str">
        <x:v>18</x:v>
      </x:c>
      <x:c r="G142" s="56" t="str"/>
      <x:c r="H142" s="56" t="str">
        <x:v>45</x:v>
      </x:c>
      <x:c r="I142" s="56" t="str">
        <x:v>-45</x:v>
      </x:c>
      <x:c r="J142" s="56" t="str">
        <x:v>-7.6999998</x:v>
      </x:c>
      <x:c r="K142" s="56" t="str">
        <x:v>158.3</x:v>
      </x:c>
      <x:c r="L142" s="56" t="str">
        <x:v>V</x:v>
      </x:c>
      <x:c r="M142" s="59" t="str">
        <x:v>OP(MAGN)</x:v>
      </x:c>
      <x:c r="N142" s="56" t="n">
        <x:f>--(LEN(M142)&gt;0)</x:f>
        <x:v>1</x:v>
      </x:c>
      <x:c r="O142" s="56" t="n">
        <x:v>1</x:v>
      </x:c>
      <x:c r="P142" s="56" t="n">
        <x:f>--(N142=O142)</x:f>
        <x:v>1</x:v>
      </x:c>
      <x:c r="Q142" s="56" t="str">
        <x:v>ABSTAIN_INSUFFICIENT</x:v>
      </x:c>
      <x:c r="R142" s="59" t="str"/>
      <x:c r="S142" s="59" t="str"/>
      <x:c r="T142" s="56" t="n">
        <x:f>--(Q142="PRESENT")</x:f>
        <x:v>0</x:v>
      </x:c>
      <x:c r="U142" s="56" t="n">
        <x:f>--(T142=N142)</x:f>
        <x:v>0</x:v>
      </x:c>
      <x:c r="V142" s="56" t="n">
        <x:f>--(T142=O142)</x:f>
        <x:v>0</x:v>
      </x:c>
      <x:c r="W142" s="56" t="n">
        <x:f>--(OR(Q142="PRESENT",Q142="ABSENT"))</x:f>
        <x:v>0</x:v>
      </x:c>
      <x:c r="X142" s="56" t="str">
        <x:v>LOW</x:v>
      </x:c>
      <x:c r="Y142" s="56" t="str">
        <x:v>PAPER_ROW_MATCH</x:v>
      </x:c>
      <x:c r="Z142" s="57" t="b">
        <x:v>1</x:v>
      </x:c>
      <x:c r="AA142" s="57" t="b">
        <x:v>1</x:v>
      </x:c>
      <x:c r="AB142" s="56" t="n">
        <x:v>0</x:v>
      </x:c>
      <x:c r="AC142" s="56" t="str"/>
      <x:c r="AD142" s="56" t="str"/>
      <x:c r="AE142" s="56" t="str"/>
      <x:c r="AF142" s="56" t="str">
        <x:v>11</x:v>
      </x:c>
      <x:c r="AG142" s="59" t="str">
        <x:v>p.11: S.A/p44. Elming, H. Mattsson / Precambrian Research 108 (2001) 215 –236 225 demagnetizing ﬁelds (Fig. 2d). Also in thermal demagnetizations low unblocking temperature components are isolated and from the similarity in direction with that of the PEF a viscous origin for this remanence is suggested. The site mean directions are fairly well de ﬁned and for a majority of sites the precission parame- ter is higher than 30 (Table 1). Apart from the mean direction of site 11 (Table 1; Fig. 3d) the site</x:v>
      </x:c>
      <x:c r="AH142" s="58" t="n">
        <x:v>0.5401018707510385</x:v>
      </x:c>
      <x:c r="AI142" s="56" t="n">
        <x:f>--(AH142&gt;=0.5)</x:f>
        <x:v>1</x:v>
      </x:c>
      <x:c r="AJ142" s="56" t="n">
        <x:f>--(AI142=O142)</x:f>
        <x:v>1</x:v>
      </x:c>
      <x:c r="AK142" s="58" t="n">
        <x:v>0.5401018707510385</x:v>
      </x:c>
      <x:c r="AL142" s="56" t="n">
        <x:f>--(AK142&gt;=0.5)</x:f>
        <x:v>1</x:v>
      </x:c>
      <x:c r="AM142" s="56" t="n">
        <x:f>--(AL142=O142)</x:f>
        <x:v>1</x:v>
      </x:c>
    </x:row>
    <x:row r="143" ht="32" customHeight="1">
      <x:c r="A143" s="56" t="str">
        <x:v>3416</x:v>
      </x:c>
      <x:c r="B143" s="56" t="str">
        <x:v>8687</x:v>
      </x:c>
      <x:c r="C143" s="56" t="str">
        <x:v>7006</x:v>
      </x:c>
      <x:c r="D143" s="56" t="str">
        <x:v>Ulfo Complex</x:v>
      </x:c>
      <x:c r="E143" s="56" t="str">
        <x:v>63</x:v>
      </x:c>
      <x:c r="F143" s="56" t="str">
        <x:v>18.200001</x:v>
      </x:c>
      <x:c r="G143" s="56" t="str"/>
      <x:c r="H143" s="56" t="str">
        <x:v>48.099998</x:v>
      </x:c>
      <x:c r="I143" s="56" t="str">
        <x:v>-45.299999</x:v>
      </x:c>
      <x:c r="J143" s="56" t="str">
        <x:v>-7.5</x:v>
      </x:c>
      <x:c r="K143" s="56" t="str">
        <x:v>156.5</x:v>
      </x:c>
      <x:c r="L143" s="56" t="str">
        <x:v>V</x:v>
      </x:c>
      <x:c r="M143" s="59" t="str"/>
      <x:c r="N143" s="56" t="n">
        <x:f>--(LEN(M143)&gt;0)</x:f>
        <x:v>0</x:v>
      </x:c>
      <x:c r="O143" s="56" t="n">
        <x:v>0</x:v>
      </x:c>
      <x:c r="P143" s="56" t="n">
        <x:f>--(N143=O143)</x:f>
        <x:v>1</x:v>
      </x:c>
      <x:c r="Q143" s="56" t="str">
        <x:v>ABSTAIN_ANCHOR</x:v>
      </x:c>
      <x:c r="R143" s="59" t="str"/>
      <x:c r="S143" s="59" t="str"/>
      <x:c r="T143" s="56" t="n">
        <x:f>--(Q143="PRESENT")</x:f>
        <x:v>0</x:v>
      </x:c>
      <x:c r="U143" s="56" t="n">
        <x:f>--(T143=N143)</x:f>
        <x:v>1</x:v>
      </x:c>
      <x:c r="V143" s="56" t="n">
        <x:f>--(T143=O143)</x:f>
        <x:v>1</x:v>
      </x:c>
      <x:c r="W143" s="56" t="n">
        <x:f>--(OR(Q143="PRESENT",Q143="ABSENT"))</x:f>
        <x:v>0</x:v>
      </x:c>
      <x:c r="X143" s="56" t="str">
        <x:v>LOW</x:v>
      </x:c>
      <x:c r="Y143" s="56" t="str">
        <x:v>METADATA_UNIQUE</x:v>
      </x:c>
      <x:c r="Z143" s="57" t="b">
        <x:v>1</x:v>
      </x:c>
      <x:c r="AA143" s="57" t="b">
        <x:v>1</x:v>
      </x:c>
      <x:c r="AB143" s="56" t="n">
        <x:v>0</x:v>
      </x:c>
      <x:c r="AC143" s="56" t="str"/>
      <x:c r="AD143" s="56" t="str"/>
      <x:c r="AE143" s="56" t="str"/>
      <x:c r="AF143" s="56" t="str"/>
      <x:c r="AG143" s="59" t="str"/>
      <x:c r="AH143" s="58" t="n">
        <x:v>0.537329803118351</x:v>
      </x:c>
      <x:c r="AI143" s="56" t="n">
        <x:f>--(AH143&gt;=0.5)</x:f>
        <x:v>1</x:v>
      </x:c>
      <x:c r="AJ143" s="56" t="n">
        <x:f>--(AI143=O143)</x:f>
        <x:v>0</x:v>
      </x:c>
      <x:c r="AK143" s="58" t="n">
        <x:v>0.537329803118351</x:v>
      </x:c>
      <x:c r="AL143" s="56" t="n">
        <x:f>--(AK143&gt;=0.5)</x:f>
        <x:v>1</x:v>
      </x:c>
      <x:c r="AM143" s="56" t="n">
        <x:f>--(AL143=O143)</x:f>
        <x:v>0</x:v>
      </x:c>
    </x:row>
    <x:row r="144" ht="32" customHeight="1">
      <x:c r="A144" s="56" t="str">
        <x:v>3416</x:v>
      </x:c>
      <x:c r="B144" s="56" t="str">
        <x:v>8688</x:v>
      </x:c>
      <x:c r="C144" s="56" t="str">
        <x:v>7007</x:v>
      </x:c>
      <x:c r="D144" s="56" t="str">
        <x:v>Jamtland Complex</x:v>
      </x:c>
      <x:c r="E144" s="56" t="str">
        <x:v>62.5</x:v>
      </x:c>
      <x:c r="F144" s="56" t="str">
        <x:v>15.4</x:v>
      </x:c>
      <x:c r="G144" s="56" t="str"/>
      <x:c r="H144" s="56" t="str">
        <x:v>37.799999</x:v>
      </x:c>
      <x:c r="I144" s="56" t="str">
        <x:v>-37.299999</x:v>
      </x:c>
      <x:c r="J144" s="56" t="str">
        <x:v>0.60000002</x:v>
      </x:c>
      <x:c r="K144" s="56" t="str">
        <x:v>160.5</x:v>
      </x:c>
      <x:c r="L144" s="56" t="str">
        <x:v>V</x:v>
      </x:c>
      <x:c r="M144" s="59" t="str"/>
      <x:c r="N144" s="56" t="n">
        <x:f>--(LEN(M144)&gt;0)</x:f>
        <x:v>0</x:v>
      </x:c>
      <x:c r="O144" s="56" t="n">
        <x:v>0</x:v>
      </x:c>
      <x:c r="P144" s="56" t="n">
        <x:f>--(N144=O144)</x:f>
        <x:v>1</x:v>
      </x:c>
      <x:c r="Q144" s="56" t="str">
        <x:v>ABSTAIN_ANCHOR</x:v>
      </x:c>
      <x:c r="R144" s="59" t="str"/>
      <x:c r="S144" s="59" t="str"/>
      <x:c r="T144" s="56" t="n">
        <x:f>--(Q144="PRESENT")</x:f>
        <x:v>0</x:v>
      </x:c>
      <x:c r="U144" s="56" t="n">
        <x:f>--(T144=N144)</x:f>
        <x:v>1</x:v>
      </x:c>
      <x:c r="V144" s="56" t="n">
        <x:f>--(T144=O144)</x:f>
        <x:v>1</x:v>
      </x:c>
      <x:c r="W144" s="56" t="n">
        <x:f>--(OR(Q144="PRESENT",Q144="ABSENT"))</x:f>
        <x:v>0</x:v>
      </x:c>
      <x:c r="X144" s="56" t="str">
        <x:v>LOW</x:v>
      </x:c>
      <x:c r="Y144" s="56" t="str">
        <x:v>METADATA_UNIQUE</x:v>
      </x:c>
      <x:c r="Z144" s="57" t="b">
        <x:v>1</x:v>
      </x:c>
      <x:c r="AA144" s="57" t="b">
        <x:v>1</x:v>
      </x:c>
      <x:c r="AB144" s="56" t="n">
        <x:v>0</x:v>
      </x:c>
      <x:c r="AC144" s="56" t="str"/>
      <x:c r="AD144" s="56" t="str"/>
      <x:c r="AE144" s="56" t="str"/>
      <x:c r="AF144" s="56" t="str"/>
      <x:c r="AG144" s="59" t="str"/>
      <x:c r="AH144" s="58" t="n">
        <x:v>0.5390484960408908</x:v>
      </x:c>
      <x:c r="AI144" s="56" t="n">
        <x:f>--(AH144&gt;=0.5)</x:f>
        <x:v>1</x:v>
      </x:c>
      <x:c r="AJ144" s="56" t="n">
        <x:f>--(AI144=O144)</x:f>
        <x:v>0</x:v>
      </x:c>
      <x:c r="AK144" s="58" t="n">
        <x:v>0.5390484960408908</x:v>
      </x:c>
      <x:c r="AL144" s="56" t="n">
        <x:f>--(AK144&gt;=0.5)</x:f>
        <x:v>1</x:v>
      </x:c>
      <x:c r="AM144" s="56" t="n">
        <x:f>--(AL144=O144)</x:f>
        <x:v>0</x:v>
      </x:c>
    </x:row>
    <x:row r="145" ht="32" customHeight="1">
      <x:c r="A145" s="56" t="str">
        <x:v>3416</x:v>
      </x:c>
      <x:c r="B145" s="56" t="str">
        <x:v>8689</x:v>
      </x:c>
      <x:c r="C145" s="56" t="str">
        <x:v>7008</x:v>
      </x:c>
      <x:c r="D145" s="56" t="str">
        <x:v>Satakunta Complex</x:v>
      </x:c>
      <x:c r="E145" s="56" t="str">
        <x:v>61</x:v>
      </x:c>
      <x:c r="F145" s="56" t="str">
        <x:v>19.1</x:v>
      </x:c>
      <x:c r="G145" s="56" t="str"/>
      <x:c r="H145" s="56" t="str">
        <x:v>44.700001</x:v>
      </x:c>
      <x:c r="I145" s="56" t="str">
        <x:v>-40.299999</x:v>
      </x:c>
      <x:c r="J145" s="56" t="str">
        <x:v>-1.5</x:v>
      </x:c>
      <x:c r="K145" s="56" t="str">
        <x:v>161.5</x:v>
      </x:c>
      <x:c r="L145" s="56" t="str">
        <x:v>V</x:v>
      </x:c>
      <x:c r="M145" s="59" t="str"/>
      <x:c r="N145" s="56" t="n">
        <x:f>--(LEN(M145)&gt;0)</x:f>
        <x:v>0</x:v>
      </x:c>
      <x:c r="O145" s="56" t="n">
        <x:v>0</x:v>
      </x:c>
      <x:c r="P145" s="56" t="n">
        <x:f>--(N145=O145)</x:f>
        <x:v>1</x:v>
      </x:c>
      <x:c r="Q145" s="56" t="str">
        <x:v>ABSTAIN_INSUFFICIENT</x:v>
      </x:c>
      <x:c r="R145" s="59" t="str"/>
      <x:c r="S145" s="59" t="str"/>
      <x:c r="T145" s="56" t="n">
        <x:f>--(Q145="PRESENT")</x:f>
        <x:v>0</x:v>
      </x:c>
      <x:c r="U145" s="56" t="n">
        <x:f>--(T145=N145)</x:f>
        <x:v>1</x:v>
      </x:c>
      <x:c r="V145" s="56" t="n">
        <x:f>--(T145=O145)</x:f>
        <x:v>1</x:v>
      </x:c>
      <x:c r="W145" s="56" t="n">
        <x:f>--(OR(Q145="PRESENT",Q145="ABSENT"))</x:f>
        <x:v>0</x:v>
      </x:c>
      <x:c r="X145" s="56" t="str">
        <x:v>LOW</x:v>
      </x:c>
      <x:c r="Y145" s="56" t="str">
        <x:v>METADATA_UNIQUE</x:v>
      </x:c>
      <x:c r="Z145" s="57" t="b">
        <x:v>1</x:v>
      </x:c>
      <x:c r="AA145" s="57" t="b">
        <x:v>1</x:v>
      </x:c>
      <x:c r="AB145" s="56" t="n">
        <x:v>0</x:v>
      </x:c>
      <x:c r="AC145" s="56" t="str"/>
      <x:c r="AD145" s="56" t="str"/>
      <x:c r="AE145" s="56" t="str"/>
      <x:c r="AF145" s="56" t="str"/>
      <x:c r="AG145" s="59" t="str"/>
      <x:c r="AH145" s="58" t="n">
        <x:v>0.6605345546812076</x:v>
      </x:c>
      <x:c r="AI145" s="56" t="n">
        <x:f>--(AH145&gt;=0.5)</x:f>
        <x:v>1</x:v>
      </x:c>
      <x:c r="AJ145" s="56" t="n">
        <x:f>--(AI145=O145)</x:f>
        <x:v>0</x:v>
      </x:c>
      <x:c r="AK145" s="58" t="n">
        <x:v>0.6605345546812076</x:v>
      </x:c>
      <x:c r="AL145" s="56" t="n">
        <x:f>--(AK145&gt;=0.5)</x:f>
        <x:v>1</x:v>
      </x:c>
      <x:c r="AM145" s="56" t="n">
        <x:f>--(AL145=O145)</x:f>
        <x:v>0</x:v>
      </x:c>
    </x:row>
    <x:row r="146" ht="32" customHeight="1">
      <x:c r="A146" s="56" t="str">
        <x:v>3434</x:v>
      </x:c>
      <x:c r="B146" s="56" t="str">
        <x:v>8719</x:v>
      </x:c>
      <x:c r="C146" s="56" t="str">
        <x:v>7034</x:v>
      </x:c>
      <x:c r="D146" s="56" t="str">
        <x:v>West Branch Volcanics</x:v>
      </x:c>
      <x:c r="E146" s="56" t="str">
        <x:v>-14.3</x:v>
      </x:c>
      <x:c r="F146" s="56" t="str">
        <x:v>133.2</x:v>
      </x:c>
      <x:c r="G146" s="56" t="str">
        <x:v>A Component</x:v>
      </x:c>
      <x:c r="H146" s="56" t="str">
        <x:v>100.4</x:v>
      </x:c>
      <x:c r="I146" s="56" t="str">
        <x:v>42.900002</x:v>
      </x:c>
      <x:c r="J146" s="56" t="str">
        <x:v>-15.9</x:v>
      </x:c>
      <x:c r="K146" s="56" t="str">
        <x:v>200.5</x:v>
      </x:c>
      <x:c r="L146" s="56" t="str">
        <x:v>V</x:v>
      </x:c>
      <x:c r="M146" s="59" t="str">
        <x:v>SUSC-T(MAGN,HEM)</x:v>
      </x:c>
      <x:c r="N146" s="56" t="n">
        <x:f>--(LEN(M146)&gt;0)</x:f>
        <x:v>1</x:v>
      </x:c>
      <x:c r="O146" s="56" t="n">
        <x:v>1</x:v>
      </x:c>
      <x:c r="P146" s="56" t="n">
        <x:f>--(N146=O146)</x:f>
        <x:v>1</x:v>
      </x:c>
      <x:c r="Q146" s="56" t="str">
        <x:v>PRESENT</x:v>
      </x:c>
      <x:c r="R146" s="59" t="str">
        <x:v>SUSC-T(MAGN,HEM)</x:v>
      </x:c>
      <x:c r="S146" s="59" t="str">
        <x:v>SUSC-T(MAGN,HEM)</x:v>
      </x:c>
      <x:c r="T146" s="56" t="n">
        <x:f>--(Q146="PRESENT")</x:f>
        <x:v>1</x:v>
      </x:c>
      <x:c r="U146" s="56" t="n">
        <x:f>--(T146=N146)</x:f>
        <x:v>1</x:v>
      </x:c>
      <x:c r="V146" s="56" t="n">
        <x:f>--(T146=O146)</x:f>
        <x:v>1</x:v>
      </x:c>
      <x:c r="W146" s="56" t="n">
        <x:f>--(OR(Q146="PRESENT",Q146="ABSENT"))</x:f>
        <x:v>1</x:v>
      </x:c>
      <x:c r="X146" s="56" t="str">
        <x:v>HIGH</x:v>
      </x:c>
      <x:c r="Y146" s="56" t="str">
        <x:v>PAPER_ROW_MATCH</x:v>
      </x:c>
      <x:c r="Z146" s="57" t="b">
        <x:v>1</x:v>
      </x:c>
      <x:c r="AA146" s="57" t="b">
        <x:v>1</x:v>
      </x:c>
      <x:c r="AB146" s="56" t="n">
        <x:v>0</x:v>
      </x:c>
      <x:c r="AC146" s="56" t="str">
        <x:v>SUSC-T</x:v>
      </x:c>
      <x:c r="AD146" s="56" t="str">
        <x:v>MAGN,HEM</x:v>
      </x:c>
      <x:c r="AE146" s="56" t="str"/>
      <x:c r="AF146" s="56" t="str">
        <x:v>4, 5, 8, 17, 18</x:v>
      </x:c>
      <x:c r="AG146" s="59" t="str">
        <x:v>p.8: temperature changes of susceptibility | p.5: yielding a total volcanics of a mineral with a Curie temperature of ≤580°C | p.8: magnetite</x:v>
      </x:c>
      <x:c r="AH146" s="58" t="n">
        <x:v>0.5994100145056742</x:v>
      </x:c>
      <x:c r="AI146" s="56" t="n">
        <x:f>--(AH146&gt;=0.5)</x:f>
        <x:v>1</x:v>
      </x:c>
      <x:c r="AJ146" s="56" t="n">
        <x:f>--(AI146=O146)</x:f>
        <x:v>1</x:v>
      </x:c>
      <x:c r="AK146" s="58" t="n">
        <x:v>0.5840853824894449</x:v>
      </x:c>
      <x:c r="AL146" s="56" t="n">
        <x:f>--(AK146&gt;=0.5)</x:f>
        <x:v>1</x:v>
      </x:c>
      <x:c r="AM146" s="56" t="n">
        <x:f>--(AL146=O146)</x:f>
        <x:v>1</x:v>
      </x:c>
    </x:row>
    <x:row r="147" ht="32" customHeight="1">
      <x:c r="A147" s="56" t="str">
        <x:v>3434</x:v>
      </x:c>
      <x:c r="B147" s="56" t="str">
        <x:v>8720</x:v>
      </x:c>
      <x:c r="C147" s="56" t="str">
        <x:v>7035</x:v>
      </x:c>
      <x:c r="D147" s="56" t="str">
        <x:v>Masterson Sandstone</x:v>
      </x:c>
      <x:c r="E147" s="56" t="str">
        <x:v>-17.1</x:v>
      </x:c>
      <x:c r="F147" s="56" t="str">
        <x:v>135.89999</x:v>
      </x:c>
      <x:c r="G147" s="56" t="str">
        <x:v>A Component</x:v>
      </x:c>
      <x:c r="H147" s="56" t="str">
        <x:v>2.4000001</x:v>
      </x:c>
      <x:c r="I147" s="56" t="str">
        <x:v>-33.099998</x:v>
      </x:c>
      <x:c r="J147" s="56" t="str">
        <x:v>-87.5</x:v>
      </x:c>
      <x:c r="K147" s="56" t="str">
        <x:v>73.400002</x:v>
      </x:c>
      <x:c r="L147" s="56" t="str">
        <x:v>V</x:v>
      </x:c>
      <x:c r="M147" s="59" t="str"/>
      <x:c r="N147" s="56" t="n">
        <x:f>--(LEN(M147)&gt;0)</x:f>
        <x:v>0</x:v>
      </x:c>
      <x:c r="O147" s="56" t="n">
        <x:v>0</x:v>
      </x:c>
      <x:c r="P147" s="56" t="n">
        <x:f>--(N147=O147)</x:f>
        <x:v>1</x:v>
      </x:c>
      <x:c r="Q147" s="56" t="str">
        <x:v>ABSTAIN_INSUFFICIENT</x:v>
      </x:c>
      <x:c r="R147" s="59" t="str"/>
      <x:c r="S147" s="59" t="str"/>
      <x:c r="T147" s="56" t="n">
        <x:f>--(Q147="PRESENT")</x:f>
        <x:v>0</x:v>
      </x:c>
      <x:c r="U147" s="56" t="n">
        <x:f>--(T147=N147)</x:f>
        <x:v>1</x:v>
      </x:c>
      <x:c r="V147" s="56" t="n">
        <x:f>--(T147=O147)</x:f>
        <x:v>1</x:v>
      </x:c>
      <x:c r="W147" s="56" t="n">
        <x:f>--(OR(Q147="PRESENT",Q147="ABSENT"))</x:f>
        <x:v>0</x:v>
      </x:c>
      <x:c r="X147" s="56" t="str">
        <x:v>LOW</x:v>
      </x:c>
      <x:c r="Y147" s="56" t="str">
        <x:v>PAPER_ROW_MATCH</x:v>
      </x:c>
      <x:c r="Z147" s="57" t="b">
        <x:v>1</x:v>
      </x:c>
      <x:c r="AA147" s="57" t="b">
        <x:v>1</x:v>
      </x:c>
      <x:c r="AB147" s="56" t="n">
        <x:v>0</x:v>
      </x:c>
      <x:c r="AC147" s="56" t="str"/>
      <x:c r="AD147" s="56" t="str"/>
      <x:c r="AE147" s="56" t="str"/>
      <x:c r="AF147" s="56" t="str">
        <x:v>10, 11, 12, 13, 14</x:v>
      </x:c>
      <x:c r="AG147" s="59" t="str">
        <x:v>p.10: olomitic samples. Plots (c) and (d) show reman- ence directions from the red samples before (F) and after (B) bedding corrections, both groups being distinctly elon- gate. The directions from the site adjacent to a fault are indi- cated by squares.Plot (e) shows site mean remanence direc- tions for grey and light-brown samples.Heavy cross and plus indicate the present dipole and present field directions at the sampling locality. Symbols as in Figure 3. siliciclastics. However, a combination of A | p.10: 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the two directions—a characteristic of remanences due to lightning formations. strikes which may be expected at the exposed sampling site. The second component (LT) was removed at the i | p.10: 1.3°,inclination –51.9°.Although a fold test is not (Jackson et al. 2000). This is confirmed by the SHRIMP available,this component is interpreted as primary because U–Pb dates of 160963Ma and 161364Ma for zircons from Figure6 Amos Formation. Orthogonal projection plots show thermal (a) and alter- nating field (AF)-thermal (b) demagnetisations of two sepa- rate specimens from the same sample. Thermal treatment yielded only a single,spurious component, whereas AF fol- lowed by thermal treatment y</x:v>
      </x:c>
      <x:c r="AH147" s="58" t="n">
        <x:v>0.5447577136402839</x:v>
      </x:c>
      <x:c r="AI147" s="56" t="n">
        <x:f>--(AH147&gt;=0.5)</x:f>
        <x:v>1</x:v>
      </x:c>
      <x:c r="AJ147" s="56" t="n">
        <x:f>--(AI147=O147)</x:f>
        <x:v>0</x:v>
      </x:c>
      <x:c r="AK147" s="58" t="n">
        <x:v>0.6368758736507876</x:v>
      </x:c>
      <x:c r="AL147" s="56" t="n">
        <x:f>--(AK147&gt;=0.5)</x:f>
        <x:v>1</x:v>
      </x:c>
      <x:c r="AM147" s="56" t="n">
        <x:f>--(AL147=O147)</x:f>
        <x:v>0</x:v>
      </x:c>
    </x:row>
    <x:row r="148" ht="32" customHeight="1">
      <x:c r="A148" s="56" t="str">
        <x:v>3434</x:v>
      </x:c>
      <x:c r="B148" s="56" t="str">
        <x:v>8721</x:v>
      </x:c>
      <x:c r="C148" s="56" t="str">
        <x:v>7036</x:v>
      </x:c>
      <x:c r="D148" s="56" t="str">
        <x:v>Lynott Formation</x:v>
      </x:c>
      <x:c r="E148" s="56" t="str">
        <x:v>-16.700001</x:v>
      </x:c>
      <x:c r="F148" s="56" t="str">
        <x:v>136</x:v>
      </x:c>
      <x:c r="G148" s="56" t="str">
        <x:v>A Component</x:v>
      </x:c>
      <x:c r="H148" s="56" t="str">
        <x:v>352.20001</x:v>
      </x:c>
      <x:c r="I148" s="56" t="str">
        <x:v>-48.700001</x:v>
      </x:c>
      <x:c r="J148" s="56" t="str">
        <x:v>-75.099998</x:v>
      </x:c>
      <x:c r="K148" s="56" t="str">
        <x:v>162.8</x:v>
      </x:c>
      <x:c r="L148" s="56" t="str">
        <x:v>V</x:v>
      </x:c>
      <x:c r="M148" s="59" t="str"/>
      <x:c r="N148" s="56" t="n">
        <x:f>--(LEN(M148)&gt;0)</x:f>
        <x:v>0</x:v>
      </x:c>
      <x:c r="O148" s="56" t="n">
        <x:v>0</x:v>
      </x:c>
      <x:c r="P148" s="56" t="n">
        <x:f>--(N148=O148)</x:f>
        <x:v>1</x:v>
      </x:c>
      <x:c r="Q148" s="56" t="str">
        <x:v>ABSTAIN_INSUFFICIENT</x:v>
      </x:c>
      <x:c r="R148" s="59" t="str"/>
      <x:c r="S148" s="59" t="str"/>
      <x:c r="T148" s="56" t="n">
        <x:f>--(Q148="PRESENT")</x:f>
        <x:v>0</x:v>
      </x:c>
      <x:c r="U148" s="56" t="n">
        <x:f>--(T148=N148)</x:f>
        <x:v>1</x:v>
      </x:c>
      <x:c r="V148" s="56" t="n">
        <x:f>--(T148=O148)</x:f>
        <x:v>1</x:v>
      </x:c>
      <x:c r="W148" s="56" t="n">
        <x:f>--(OR(Q148="PRESENT",Q148="ABSENT"))</x:f>
        <x:v>0</x:v>
      </x:c>
      <x:c r="X148" s="56" t="str">
        <x:v>LOW</x:v>
      </x:c>
      <x:c r="Y148" s="56" t="str">
        <x:v>PAPER_ROW_MATCH</x:v>
      </x:c>
      <x:c r="Z148" s="57" t="b">
        <x:v>1</x:v>
      </x:c>
      <x:c r="AA148" s="57" t="b">
        <x:v>1</x:v>
      </x:c>
      <x:c r="AB148" s="56" t="n">
        <x:v>0</x:v>
      </x:c>
      <x:c r="AC148" s="56" t="str"/>
      <x:c r="AD148" s="56" t="str"/>
      <x:c r="AE148" s="56" t="str"/>
      <x:c r="AF148" s="56" t="str">
        <x:v>10, 11, 17, 18</x:v>
      </x:c>
      <x:c r="AG148" s="59" t="str">
        <x:v>p.10: olomitic samples. Plots (c) and (d) show reman- ence directions from the red samples before (F) and after (B) bedding corrections, both groups being distinctly elon- gate. The directions from the site adjacent to a fault are indi- cated by squares.Plot (e) shows site mean remanence direc- tions for grey and light-brown samples.Heavy cross and plus indicate the present dipole and present field directions at the sampling locality. Symbols as in Figure 3. siliciclastics. However, a combination of A | p.10: 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the two directions—a characteristic of remanences due to lightning formations. strikes which may be expected at the exposed sampling site. The second component (LT) was removed at the i | p.10: 1.3°,inclination –51.9°.Although a fold test is not (Jackson et al. 2000). This is confirmed by the SHRIMP available,this component is interpreted as primary because U–Pb dates of 160963Ma and 161364Ma for zircons from Figure6 Amos Formation. Orthogonal projection plots show thermal (a) and alter- nating field (AF)-thermal (b) demagnetisations of two sepa- rate specimens from the same sample. Thermal treatment yielded only a single,spurious component, whereas AF fol- lowed by thermal treatment y</x:v>
      </x:c>
      <x:c r="AH148" s="58" t="n">
        <x:v>0.5931523689397724</x:v>
      </x:c>
      <x:c r="AI148" s="56" t="n">
        <x:f>--(AH148&gt;=0.5)</x:f>
        <x:v>1</x:v>
      </x:c>
      <x:c r="AJ148" s="56" t="n">
        <x:f>--(AI148=O148)</x:f>
        <x:v>0</x:v>
      </x:c>
      <x:c r="AK148" s="58" t="n">
        <x:v>0.6701151706329233</x:v>
      </x:c>
      <x:c r="AL148" s="56" t="n">
        <x:f>--(AK148&gt;=0.5)</x:f>
        <x:v>1</x:v>
      </x:c>
      <x:c r="AM148" s="56" t="n">
        <x:f>--(AL148=O148)</x:f>
        <x:v>0</x:v>
      </x:c>
    </x:row>
    <x:row r="149" ht="32" customHeight="1">
      <x:c r="A149" s="56" t="str">
        <x:v>3434</x:v>
      </x:c>
      <x:c r="B149" s="56" t="str">
        <x:v>8722</x:v>
      </x:c>
      <x:c r="C149" s="56" t="str">
        <x:v>7037</x:v>
      </x:c>
      <x:c r="D149" s="56" t="str">
        <x:v>Amos Formation</x:v>
      </x:c>
      <x:c r="E149" s="56" t="str">
        <x:v>-16.799999</x:v>
      </x:c>
      <x:c r="F149" s="56" t="str">
        <x:v>137.7</x:v>
      </x:c>
      <x:c r="G149" s="56" t="str"/>
      <x:c r="H149" s="56" t="str">
        <x:v>341.29999</x:v>
      </x:c>
      <x:c r="I149" s="56" t="str">
        <x:v>-51.900002</x:v>
      </x:c>
      <x:c r="J149" s="56" t="str">
        <x:v>-66.5</x:v>
      </x:c>
      <x:c r="K149" s="56" t="str">
        <x:v>178.39999</x:v>
      </x:c>
      <x:c r="L149" s="56" t="str">
        <x:v>V</x:v>
      </x:c>
      <x:c r="M149" s="59" t="str"/>
      <x:c r="N149" s="56" t="n">
        <x:f>--(LEN(M149)&gt;0)</x:f>
        <x:v>0</x:v>
      </x:c>
      <x:c r="O149" s="56" t="n">
        <x:v>0</x:v>
      </x:c>
      <x:c r="P149" s="56" t="n">
        <x:f>--(N149=O149)</x:f>
        <x:v>1</x:v>
      </x:c>
      <x:c r="Q149" s="56" t="str">
        <x:v>ABSTAIN_INSUFFICIENT</x:v>
      </x:c>
      <x:c r="R149" s="59" t="str"/>
      <x:c r="S149" s="59" t="str"/>
      <x:c r="T149" s="56" t="n">
        <x:f>--(Q149="PRESENT")</x:f>
        <x:v>0</x:v>
      </x:c>
      <x:c r="U149" s="56" t="n">
        <x:f>--(T149=N149)</x:f>
        <x:v>1</x:v>
      </x:c>
      <x:c r="V149" s="56" t="n">
        <x:f>--(T149=O149)</x:f>
        <x:v>1</x:v>
      </x:c>
      <x:c r="W149" s="56" t="n">
        <x:f>--(OR(Q149="PRESENT",Q149="ABSENT"))</x:f>
        <x:v>0</x:v>
      </x:c>
      <x:c r="X149" s="56" t="str">
        <x:v>LOW</x:v>
      </x:c>
      <x:c r="Y149" s="56" t="str">
        <x:v>METADATA_UNIQUE</x:v>
      </x:c>
      <x:c r="Z149" s="57" t="b">
        <x:v>1</x:v>
      </x:c>
      <x:c r="AA149" s="57" t="b">
        <x:v>1</x:v>
      </x:c>
      <x:c r="AB149" s="56" t="n">
        <x:v>0</x:v>
      </x:c>
      <x:c r="AC149" s="56" t="str"/>
      <x:c r="AD149" s="56" t="str"/>
      <x:c r="AE149" s="56" t="str"/>
      <x:c r="AF149" s="56" t="str"/>
      <x:c r="AG149" s="59" t="str"/>
      <x:c r="AH149" s="58" t="n">
        <x:v>0.6040384865784634</x:v>
      </x:c>
      <x:c r="AI149" s="56" t="n">
        <x:f>--(AH149&gt;=0.5)</x:f>
        <x:v>1</x:v>
      </x:c>
      <x:c r="AJ149" s="56" t="n">
        <x:f>--(AI149=O149)</x:f>
        <x:v>0</x:v>
      </x:c>
      <x:c r="AK149" s="58" t="n">
        <x:v>0.5116327181328726</x:v>
      </x:c>
      <x:c r="AL149" s="56" t="n">
        <x:f>--(AK149&gt;=0.5)</x:f>
        <x:v>1</x:v>
      </x:c>
      <x:c r="AM149" s="56" t="n">
        <x:f>--(AL149=O149)</x:f>
        <x:v>0</x:v>
      </x:c>
    </x:row>
    <x:row r="150" ht="32" customHeight="1">
      <x:c r="A150" s="56" t="str">
        <x:v>3434</x:v>
      </x:c>
      <x:c r="B150" s="56" t="str">
        <x:v>8723</x:v>
      </x:c>
      <x:c r="C150" s="56" t="str">
        <x:v>7038</x:v>
      </x:c>
      <x:c r="D150" s="56" t="str">
        <x:v>Balbirini Dolomite, lower part</x:v>
      </x:c>
      <x:c r="E150" s="56" t="str">
        <x:v>-16.799999</x:v>
      </x:c>
      <x:c r="F150" s="56" t="str">
        <x:v>135.7</x:v>
      </x:c>
      <x:c r="G150" s="56" t="str"/>
      <x:c r="H150" s="56" t="str">
        <x:v>341.10001</x:v>
      </x:c>
      <x:c r="I150" s="56" t="str">
        <x:v>-51.799999</x:v>
      </x:c>
      <x:c r="J150" s="56" t="str">
        <x:v>-66.099998</x:v>
      </x:c>
      <x:c r="K150" s="56" t="str">
        <x:v>177.5</x:v>
      </x:c>
      <x:c r="L150" s="56" t="str">
        <x:v>V</x:v>
      </x:c>
      <x:c r="M150" s="59" t="str"/>
      <x:c r="N150" s="56" t="n">
        <x:f>--(LEN(M150)&gt;0)</x:f>
        <x:v>0</x:v>
      </x:c>
      <x:c r="O150" s="56" t="n">
        <x:v>0</x:v>
      </x:c>
      <x:c r="P150" s="56" t="n">
        <x:f>--(N150=O150)</x:f>
        <x:v>1</x:v>
      </x:c>
      <x:c r="Q150" s="56" t="str">
        <x:v>ABSTAIN_INSUFFICIENT</x:v>
      </x:c>
      <x:c r="R150" s="59" t="str"/>
      <x:c r="S150" s="59" t="str"/>
      <x:c r="T150" s="56" t="n">
        <x:f>--(Q150="PRESENT")</x:f>
        <x:v>0</x:v>
      </x:c>
      <x:c r="U150" s="56" t="n">
        <x:f>--(T150=N150)</x:f>
        <x:v>1</x:v>
      </x:c>
      <x:c r="V150" s="56" t="n">
        <x:f>--(T150=O150)</x:f>
        <x:v>1</x:v>
      </x:c>
      <x:c r="W150" s="56" t="n">
        <x:f>--(OR(Q150="PRESENT",Q150="ABSENT"))</x:f>
        <x:v>0</x:v>
      </x:c>
      <x:c r="X150" s="56" t="str">
        <x:v>LOW</x:v>
      </x:c>
      <x:c r="Y150" s="56" t="str">
        <x:v>METADATA_UNIQUE</x:v>
      </x:c>
      <x:c r="Z150" s="57" t="b">
        <x:v>1</x:v>
      </x:c>
      <x:c r="AA150" s="57" t="b">
        <x:v>1</x:v>
      </x:c>
      <x:c r="AB150" s="56" t="n">
        <x:v>0</x:v>
      </x:c>
      <x:c r="AC150" s="56" t="str"/>
      <x:c r="AD150" s="56" t="str"/>
      <x:c r="AE150" s="56" t="str"/>
      <x:c r="AF150" s="56" t="str"/>
      <x:c r="AG150" s="59" t="str"/>
      <x:c r="AH150" s="58" t="n">
        <x:v>0.53887099212852</x:v>
      </x:c>
      <x:c r="AI150" s="56" t="n">
        <x:f>--(AH150&gt;=0.5)</x:f>
        <x:v>1</x:v>
      </x:c>
      <x:c r="AJ150" s="56" t="n">
        <x:f>--(AI150=O150)</x:f>
        <x:v>0</x:v>
      </x:c>
      <x:c r="AK150" s="58" t="n">
        <x:v>0.4937741192647708</x:v>
      </x:c>
      <x:c r="AL150" s="56" t="n">
        <x:f>--(AK150&gt;=0.5)</x:f>
        <x:v>0</x:v>
      </x:c>
      <x:c r="AM150" s="56" t="n">
        <x:f>--(AL150=O150)</x:f>
        <x:v>1</x:v>
      </x:c>
    </x:row>
    <x:row r="151" ht="32" customHeight="1">
      <x:c r="A151" s="56" t="str">
        <x:v>3434</x:v>
      </x:c>
      <x:c r="B151" s="56" t="str">
        <x:v>8724</x:v>
      </x:c>
      <x:c r="C151" s="56" t="str">
        <x:v>7039</x:v>
      </x:c>
      <x:c r="D151" s="56" t="str">
        <x:v>Balbirini Dolomite, upper part</x:v>
      </x:c>
      <x:c r="E151" s="56" t="str">
        <x:v>-16.799999</x:v>
      </x:c>
      <x:c r="F151" s="56" t="str">
        <x:v>135.7</x:v>
      </x:c>
      <x:c r="G151" s="56" t="str"/>
      <x:c r="H151" s="56" t="str">
        <x:v>326.5</x:v>
      </x:c>
      <x:c r="I151" s="56" t="str">
        <x:v>-60.200001</x:v>
      </x:c>
      <x:c r="J151" s="56" t="str">
        <x:v>-52</x:v>
      </x:c>
      <x:c r="K151" s="56" t="str">
        <x:v>176.10001</x:v>
      </x:c>
      <x:c r="L151" s="56" t="str">
        <x:v>V</x:v>
      </x:c>
      <x:c r="M151" s="59" t="str"/>
      <x:c r="N151" s="56" t="n">
        <x:f>--(LEN(M151)&gt;0)</x:f>
        <x:v>0</x:v>
      </x:c>
      <x:c r="O151" s="56" t="n">
        <x:v>0</x:v>
      </x:c>
      <x:c r="P151" s="56" t="n">
        <x:f>--(N151=O151)</x:f>
        <x:v>1</x:v>
      </x:c>
      <x:c r="Q151" s="56" t="str">
        <x:v>ABSTAIN_INSUFFICIENT</x:v>
      </x:c>
      <x:c r="R151" s="59" t="str"/>
      <x:c r="S151" s="59" t="str"/>
      <x:c r="T151" s="56" t="n">
        <x:f>--(Q151="PRESENT")</x:f>
        <x:v>0</x:v>
      </x:c>
      <x:c r="U151" s="56" t="n">
        <x:f>--(T151=N151)</x:f>
        <x:v>1</x:v>
      </x:c>
      <x:c r="V151" s="56" t="n">
        <x:f>--(T151=O151)</x:f>
        <x:v>1</x:v>
      </x:c>
      <x:c r="W151" s="56" t="n">
        <x:f>--(OR(Q151="PRESENT",Q151="ABSENT"))</x:f>
        <x:v>0</x:v>
      </x:c>
      <x:c r="X151" s="56" t="str">
        <x:v>LOW</x:v>
      </x:c>
      <x:c r="Y151" s="56" t="str">
        <x:v>METADATA_UNIQUE</x:v>
      </x:c>
      <x:c r="Z151" s="57" t="b">
        <x:v>1</x:v>
      </x:c>
      <x:c r="AA151" s="57" t="b">
        <x:v>1</x:v>
      </x:c>
      <x:c r="AB151" s="56" t="n">
        <x:v>0</x:v>
      </x:c>
      <x:c r="AC151" s="56" t="str"/>
      <x:c r="AD151" s="56" t="str"/>
      <x:c r="AE151" s="56" t="str"/>
      <x:c r="AF151" s="56" t="str"/>
      <x:c r="AG151" s="59" t="str"/>
      <x:c r="AH151" s="58" t="n">
        <x:v>0.582155317692344</x:v>
      </x:c>
      <x:c r="AI151" s="56" t="n">
        <x:f>--(AH151&gt;=0.5)</x:f>
        <x:v>1</x:v>
      </x:c>
      <x:c r="AJ151" s="56" t="n">
        <x:f>--(AI151=O151)</x:f>
        <x:v>0</x:v>
      </x:c>
      <x:c r="AK151" s="58" t="n">
        <x:v>0.5381468467226493</x:v>
      </x:c>
      <x:c r="AL151" s="56" t="n">
        <x:f>--(AK151&gt;=0.5)</x:f>
        <x:v>1</x:v>
      </x:c>
      <x:c r="AM151" s="56" t="n">
        <x:f>--(AL151=O151)</x:f>
        <x:v>0</x:v>
      </x:c>
    </x:row>
    <x:row r="152" ht="32" customHeight="1">
      <x:c r="A152" s="56" t="str">
        <x:v>3434</x:v>
      </x:c>
      <x:c r="B152" s="56" t="str">
        <x:v>8725</x:v>
      </x:c>
      <x:c r="C152" s="56" t="str">
        <x:v>7040</x:v>
      </x:c>
      <x:c r="D152" s="56" t="str">
        <x:v>Peters Creek Volcanics, upper part</x:v>
      </x:c>
      <x:c r="E152" s="56" t="str">
        <x:v>-17.799999</x:v>
      </x:c>
      <x:c r="F152" s="56" t="str">
        <x:v>138.2</x:v>
      </x:c>
      <x:c r="G152" s="56" t="str">
        <x:v>A Component</x:v>
      </x:c>
      <x:c r="H152" s="56" t="str">
        <x:v>293</x:v>
      </x:c>
      <x:c r="I152" s="56" t="str">
        <x:v>-26.4</x:v>
      </x:c>
      <x:c r="J152" s="56" t="str">
        <x:v>-26</x:v>
      </x:c>
      <x:c r="K152" s="56" t="str">
        <x:v>221</x:v>
      </x:c>
      <x:c r="L152" s="56" t="str">
        <x:v>V</x:v>
      </x:c>
      <x:c r="M152" s="59" t="str"/>
      <x:c r="N152" s="56" t="n">
        <x:f>--(LEN(M152)&gt;0)</x:f>
        <x:v>0</x:v>
      </x:c>
      <x:c r="O152" s="56" t="n">
        <x:v>0</x:v>
      </x:c>
      <x:c r="P152" s="56" t="n">
        <x:f>--(N152=O152)</x:f>
        <x:v>1</x:v>
      </x:c>
      <x:c r="Q152" s="56" t="str">
        <x:v>ABSTAIN_INSUFFICIENT</x:v>
      </x:c>
      <x:c r="R152" s="59" t="str"/>
      <x:c r="S152" s="59" t="str"/>
      <x:c r="T152" s="56" t="n">
        <x:f>--(Q152="PRESENT")</x:f>
        <x:v>0</x:v>
      </x:c>
      <x:c r="U152" s="56" t="n">
        <x:f>--(T152=N152)</x:f>
        <x:v>1</x:v>
      </x:c>
      <x:c r="V152" s="56" t="n">
        <x:f>--(T152=O152)</x:f>
        <x:v>1</x:v>
      </x:c>
      <x:c r="W152" s="56" t="n">
        <x:f>--(OR(Q152="PRESENT",Q152="ABSENT"))</x:f>
        <x:v>0</x:v>
      </x:c>
      <x:c r="X152" s="56" t="str">
        <x:v>LOW</x:v>
      </x:c>
      <x:c r="Y152" s="56" t="str">
        <x:v>PAPER_ROW_MATCH</x:v>
      </x:c>
      <x:c r="Z152" s="57" t="b">
        <x:v>1</x:v>
      </x:c>
      <x:c r="AA152" s="57" t="b">
        <x:v>1</x:v>
      </x:c>
      <x:c r="AB152" s="56" t="n">
        <x:v>0</x:v>
      </x:c>
      <x:c r="AC152" s="56" t="str"/>
      <x:c r="AD152" s="56" t="str"/>
      <x:c r="AE152" s="56" t="str"/>
      <x:c r="AF152" s="56" t="str">
        <x:v>10, 11, 12, 15, 16</x:v>
      </x:c>
      <x:c r="AG152" s="59" t="str">
        <x:v>p.10: olomitic samples. Plots (c) and (d) show reman- ence directions from the red samples before (F) and after (B) bedding corrections, both groups being distinctly elon- gate. The directions from the site adjacent to a fault are indi- cated by squares.Plot (e) shows site mean remanence direc- tions for grey and light-brown samples.Heavy cross and plus indicate the present dipole and present field directions at the sampling locality. Symbols as in Figure 3. siliciclastics. However, a combination of A | p.10: 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the two directions—a characteristic of remanences due to lightning formations. strikes which may be expected at the exposed sampling site. The second component (LT) was removed at the i | p.10: 1.3°,inclination –51.9°.Although a fold test is not (Jackson et al. 2000). This is confirmed by the SHRIMP available,this component is interpreted as primary because U–Pb dates of 160963Ma and 161364Ma for zircons from Figure6 Amos Formation. Orthogonal projection plots show thermal (a) and alter- nating field (AF)-thermal (b) demagnetisations of two sepa- rate specimens from the same sample. Thermal treatment yielded only a single,spurious component, whereas AF fol- lowed by thermal treatment y</x:v>
      </x:c>
      <x:c r="AH152" s="58" t="n">
        <x:v>0.6079874122802025</x:v>
      </x:c>
      <x:c r="AI152" s="56" t="n">
        <x:f>--(AH152&gt;=0.5)</x:f>
        <x:v>1</x:v>
      </x:c>
      <x:c r="AJ152" s="56" t="n">
        <x:f>--(AI152=O152)</x:f>
        <x:v>0</x:v>
      </x:c>
      <x:c r="AK152" s="58" t="n">
        <x:v>0.5810335099369427</x:v>
      </x:c>
      <x:c r="AL152" s="56" t="n">
        <x:f>--(AK152&gt;=0.5)</x:f>
        <x:v>1</x:v>
      </x:c>
      <x:c r="AM152" s="56" t="n">
        <x:f>--(AL152=O152)</x:f>
        <x:v>0</x:v>
      </x:c>
    </x:row>
    <x:row r="153" ht="32" customHeight="1">
      <x:c r="A153" s="56" t="str">
        <x:v>3434</x:v>
      </x:c>
      <x:c r="B153" s="56" t="str">
        <x:v>8726</x:v>
      </x:c>
      <x:c r="C153" s="56" t="str">
        <x:v>7041</x:v>
      </x:c>
      <x:c r="D153" s="56" t="str">
        <x:v>Buddawadda Basalt (intrusives)</x:v>
      </x:c>
      <x:c r="E153" s="56" t="str">
        <x:v>-17.799999</x:v>
      </x:c>
      <x:c r="F153" s="56" t="str">
        <x:v>138.2</x:v>
      </x:c>
      <x:c r="G153" s="56" t="str">
        <x:v>C Component</x:v>
      </x:c>
      <x:c r="H153" s="56" t="str">
        <x:v>100</x:v>
      </x:c>
      <x:c r="I153" s="56" t="str">
        <x:v>5.4000001</x:v>
      </x:c>
      <x:c r="J153" s="56" t="str">
        <x:v>-10.3</x:v>
      </x:c>
      <x:c r="K153" s="56" t="str">
        <x:v>228.8</x:v>
      </x:c>
      <x:c r="L153" s="56" t="str">
        <x:v>V</x:v>
      </x:c>
      <x:c r="M153" s="59" t="str"/>
      <x:c r="N153" s="56" t="n">
        <x:f>--(LEN(M153)&gt;0)</x:f>
        <x:v>0</x:v>
      </x:c>
      <x:c r="O153" s="56" t="n">
        <x:v>0</x:v>
      </x:c>
      <x:c r="P153" s="56" t="n">
        <x:f>--(N153=O153)</x:f>
        <x:v>1</x:v>
      </x:c>
      <x:c r="Q153" s="56" t="str">
        <x:v>ABSTAIN_INSUFFICIENT</x:v>
      </x:c>
      <x:c r="R153" s="59" t="str"/>
      <x:c r="S153" s="59" t="str"/>
      <x:c r="T153" s="56" t="n">
        <x:f>--(Q153="PRESENT")</x:f>
        <x:v>0</x:v>
      </x:c>
      <x:c r="U153" s="56" t="n">
        <x:f>--(T153=N153)</x:f>
        <x:v>1</x:v>
      </x:c>
      <x:c r="V153" s="56" t="n">
        <x:f>--(T153=O153)</x:f>
        <x:v>1</x:v>
      </x:c>
      <x:c r="W153" s="56" t="n">
        <x:f>--(OR(Q153="PRESENT",Q153="ABSENT"))</x:f>
        <x:v>0</x:v>
      </x:c>
      <x:c r="X153" s="56" t="str">
        <x:v>LOW</x:v>
      </x:c>
      <x:c r="Y153" s="56" t="str">
        <x:v>PAPER_ROW_MATCH</x:v>
      </x:c>
      <x:c r="Z153" s="57" t="b">
        <x:v>1</x:v>
      </x:c>
      <x:c r="AA153" s="57" t="b">
        <x:v>1</x:v>
      </x:c>
      <x:c r="AB153" s="56" t="n">
        <x:v>0</x:v>
      </x:c>
      <x:c r="AC153" s="56" t="str"/>
      <x:c r="AD153" s="56" t="str"/>
      <x:c r="AE153" s="56" t="str"/>
      <x:c r="AF153" s="56" t="str">
        <x:v>12, 13, 15</x:v>
      </x:c>
      <x:c r="AG153" s="59" t="str">
        <x:v>p.12: 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 | p.12: 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 p.12: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x:v>
      </x:c>
      <x:c r="AH153" s="58" t="n">
        <x:v>0.5658444218428604</x:v>
      </x:c>
      <x:c r="AI153" s="56" t="n">
        <x:f>--(AH153&gt;=0.5)</x:f>
        <x:v>1</x:v>
      </x:c>
      <x:c r="AJ153" s="56" t="n">
        <x:f>--(AI153=O153)</x:f>
        <x:v>0</x:v>
      </x:c>
      <x:c r="AK153" s="58" t="n">
        <x:v>0.6594589426994945</x:v>
      </x:c>
      <x:c r="AL153" s="56" t="n">
        <x:f>--(AK153&gt;=0.5)</x:f>
        <x:v>1</x:v>
      </x:c>
      <x:c r="AM153" s="56" t="n">
        <x:f>--(AL153=O153)</x:f>
        <x:v>0</x:v>
      </x:c>
    </x:row>
    <x:row r="154" ht="32" customHeight="1">
      <x:c r="A154" s="56" t="str">
        <x:v>3434</x:v>
      </x:c>
      <x:c r="B154" s="56" t="str">
        <x:v>8727</x:v>
      </x:c>
      <x:c r="C154" s="56" t="str">
        <x:v>7042</x:v>
      </x:c>
      <x:c r="D154" s="56" t="str">
        <x:v>Buddawadda Basalt</x:v>
      </x:c>
      <x:c r="E154" s="56" t="str">
        <x:v>-17.799999</x:v>
      </x:c>
      <x:c r="F154" s="56" t="str">
        <x:v>138.2</x:v>
      </x:c>
      <x:c r="G154" s="56" t="str">
        <x:v>D Component</x:v>
      </x:c>
      <x:c r="H154" s="56" t="str">
        <x:v>308.60001</x:v>
      </x:c>
      <x:c r="I154" s="56" t="str">
        <x:v>-2.0999999</x:v>
      </x:c>
      <x:c r="J154" s="56" t="str">
        <x:v>-36.799999</x:v>
      </x:c>
      <x:c r="K154" s="56" t="str">
        <x:v>240.8</x:v>
      </x:c>
      <x:c r="L154" s="56" t="str">
        <x:v>V</x:v>
      </x:c>
      <x:c r="M154" s="59" t="str"/>
      <x:c r="N154" s="56" t="n">
        <x:f>--(LEN(M154)&gt;0)</x:f>
        <x:v>0</x:v>
      </x:c>
      <x:c r="O154" s="56" t="n">
        <x:v>0</x:v>
      </x:c>
      <x:c r="P154" s="56" t="n">
        <x:f>--(N154=O154)</x:f>
        <x:v>1</x:v>
      </x:c>
      <x:c r="Q154" s="56" t="str">
        <x:v>ABSTAIN_INSUFFICIENT</x:v>
      </x:c>
      <x:c r="R154" s="59" t="str"/>
      <x:c r="S154" s="59" t="str"/>
      <x:c r="T154" s="56" t="n">
        <x:f>--(Q154="PRESENT")</x:f>
        <x:v>0</x:v>
      </x:c>
      <x:c r="U154" s="56" t="n">
        <x:f>--(T154=N154)</x:f>
        <x:v>1</x:v>
      </x:c>
      <x:c r="V154" s="56" t="n">
        <x:f>--(T154=O154)</x:f>
        <x:v>1</x:v>
      </x:c>
      <x:c r="W154" s="56" t="n">
        <x:f>--(OR(Q154="PRESENT",Q154="ABSENT"))</x:f>
        <x:v>0</x:v>
      </x:c>
      <x:c r="X154" s="56" t="str">
        <x:v>LOW</x:v>
      </x:c>
      <x:c r="Y154" s="56" t="str">
        <x:v>PAPER_ROW_MATCH</x:v>
      </x:c>
      <x:c r="Z154" s="57" t="b">
        <x:v>1</x:v>
      </x:c>
      <x:c r="AA154" s="57" t="b">
        <x:v>1</x:v>
      </x:c>
      <x:c r="AB154" s="56" t="n">
        <x:v>0</x:v>
      </x:c>
      <x:c r="AC154" s="56" t="str"/>
      <x:c r="AD154" s="56" t="str"/>
      <x:c r="AE154" s="56" t="str"/>
      <x:c r="AF154" s="56" t="str">
        <x:v>12, 14, 15, 16</x:v>
      </x:c>
      <x:c r="AG154" s="59" t="str">
        <x:v>p.12: 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 | p.12: 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 p.12: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x:v>
      </x:c>
      <x:c r="AH154" s="58" t="n">
        <x:v>0.6131590527547002</x:v>
      </x:c>
      <x:c r="AI154" s="56" t="n">
        <x:f>--(AH154&gt;=0.5)</x:f>
        <x:v>1</x:v>
      </x:c>
      <x:c r="AJ154" s="56" t="n">
        <x:f>--(AI154=O154)</x:f>
        <x:v>0</x:v>
      </x:c>
      <x:c r="AK154" s="58" t="n">
        <x:v>0.7088938517091898</x:v>
      </x:c>
      <x:c r="AL154" s="56" t="n">
        <x:f>--(AK154&gt;=0.5)</x:f>
        <x:v>1</x:v>
      </x:c>
      <x:c r="AM154" s="56" t="n">
        <x:f>--(AL154=O154)</x:f>
        <x:v>0</x:v>
      </x:c>
    </x:row>
    <x:row r="155" ht="32" customHeight="1">
      <x:c r="A155" s="56" t="str">
        <x:v>3434</x:v>
      </x:c>
      <x:c r="B155" s="56" t="str">
        <x:v>8728</x:v>
      </x:c>
      <x:c r="C155" s="56" t="str">
        <x:v>7043</x:v>
      </x:c>
      <x:c r="D155" s="56" t="str">
        <x:v>Fish River Formation (Pff1)</x:v>
      </x:c>
      <x:c r="E155" s="56" t="str">
        <x:v>-17.799999</x:v>
      </x:c>
      <x:c r="F155" s="56" t="str">
        <x:v>138.10001</x:v>
      </x:c>
      <x:c r="G155" s="56" t="str">
        <x:v>A Component</x:v>
      </x:c>
      <x:c r="H155" s="56" t="str">
        <x:v>262.10001</x:v>
      </x:c>
      <x:c r="I155" s="56" t="str">
        <x:v>70.5</x:v>
      </x:c>
      <x:c r="J155" s="56" t="str">
        <x:v>-18.9</x:v>
      </x:c>
      <x:c r="K155" s="56" t="str">
        <x:v>101.5</x:v>
      </x:c>
      <x:c r="L155" s="56" t="str">
        <x:v>V</x:v>
      </x:c>
      <x:c r="M155" s="59" t="str"/>
      <x:c r="N155" s="56" t="n">
        <x:f>--(LEN(M155)&gt;0)</x:f>
        <x:v>0</x:v>
      </x:c>
      <x:c r="O155" s="56" t="n">
        <x:v>0</x:v>
      </x:c>
      <x:c r="P155" s="56" t="n">
        <x:f>--(N155=O155)</x:f>
        <x:v>1</x:v>
      </x:c>
      <x:c r="Q155" s="56" t="str">
        <x:v>ABSTAIN_INSUFFICIENT</x:v>
      </x:c>
      <x:c r="R155" s="59" t="str"/>
      <x:c r="S155" s="59" t="str"/>
      <x:c r="T155" s="56" t="n">
        <x:f>--(Q155="PRESENT")</x:f>
        <x:v>0</x:v>
      </x:c>
      <x:c r="U155" s="56" t="n">
        <x:f>--(T155=N155)</x:f>
        <x:v>1</x:v>
      </x:c>
      <x:c r="V155" s="56" t="n">
        <x:f>--(T155=O155)</x:f>
        <x:v>1</x:v>
      </x:c>
      <x:c r="W155" s="56" t="n">
        <x:f>--(OR(Q155="PRESENT",Q155="ABSENT"))</x:f>
        <x:v>0</x:v>
      </x:c>
      <x:c r="X155" s="56" t="str">
        <x:v>LOW</x:v>
      </x:c>
      <x:c r="Y155" s="56" t="str">
        <x:v>PAPER_ROW_MATCH</x:v>
      </x:c>
      <x:c r="Z155" s="57" t="b">
        <x:v>1</x:v>
      </x:c>
      <x:c r="AA155" s="57" t="b">
        <x:v>1</x:v>
      </x:c>
      <x:c r="AB155" s="56" t="n">
        <x:v>0</x:v>
      </x:c>
      <x:c r="AC155" s="56" t="str"/>
      <x:c r="AD155" s="56" t="str"/>
      <x:c r="AE155" s="56" t="str"/>
      <x:c r="AF155" s="56" t="str">
        <x:v>10, 11, 12, 13, 14</x:v>
      </x:c>
      <x:c r="AG155" s="59" t="str">
        <x:v>p.10: olomitic samples. Plots (c) and (d) show reman- ence directions from the red samples before (F) and after (B) bedding corrections, both groups being distinctly elon- gate. The directions from the site adjacent to a fault are indi- cated by squares.Plot (e) shows site mean remanence direc- tions for grey and light-brown samples.Heavy cross and plus indicate the present dipole and present field directions at the sampling locality. Symbols as in Figure 3. siliciclastics. However, a combination of A | p.10: 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the two directions—a characteristic of remanences due to lightning formations. strikes which may be expected at the exposed sampling site. The second component (LT) was removed at the i | p.10: 1.3°,inclination –51.9°.Although a fold test is not (Jackson et al. 2000). This is confirmed by the SHRIMP available,this component is interpreted as primary because U–Pb dates of 160963Ma and 161364Ma for zircons from Figure6 Amos Formation. Orthogonal projection plots show thermal (a) and alter- nating field (AF)-thermal (b) demagnetisations of two sepa- rate specimens from the same sample. Thermal treatment yielded only a single,spurious component, whereas AF fol- lowed by thermal treatment y</x:v>
      </x:c>
      <x:c r="AH155" s="58" t="n">
        <x:v>0.5721389318438697</x:v>
      </x:c>
      <x:c r="AI155" s="56" t="n">
        <x:f>--(AH155&gt;=0.5)</x:f>
        <x:v>1</x:v>
      </x:c>
      <x:c r="AJ155" s="56" t="n">
        <x:f>--(AI155=O155)</x:f>
        <x:v>0</x:v>
      </x:c>
      <x:c r="AK155" s="58" t="n">
        <x:v>0.488804465613192</x:v>
      </x:c>
      <x:c r="AL155" s="56" t="n">
        <x:f>--(AK155&gt;=0.5)</x:f>
        <x:v>0</x:v>
      </x:c>
      <x:c r="AM155" s="56" t="n">
        <x:f>--(AL155=O155)</x:f>
        <x:v>1</x:v>
      </x:c>
    </x:row>
    <x:row r="156" ht="32" customHeight="1">
      <x:c r="A156" s="56" t="str">
        <x:v>3434</x:v>
      </x:c>
      <x:c r="B156" s="56" t="str">
        <x:v>8729</x:v>
      </x:c>
      <x:c r="C156" s="56" t="str">
        <x:v>7044</x:v>
      </x:c>
      <x:c r="D156" s="56" t="str">
        <x:v>Fish River Formation (Pff2)</x:v>
      </x:c>
      <x:c r="E156" s="56" t="str">
        <x:v>-17.799999</x:v>
      </x:c>
      <x:c r="F156" s="56" t="str">
        <x:v>138.10001</x:v>
      </x:c>
      <x:c r="G156" s="56" t="str">
        <x:v>C Component</x:v>
      </x:c>
      <x:c r="H156" s="56" t="str">
        <x:v>143</x:v>
      </x:c>
      <x:c r="I156" s="56" t="str">
        <x:v>51.5</x:v>
      </x:c>
      <x:c r="J156" s="56" t="str">
        <x:v>-53.900002</x:v>
      </x:c>
      <x:c r="K156" s="56" t="str">
        <x:v>196.8</x:v>
      </x:c>
      <x:c r="L156" s="56" t="str">
        <x:v>V</x:v>
      </x:c>
      <x:c r="M156" s="59" t="str"/>
      <x:c r="N156" s="56" t="n">
        <x:f>--(LEN(M156)&gt;0)</x:f>
        <x:v>0</x:v>
      </x:c>
      <x:c r="O156" s="56" t="n">
        <x:v>0</x:v>
      </x:c>
      <x:c r="P156" s="56" t="n">
        <x:f>--(N156=O156)</x:f>
        <x:v>1</x:v>
      </x:c>
      <x:c r="Q156" s="56" t="str">
        <x:v>ABSTAIN_INSUFFICIENT</x:v>
      </x:c>
      <x:c r="R156" s="59" t="str"/>
      <x:c r="S156" s="59" t="str"/>
      <x:c r="T156" s="56" t="n">
        <x:f>--(Q156="PRESENT")</x:f>
        <x:v>0</x:v>
      </x:c>
      <x:c r="U156" s="56" t="n">
        <x:f>--(T156=N156)</x:f>
        <x:v>1</x:v>
      </x:c>
      <x:c r="V156" s="56" t="n">
        <x:f>--(T156=O156)</x:f>
        <x:v>1</x:v>
      </x:c>
      <x:c r="W156" s="56" t="n">
        <x:f>--(OR(Q156="PRESENT",Q156="ABSENT"))</x:f>
        <x:v>0</x:v>
      </x:c>
      <x:c r="X156" s="56" t="str">
        <x:v>LOW</x:v>
      </x:c>
      <x:c r="Y156" s="56" t="str">
        <x:v>PAPER_ROW_MATCH</x:v>
      </x:c>
      <x:c r="Z156" s="57" t="b">
        <x:v>1</x:v>
      </x:c>
      <x:c r="AA156" s="57" t="b">
        <x:v>1</x:v>
      </x:c>
      <x:c r="AB156" s="56" t="n">
        <x:v>0</x:v>
      </x:c>
      <x:c r="AC156" s="56" t="str"/>
      <x:c r="AD156" s="56" t="str"/>
      <x:c r="AE156" s="56" t="str"/>
      <x:c r="AF156" s="56" t="str">
        <x:v>12, 13, 15, 17</x:v>
      </x:c>
      <x:c r="AG156" s="59" t="str">
        <x:v>p.12: 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 | p.12: 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 p.12: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x:v>
      </x:c>
      <x:c r="AH156" s="58" t="n">
        <x:v>0.5813313739338225</x:v>
      </x:c>
      <x:c r="AI156" s="56" t="n">
        <x:f>--(AH156&gt;=0.5)</x:f>
        <x:v>1</x:v>
      </x:c>
      <x:c r="AJ156" s="56" t="n">
        <x:f>--(AI156=O156)</x:f>
        <x:v>0</x:v>
      </x:c>
      <x:c r="AK156" s="58" t="n">
        <x:v>0.5031882175177543</x:v>
      </x:c>
      <x:c r="AL156" s="56" t="n">
        <x:f>--(AK156&gt;=0.5)</x:f>
        <x:v>1</x:v>
      </x:c>
      <x:c r="AM156" s="56" t="n">
        <x:f>--(AL156=O156)</x:f>
        <x:v>0</x:v>
      </x:c>
    </x:row>
    <x:row r="157" ht="32" customHeight="1">
      <x:c r="A157" s="56" t="str">
        <x:v>3434</x:v>
      </x:c>
      <x:c r="B157" s="56" t="str">
        <x:v>8730</x:v>
      </x:c>
      <x:c r="C157" s="56" t="str">
        <x:v>7045</x:v>
      </x:c>
      <x:c r="D157" s="56" t="str">
        <x:v>Mt Les Siltstone</x:v>
      </x:c>
      <x:c r="E157" s="56" t="str">
        <x:v>-17.799999</x:v>
      </x:c>
      <x:c r="F157" s="56" t="str">
        <x:v>138.10001</x:v>
      </x:c>
      <x:c r="G157" s="56" t="str">
        <x:v>A Component</x:v>
      </x:c>
      <x:c r="H157" s="56" t="str">
        <x:v>1.6</x:v>
      </x:c>
      <x:c r="I157" s="56" t="str">
        <x:v>-37.700001</x:v>
      </x:c>
      <x:c r="J157" s="56" t="str">
        <x:v>-86.300003</x:v>
      </x:c>
      <x:c r="K157" s="56" t="str">
        <x:v>114.1</x:v>
      </x:c>
      <x:c r="L157" s="56" t="str">
        <x:v>V</x:v>
      </x:c>
      <x:c r="M157" s="59" t="str"/>
      <x:c r="N157" s="56" t="n">
        <x:f>--(LEN(M157)&gt;0)</x:f>
        <x:v>0</x:v>
      </x:c>
      <x:c r="O157" s="56" t="n">
        <x:v>0</x:v>
      </x:c>
      <x:c r="P157" s="56" t="n">
        <x:f>--(N157=O157)</x:f>
        <x:v>1</x:v>
      </x:c>
      <x:c r="Q157" s="56" t="str">
        <x:v>ABSTAIN_INSUFFICIENT</x:v>
      </x:c>
      <x:c r="R157" s="59" t="str"/>
      <x:c r="S157" s="59" t="str"/>
      <x:c r="T157" s="56" t="n">
        <x:f>--(Q157="PRESENT")</x:f>
        <x:v>0</x:v>
      </x:c>
      <x:c r="U157" s="56" t="n">
        <x:f>--(T157=N157)</x:f>
        <x:v>1</x:v>
      </x:c>
      <x:c r="V157" s="56" t="n">
        <x:f>--(T157=O157)</x:f>
        <x:v>1</x:v>
      </x:c>
      <x:c r="W157" s="56" t="n">
        <x:f>--(OR(Q157="PRESENT",Q157="ABSENT"))</x:f>
        <x:v>0</x:v>
      </x:c>
      <x:c r="X157" s="56" t="str">
        <x:v>LOW</x:v>
      </x:c>
      <x:c r="Y157" s="56" t="str">
        <x:v>PAPER_ROW_MATCH</x:v>
      </x:c>
      <x:c r="Z157" s="57" t="b">
        <x:v>1</x:v>
      </x:c>
      <x:c r="AA157" s="57" t="b">
        <x:v>1</x:v>
      </x:c>
      <x:c r="AB157" s="56" t="n">
        <x:v>0</x:v>
      </x:c>
      <x:c r="AC157" s="56" t="str"/>
      <x:c r="AD157" s="56" t="str"/>
      <x:c r="AE157" s="56" t="str"/>
      <x:c r="AF157" s="56" t="str">
        <x:v>12, 13, 14</x:v>
      </x:c>
      <x:c r="AG157" s="59" t="str">
        <x:v>p.12: 416 M. 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 | p.13: oss-bedded fluvial sandstones. The second spread between the A and C directions (Figure 9d). This interval was a dark red-brown, weathered (ocherous),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 | p.13: 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x:v>
      </x:c>
      <x:c r="AH157" s="58" t="n">
        <x:v>0.5324736252052479</x:v>
      </x:c>
      <x:c r="AI157" s="56" t="n">
        <x:f>--(AH157&gt;=0.5)</x:f>
        <x:v>1</x:v>
      </x:c>
      <x:c r="AJ157" s="56" t="n">
        <x:f>--(AI157=O157)</x:f>
        <x:v>0</x:v>
      </x:c>
      <x:c r="AK157" s="58" t="n">
        <x:v>0.6047590924590054</x:v>
      </x:c>
      <x:c r="AL157" s="56" t="n">
        <x:f>--(AK157&gt;=0.5)</x:f>
        <x:v>1</x:v>
      </x:c>
      <x:c r="AM157" s="56" t="n">
        <x:f>--(AL157=O157)</x:f>
        <x:v>0</x:v>
      </x:c>
    </x:row>
    <x:row r="158" ht="32" customHeight="1">
      <x:c r="A158" s="56" t="str">
        <x:v>3434</x:v>
      </x:c>
      <x:c r="B158" s="56" t="str">
        <x:v>8731</x:v>
      </x:c>
      <x:c r="C158" s="56" t="str">
        <x:v>7046</x:v>
      </x:c>
      <x:c r="D158" s="56" t="str">
        <x:v>Lochness Formation</x:v>
      </x:c>
      <x:c r="E158" s="56" t="str">
        <x:v>-19.700001</x:v>
      </x:c>
      <x:c r="F158" s="56" t="str">
        <x:v>139.2</x:v>
      </x:c>
      <x:c r="G158" s="56" t="str">
        <x:v>A Component</x:v>
      </x:c>
      <x:c r="H158" s="56" t="str">
        <x:v>6.8000002</x:v>
      </x:c>
      <x:c r="I158" s="56" t="str">
        <x:v>-40.599998</x:v>
      </x:c>
      <x:c r="J158" s="56" t="str">
        <x:v>-82.300003</x:v>
      </x:c>
      <x:c r="K158" s="56" t="str">
        <x:v>86.800003</x:v>
      </x:c>
      <x:c r="L158" s="56" t="str">
        <x:v>V</x:v>
      </x:c>
      <x:c r="M158" s="59" t="str"/>
      <x:c r="N158" s="56" t="n">
        <x:f>--(LEN(M158)&gt;0)</x:f>
        <x:v>0</x:v>
      </x:c>
      <x:c r="O158" s="56" t="n">
        <x:v>0</x:v>
      </x:c>
      <x:c r="P158" s="56" t="n">
        <x:f>--(N158=O158)</x:f>
        <x:v>1</x:v>
      </x:c>
      <x:c r="Q158" s="56" t="str">
        <x:v>ABSTAIN_INSUFFICIENT</x:v>
      </x:c>
      <x:c r="R158" s="59" t="str"/>
      <x:c r="S158" s="59" t="str"/>
      <x:c r="T158" s="56" t="n">
        <x:f>--(Q158="PRESENT")</x:f>
        <x:v>0</x:v>
      </x:c>
      <x:c r="U158" s="56" t="n">
        <x:f>--(T158=N158)</x:f>
        <x:v>1</x:v>
      </x:c>
      <x:c r="V158" s="56" t="n">
        <x:f>--(T158=O158)</x:f>
        <x:v>1</x:v>
      </x:c>
      <x:c r="W158" s="56" t="n">
        <x:f>--(OR(Q158="PRESENT",Q158="ABSENT"))</x:f>
        <x:v>0</x:v>
      </x:c>
      <x:c r="X158" s="56" t="str">
        <x:v>LOW</x:v>
      </x:c>
      <x:c r="Y158" s="56" t="str">
        <x:v>METADATA_UNIQUE</x:v>
      </x:c>
      <x:c r="Z158" s="57" t="b">
        <x:v>1</x:v>
      </x:c>
      <x:c r="AA158" s="57" t="b">
        <x:v>0</x:v>
      </x:c>
      <x:c r="AB158" s="56" t="n">
        <x:v>1</x:v>
      </x:c>
      <x:c r="AC158" s="56" t="str"/>
      <x:c r="AD158" s="56" t="str"/>
      <x:c r="AE158" s="56" t="str"/>
      <x:c r="AF158" s="56" t="str"/>
      <x:c r="AG158" s="59" t="str"/>
      <x:c r="AH158" s="58" t="n">
        <x:v>0.5299395769106984</x:v>
      </x:c>
      <x:c r="AI158" s="56" t="n">
        <x:f>--(AH158&gt;=0.5)</x:f>
        <x:v>1</x:v>
      </x:c>
      <x:c r="AJ158" s="56" t="n">
        <x:f>--(AI158=O158)</x:f>
        <x:v>0</x:v>
      </x:c>
      <x:c r="AK158" s="58" t="n">
        <x:v>0.653668194033014</x:v>
      </x:c>
      <x:c r="AL158" s="56" t="n">
        <x:f>--(AK158&gt;=0.5)</x:f>
        <x:v>1</x:v>
      </x:c>
      <x:c r="AM158" s="56" t="n">
        <x:f>--(AL158=O158)</x:f>
        <x:v>0</x:v>
      </x:c>
    </x:row>
    <x:row r="159" ht="32" customHeight="1">
      <x:c r="A159" s="56" t="str">
        <x:v>3434</x:v>
      </x:c>
      <x:c r="B159" s="56" t="str">
        <x:v>8732</x:v>
      </x:c>
      <x:c r="C159" s="56" t="str">
        <x:v>7046</x:v>
      </x:c>
      <x:c r="D159" s="56" t="str">
        <x:v>Lochness Formation</x:v>
      </x:c>
      <x:c r="E159" s="56" t="str">
        <x:v>-19.700001</x:v>
      </x:c>
      <x:c r="F159" s="56" t="str">
        <x:v>139.2</x:v>
      </x:c>
      <x:c r="G159" s="56" t="str">
        <x:v>A Component</x:v>
      </x:c>
      <x:c r="H159" s="56" t="str">
        <x:v>118.9</x:v>
      </x:c>
      <x:c r="I159" s="56" t="str">
        <x:v>24.200001</x:v>
      </x:c>
      <x:c r="J159" s="56" t="str">
        <x:v>-31.200001</x:v>
      </x:c>
      <x:c r="K159" s="56" t="str">
        <x:v>225.60001</x:v>
      </x:c>
      <x:c r="L159" s="56" t="str">
        <x:v>V</x:v>
      </x:c>
      <x:c r="M159" s="59" t="str"/>
      <x:c r="N159" s="56" t="n">
        <x:f>--(LEN(M159)&gt;0)</x:f>
        <x:v>0</x:v>
      </x:c>
      <x:c r="O159" s="56" t="n">
        <x:v>0</x:v>
      </x:c>
      <x:c r="P159" s="56" t="n">
        <x:f>--(N159=O159)</x:f>
        <x:v>1</x:v>
      </x:c>
      <x:c r="Q159" s="56" t="str">
        <x:v>ABSTAIN_INSUFFICIENT</x:v>
      </x:c>
      <x:c r="R159" s="59" t="str"/>
      <x:c r="S159" s="59" t="str"/>
      <x:c r="T159" s="56" t="n">
        <x:f>--(Q159="PRESENT")</x:f>
        <x:v>0</x:v>
      </x:c>
      <x:c r="U159" s="56" t="n">
        <x:f>--(T159=N159)</x:f>
        <x:v>1</x:v>
      </x:c>
      <x:c r="V159" s="56" t="n">
        <x:f>--(T159=O159)</x:f>
        <x:v>1</x:v>
      </x:c>
      <x:c r="W159" s="56" t="n">
        <x:f>--(OR(Q159="PRESENT",Q159="ABSENT"))</x:f>
        <x:v>0</x:v>
      </x:c>
      <x:c r="X159" s="56" t="str">
        <x:v>LOW</x:v>
      </x:c>
      <x:c r="Y159" s="56" t="str">
        <x:v>METADATA_UNIQUE</x:v>
      </x:c>
      <x:c r="Z159" s="57" t="b">
        <x:v>1</x:v>
      </x:c>
      <x:c r="AA159" s="57" t="b">
        <x:v>0</x:v>
      </x:c>
      <x:c r="AB159" s="56" t="n">
        <x:v>1</x:v>
      </x:c>
      <x:c r="AC159" s="56" t="str"/>
      <x:c r="AD159" s="56" t="str"/>
      <x:c r="AE159" s="56" t="str"/>
      <x:c r="AF159" s="56" t="str"/>
      <x:c r="AG159" s="59" t="str"/>
      <x:c r="AH159" s="58" t="n">
        <x:v>0.5299395769106984</x:v>
      </x:c>
      <x:c r="AI159" s="56" t="n">
        <x:f>--(AH159&gt;=0.5)</x:f>
        <x:v>1</x:v>
      </x:c>
      <x:c r="AJ159" s="56" t="n">
        <x:f>--(AI159=O159)</x:f>
        <x:v>0</x:v>
      </x:c>
      <x:c r="AK159" s="58" t="n">
        <x:v>0.653668194033014</x:v>
      </x:c>
      <x:c r="AL159" s="56" t="n">
        <x:f>--(AK159&gt;=0.5)</x:f>
        <x:v>1</x:v>
      </x:c>
      <x:c r="AM159" s="56" t="n">
        <x:f>--(AL159=O159)</x:f>
        <x:v>0</x:v>
      </x:c>
    </x:row>
    <x:row r="160" ht="32" customHeight="1">
      <x:c r="A160" s="56" t="str">
        <x:v>3434</x:v>
      </x:c>
      <x:c r="B160" s="56" t="str">
        <x:v>8733</x:v>
      </x:c>
      <x:c r="C160" s="56" t="str">
        <x:v>7047</x:v>
      </x:c>
      <x:c r="D160" s="56" t="str">
        <x:v>Fiery Creek Formation</x:v>
      </x:c>
      <x:c r="E160" s="56" t="str">
        <x:v>-19.700001</x:v>
      </x:c>
      <x:c r="F160" s="56" t="str">
        <x:v>139.2</x:v>
      </x:c>
      <x:c r="G160" s="56" t="str">
        <x:v>A Component</x:v>
      </x:c>
      <x:c r="H160" s="56" t="str">
        <x:v>1</x:v>
      </x:c>
      <x:c r="I160" s="56" t="str">
        <x:v>-38.700001</x:v>
      </x:c>
      <x:c r="J160" s="56" t="str">
        <x:v>-87.300003</x:v>
      </x:c>
      <x:c r="K160" s="56" t="str">
        <x:v>119.6</x:v>
      </x:c>
      <x:c r="L160" s="56" t="str">
        <x:v>V</x:v>
      </x:c>
      <x:c r="M160" s="59" t="str"/>
      <x:c r="N160" s="56" t="n">
        <x:f>--(LEN(M160)&gt;0)</x:f>
        <x:v>0</x:v>
      </x:c>
      <x:c r="O160" s="56" t="n">
        <x:v>0</x:v>
      </x:c>
      <x:c r="P160" s="56" t="n">
        <x:f>--(N160=O160)</x:f>
        <x:v>1</x:v>
      </x:c>
      <x:c r="Q160" s="56" t="str">
        <x:v>ABSTAIN_INSUFFICIENT</x:v>
      </x:c>
      <x:c r="R160" s="59" t="str"/>
      <x:c r="S160" s="59" t="str"/>
      <x:c r="T160" s="56" t="n">
        <x:f>--(Q160="PRESENT")</x:f>
        <x:v>0</x:v>
      </x:c>
      <x:c r="U160" s="56" t="n">
        <x:f>--(T160=N160)</x:f>
        <x:v>1</x:v>
      </x:c>
      <x:c r="V160" s="56" t="n">
        <x:f>--(T160=O160)</x:f>
        <x:v>1</x:v>
      </x:c>
      <x:c r="W160" s="56" t="n">
        <x:f>--(OR(Q160="PRESENT",Q160="ABSENT"))</x:f>
        <x:v>0</x:v>
      </x:c>
      <x:c r="X160" s="56" t="str">
        <x:v>LOW</x:v>
      </x:c>
      <x:c r="Y160" s="56" t="str">
        <x:v>PAPER_ROW_MATCH</x:v>
      </x:c>
      <x:c r="Z160" s="57" t="b">
        <x:v>1</x:v>
      </x:c>
      <x:c r="AA160" s="57" t="b">
        <x:v>1</x:v>
      </x:c>
      <x:c r="AB160" s="56" t="n">
        <x:v>1</x:v>
      </x:c>
      <x:c r="AC160" s="56" t="str"/>
      <x:c r="AD160" s="56" t="str"/>
      <x:c r="AE160" s="56" t="str"/>
      <x:c r="AF160" s="56" t="str">
        <x:v>13, 14</x:v>
      </x:c>
      <x:c r="AG160" s="59" t="str">
        <x:v>p.13: oss-bedded fluvial sandstones. The second spread between the A and C directions (Figure 9d). This interval was a dark red-brown, weathered (ocherous),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 | p.13: 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 | p.13: 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x:v>
      </x:c>
      <x:c r="AH160" s="58" t="n">
        <x:v>0.5143819903120093</x:v>
      </x:c>
      <x:c r="AI160" s="56" t="n">
        <x:f>--(AH160&gt;=0.5)</x:f>
        <x:v>1</x:v>
      </x:c>
      <x:c r="AJ160" s="56" t="n">
        <x:f>--(AI160=O160)</x:f>
        <x:v>0</x:v>
      </x:c>
      <x:c r="AK160" s="58" t="n">
        <x:v>0.42761363581491296</x:v>
      </x:c>
      <x:c r="AL160" s="56" t="n">
        <x:f>--(AK160&gt;=0.5)</x:f>
        <x:v>0</x:v>
      </x:c>
      <x:c r="AM160" s="56" t="n">
        <x:f>--(AL160=O160)</x:f>
        <x:v>1</x:v>
      </x:c>
    </x:row>
    <x:row r="161" ht="32" customHeight="1">
      <x:c r="A161" s="56" t="str">
        <x:v>3434</x:v>
      </x:c>
      <x:c r="B161" s="56" t="str">
        <x:v>8734</x:v>
      </x:c>
      <x:c r="C161" s="56" t="str">
        <x:v>7047</x:v>
      </x:c>
      <x:c r="D161" s="56" t="str">
        <x:v>Fiery Creek Formation</x:v>
      </x:c>
      <x:c r="E161" s="56" t="str">
        <x:v>-19.700001</x:v>
      </x:c>
      <x:c r="F161" s="56" t="str">
        <x:v>139.2</x:v>
      </x:c>
      <x:c r="G161" s="56" t="str">
        <x:v>B Component</x:v>
      </x:c>
      <x:c r="H161" s="56" t="str">
        <x:v>108</x:v>
      </x:c>
      <x:c r="I161" s="56" t="str">
        <x:v>40.099998</x:v>
      </x:c>
      <x:c r="J161" s="56" t="str">
        <x:v>-23.9</x:v>
      </x:c>
      <x:c r="K161" s="56" t="str">
        <x:v>211.8</x:v>
      </x:c>
      <x:c r="L161" s="56" t="str">
        <x:v>V</x:v>
      </x:c>
      <x:c r="M161" s="59" t="str"/>
      <x:c r="N161" s="56" t="n">
        <x:f>--(LEN(M161)&gt;0)</x:f>
        <x:v>0</x:v>
      </x:c>
      <x:c r="O161" s="56" t="n">
        <x:v>0</x:v>
      </x:c>
      <x:c r="P161" s="56" t="n">
        <x:f>--(N161=O161)</x:f>
        <x:v>1</x:v>
      </x:c>
      <x:c r="Q161" s="56" t="str">
        <x:v>ABSTAIN_INSUFFICIENT</x:v>
      </x:c>
      <x:c r="R161" s="59" t="str"/>
      <x:c r="S161" s="59" t="str"/>
      <x:c r="T161" s="56" t="n">
        <x:f>--(Q161="PRESENT")</x:f>
        <x:v>0</x:v>
      </x:c>
      <x:c r="U161" s="56" t="n">
        <x:f>--(T161=N161)</x:f>
        <x:v>1</x:v>
      </x:c>
      <x:c r="V161" s="56" t="n">
        <x:f>--(T161=O161)</x:f>
        <x:v>1</x:v>
      </x:c>
      <x:c r="W161" s="56" t="n">
        <x:f>--(OR(Q161="PRESENT",Q161="ABSENT"))</x:f>
        <x:v>0</x:v>
      </x:c>
      <x:c r="X161" s="56" t="str">
        <x:v>LOW</x:v>
      </x:c>
      <x:c r="Y161" s="56" t="str">
        <x:v>PAPER_ROW_MATCH</x:v>
      </x:c>
      <x:c r="Z161" s="57" t="b">
        <x:v>1</x:v>
      </x:c>
      <x:c r="AA161" s="57" t="b">
        <x:v>1</x:v>
      </x:c>
      <x:c r="AB161" s="56" t="n">
        <x:v>1</x:v>
      </x:c>
      <x:c r="AC161" s="56" t="str"/>
      <x:c r="AD161" s="56" t="str"/>
      <x:c r="AE161" s="56" t="str"/>
      <x:c r="AF161" s="56" t="str">
        <x:v>13, 14, 15</x:v>
      </x:c>
      <x:c r="AG161" s="59" t="str">
        <x:v>p.13: 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siliciclastics and subordin- the overprint B in the P | p.13: 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 | p.14: 418 M. Idnurm overprint.As noted above,the latter was found also in the component B (Figure 11c, d). The red colour of the rock nearby Peters Creek Volcanics and Fish River Formation. and truncation of the Lochness Formation by an erosional unconformity that separates the McNamara Group from the older strata suggest that B may be a chem- Lawn Hill Platform: Centre and West ical,possibly weathering-related,overprint acquired dur- ing the depositional hiatus. Such an origin would be LOCHNESS FORMA</x:v>
      </x:c>
      <x:c r="AH161" s="58" t="n">
        <x:v>0.5143819903120093</x:v>
      </x:c>
      <x:c r="AI161" s="56" t="n">
        <x:f>--(AH161&gt;=0.5)</x:f>
        <x:v>1</x:v>
      </x:c>
      <x:c r="AJ161" s="56" t="n">
        <x:f>--(AI161=O161)</x:f>
        <x:v>0</x:v>
      </x:c>
      <x:c r="AK161" s="58" t="n">
        <x:v>0.42761363581491296</x:v>
      </x:c>
      <x:c r="AL161" s="56" t="n">
        <x:f>--(AK161&gt;=0.5)</x:f>
        <x:v>0</x:v>
      </x:c>
      <x:c r="AM161" s="56" t="n">
        <x:f>--(AL161=O161)</x:f>
        <x:v>1</x:v>
      </x:c>
    </x:row>
    <x:row r="162" ht="32" customHeight="1">
      <x:c r="A162" s="56" t="str">
        <x:v>3434</x:v>
      </x:c>
      <x:c r="B162" s="56" t="str">
        <x:v>8735</x:v>
      </x:c>
      <x:c r="C162" s="56" t="str">
        <x:v>7048</x:v>
      </x:c>
      <x:c r="D162" s="56" t="str">
        <x:v>Gunpowder Creek Formation</x:v>
      </x:c>
      <x:c r="E162" s="56" t="str">
        <x:v>-19.700001</x:v>
      </x:c>
      <x:c r="F162" s="56" t="str">
        <x:v>139.2</x:v>
      </x:c>
      <x:c r="G162" s="56" t="str">
        <x:v>B Component</x:v>
      </x:c>
      <x:c r="H162" s="56" t="str">
        <x:v>123.4</x:v>
      </x:c>
      <x:c r="I162" s="56" t="str">
        <x:v>54.200001</x:v>
      </x:c>
      <x:c r="J162" s="56" t="str">
        <x:v>-38.5</x:v>
      </x:c>
      <x:c r="K162" s="56" t="str">
        <x:v>198.89999</x:v>
      </x:c>
      <x:c r="L162" s="56" t="str">
        <x:v>V</x:v>
      </x:c>
      <x:c r="M162" s="59" t="str"/>
      <x:c r="N162" s="56" t="n">
        <x:f>--(LEN(M162)&gt;0)</x:f>
        <x:v>0</x:v>
      </x:c>
      <x:c r="O162" s="56" t="n">
        <x:v>0</x:v>
      </x:c>
      <x:c r="P162" s="56" t="n">
        <x:f>--(N162=O162)</x:f>
        <x:v>1</x:v>
      </x:c>
      <x:c r="Q162" s="56" t="str">
        <x:v>ABSTAIN_INSUFFICIENT</x:v>
      </x:c>
      <x:c r="R162" s="59" t="str"/>
      <x:c r="S162" s="59" t="str">
        <x:v>MAGN</x:v>
      </x:c>
      <x:c r="T162" s="56" t="n">
        <x:f>--(Q162="PRESENT")</x:f>
        <x:v>0</x:v>
      </x:c>
      <x:c r="U162" s="56" t="n">
        <x:f>--(T162=N162)</x:f>
        <x:v>1</x:v>
      </x:c>
      <x:c r="V162" s="56" t="n">
        <x:f>--(T162=O162)</x:f>
        <x:v>1</x:v>
      </x:c>
      <x:c r="W162" s="56" t="n">
        <x:f>--(OR(Q162="PRESENT",Q162="ABSENT"))</x:f>
        <x:v>0</x:v>
      </x:c>
      <x:c r="X162" s="56" t="str">
        <x:v>LOW</x:v>
      </x:c>
      <x:c r="Y162" s="56" t="str">
        <x:v>PAPER_ROW_MATCH</x:v>
      </x:c>
      <x:c r="Z162" s="57" t="b">
        <x:v>1</x:v>
      </x:c>
      <x:c r="AA162" s="57" t="b">
        <x:v>1</x:v>
      </x:c>
      <x:c r="AB162" s="56" t="n">
        <x:v>1</x:v>
      </x:c>
      <x:c r="AC162" s="56" t="str"/>
      <x:c r="AD162" s="56" t="str">
        <x:v>MAGN</x:v>
      </x:c>
      <x:c r="AE162" s="56" t="str"/>
      <x:c r="AF162" s="56" t="str">
        <x:v>12, 13, 14, 15</x:v>
      </x:c>
      <x:c r="AG162" s="59" t="str">
        <x:v>p.15: emanence intensity plot (inset) at this temperature suggests that the change is due to the removal of a small magnetite remanence.Symbols as in Figure 3. That component was,however,too poorly defined to give a west-downward inclined group in a background of highly reliable pole. scattered directions (Figure 13a).Tilt corrections dispersed the group (Figure 13b),indicating that the magnetisation is post-deformational,i.e.an overprint.Its mean direction GUNPOWDER CREEK FORMATION (declination 250.0 | p.15: nit (they straddle the Gun 2.1f surface of conglomerates.Zircons from a tuffaceous bed in the lower Southgate et al.2000).At both sites the beds were distin- Gunpowder Creek Formation give a SHRIMP U–Pb age of guished from drab adjacent lithologies by their dark red- 169463Ma (Page et al. 2000). The age of the upper brown colour. Before tilt corrections the directions from Gunpowder Creek Formation is constrained by U–Pb zircon these localities differed widely;after corrections they con- dates r | p.15: 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x:v>
      </x:c>
      <x:c r="AH162" s="58" t="n">
        <x:v>0.5611939792380811</x:v>
      </x:c>
      <x:c r="AI162" s="56" t="n">
        <x:f>--(AH162&gt;=0.5)</x:f>
        <x:v>1</x:v>
      </x:c>
      <x:c r="AJ162" s="56" t="n">
        <x:f>--(AI162=O162)</x:f>
        <x:v>0</x:v>
      </x:c>
      <x:c r="AK162" s="58" t="n">
        <x:v>0.47631595938282595</x:v>
      </x:c>
      <x:c r="AL162" s="56" t="n">
        <x:f>--(AK162&gt;=0.5)</x:f>
        <x:v>0</x:v>
      </x:c>
      <x:c r="AM162" s="56" t="n">
        <x:f>--(AL162=O162)</x:f>
        <x:v>1</x:v>
      </x:c>
    </x:row>
    <x:row r="163" ht="32" customHeight="1">
      <x:c r="A163" s="56" t="str">
        <x:v>3434</x:v>
      </x:c>
      <x:c r="B163" s="56" t="str">
        <x:v>8736</x:v>
      </x:c>
      <x:c r="C163" s="56" t="str">
        <x:v>7048</x:v>
      </x:c>
      <x:c r="D163" s="56" t="str">
        <x:v>Gunpowder Creek Formation</x:v>
      </x:c>
      <x:c r="E163" s="56" t="str">
        <x:v>-19.700001</x:v>
      </x:c>
      <x:c r="F163" s="56" t="str">
        <x:v>139.2</x:v>
      </x:c>
      <x:c r="G163" s="56" t="str">
        <x:v>C Component</x:v>
      </x:c>
      <x:c r="H163" s="56" t="str">
        <x:v>1.9</x:v>
      </x:c>
      <x:c r="I163" s="56" t="str">
        <x:v>-39.200001</x:v>
      </x:c>
      <x:c r="J163" s="56" t="str">
        <x:v>-86.699997</x:v>
      </x:c>
      <x:c r="K163" s="56" t="str">
        <x:v>105.4</x:v>
      </x:c>
      <x:c r="L163" s="56" t="str">
        <x:v>V</x:v>
      </x:c>
      <x:c r="M163" s="59" t="str"/>
      <x:c r="N163" s="56" t="n">
        <x:f>--(LEN(M163)&gt;0)</x:f>
        <x:v>0</x:v>
      </x:c>
      <x:c r="O163" s="56" t="n">
        <x:v>0</x:v>
      </x:c>
      <x:c r="P163" s="56" t="n">
        <x:f>--(N163=O163)</x:f>
        <x:v>1</x:v>
      </x:c>
      <x:c r="Q163" s="56" t="str">
        <x:v>ABSTAIN_INSUFFICIENT</x:v>
      </x:c>
      <x:c r="R163" s="59" t="str"/>
      <x:c r="S163" s="59" t="str">
        <x:v>MAGN</x:v>
      </x:c>
      <x:c r="T163" s="56" t="n">
        <x:f>--(Q163="PRESENT")</x:f>
        <x:v>0</x:v>
      </x:c>
      <x:c r="U163" s="56" t="n">
        <x:f>--(T163=N163)</x:f>
        <x:v>1</x:v>
      </x:c>
      <x:c r="V163" s="56" t="n">
        <x:f>--(T163=O163)</x:f>
        <x:v>1</x:v>
      </x:c>
      <x:c r="W163" s="56" t="n">
        <x:f>--(OR(Q163="PRESENT",Q163="ABSENT"))</x:f>
        <x:v>0</x:v>
      </x:c>
      <x:c r="X163" s="56" t="str">
        <x:v>LOW</x:v>
      </x:c>
      <x:c r="Y163" s="56" t="str">
        <x:v>PAPER_ROW_MATCH</x:v>
      </x:c>
      <x:c r="Z163" s="57" t="b">
        <x:v>1</x:v>
      </x:c>
      <x:c r="AA163" s="57" t="b">
        <x:v>1</x:v>
      </x:c>
      <x:c r="AB163" s="56" t="n">
        <x:v>1</x:v>
      </x:c>
      <x:c r="AC163" s="56" t="str"/>
      <x:c r="AD163" s="56" t="str">
        <x:v>MAGN</x:v>
      </x:c>
      <x:c r="AE163" s="56" t="str"/>
      <x:c r="AF163" s="56" t="str">
        <x:v>8, 12, 13, 15</x:v>
      </x:c>
      <x:c r="AG163" s="59" t="str">
        <x:v>p.15: emanence intensity plot (inset) at this temperature suggests that the change is due to the removal of a small magnetite remanence.Symbols as in Figure 3. That component was,however,too poorly defined to give a west-downward inclined group in a background of highly reliable pole. scattered directions (Figure 13a).Tilt corrections dispersed the group (Figure 13b),indicating that the magnetisation is post-deformational,i.e.an overprint.Its mean direction GUNPOWDER CREEK FORMATION (declination 250.0 | p.15: t (L15 &amp; L16,Figure 1).Moderately steep to near- fluids.As noted in the discussion,the circulation may have vertical bedding dips at the first two localities contrast with been caused by tectonism related to the bend at ca1650Ma moderate dips at the third and provide a good opportunity on the apparent polar wander path. The timing and geo- for fold tests. Rock colour ranged from dark grey to buff chemistry of the alteration suggest that the fluids may have and,less commonly,red-brown.The relativ | p.8: is figure may be attributed to by &gt;30°from the group means.The distribution of direc- errors in bedding dips,which were often difficult to esti- tions with ≤580°C unblocking temperatures is streaked, mate accurately.The overall bedding-corrected mean direc- indicating the presence of two components. Comparison tion for the West Branch Volcanics,calculated from the site with Figure 3e suggests that one of these may be the higher means,is declination 100.4°,inclination 42.9°. temperature (600–680°</x:v>
      </x:c>
      <x:c r="AH163" s="58" t="n">
        <x:v>0.5611939792380811</x:v>
      </x:c>
      <x:c r="AI163" s="56" t="n">
        <x:f>--(AH163&gt;=0.5)</x:f>
        <x:v>1</x:v>
      </x:c>
      <x:c r="AJ163" s="56" t="n">
        <x:f>--(AI163=O163)</x:f>
        <x:v>0</x:v>
      </x:c>
      <x:c r="AK163" s="58" t="n">
        <x:v>0.47631595938282595</x:v>
      </x:c>
      <x:c r="AL163" s="56" t="n">
        <x:f>--(AK163&gt;=0.5)</x:f>
        <x:v>0</x:v>
      </x:c>
      <x:c r="AM163" s="56" t="n">
        <x:f>--(AL163=O163)</x:f>
        <x:v>1</x:v>
      </x:c>
    </x:row>
    <x:row r="164" ht="32" customHeight="1">
      <x:c r="A164" s="56" t="str">
        <x:v>3434</x:v>
      </x:c>
      <x:c r="B164" s="56" t="str">
        <x:v>8737</x:v>
      </x:c>
      <x:c r="C164" s="56" t="str">
        <x:v>7048</x:v>
      </x:c>
      <x:c r="D164" s="56" t="str">
        <x:v>Gunpowder Creek Formation</x:v>
      </x:c>
      <x:c r="E164" s="56" t="str">
        <x:v>-19.700001</x:v>
      </x:c>
      <x:c r="F164" s="56" t="str">
        <x:v>139.2</x:v>
      </x:c>
      <x:c r="G164" s="56" t="str">
        <x:v>D Component</x:v>
      </x:c>
      <x:c r="H164" s="56" t="str">
        <x:v>282.10001</x:v>
      </x:c>
      <x:c r="I164" s="56" t="str">
        <x:v>-1.1</x:v>
      </x:c>
      <x:c r="J164" s="56" t="str">
        <x:v>-11.6</x:v>
      </x:c>
      <x:c r="K164" s="56" t="str">
        <x:v>232.89999</x:v>
      </x:c>
      <x:c r="L164" s="56" t="str">
        <x:v>V</x:v>
      </x:c>
      <x:c r="M164" s="59" t="str"/>
      <x:c r="N164" s="56" t="n">
        <x:f>--(LEN(M164)&gt;0)</x:f>
        <x:v>0</x:v>
      </x:c>
      <x:c r="O164" s="56" t="n">
        <x:v>0</x:v>
      </x:c>
      <x:c r="P164" s="56" t="n">
        <x:f>--(N164=O164)</x:f>
        <x:v>1</x:v>
      </x:c>
      <x:c r="Q164" s="56" t="str">
        <x:v>ABSTAIN_INSUFFICIENT</x:v>
      </x:c>
      <x:c r="R164" s="59" t="str"/>
      <x:c r="S164" s="59" t="str"/>
      <x:c r="T164" s="56" t="n">
        <x:f>--(Q164="PRESENT")</x:f>
        <x:v>0</x:v>
      </x:c>
      <x:c r="U164" s="56" t="n">
        <x:f>--(T164=N164)</x:f>
        <x:v>1</x:v>
      </x:c>
      <x:c r="V164" s="56" t="n">
        <x:f>--(T164=O164)</x:f>
        <x:v>1</x:v>
      </x:c>
      <x:c r="W164" s="56" t="n">
        <x:f>--(OR(Q164="PRESENT",Q164="ABSENT"))</x:f>
        <x:v>0</x:v>
      </x:c>
      <x:c r="X164" s="56" t="str">
        <x:v>LOW</x:v>
      </x:c>
      <x:c r="Y164" s="56" t="str">
        <x:v>PAPER_ROW_MATCH</x:v>
      </x:c>
      <x:c r="Z164" s="57" t="b">
        <x:v>1</x:v>
      </x:c>
      <x:c r="AA164" s="57" t="b">
        <x:v>1</x:v>
      </x:c>
      <x:c r="AB164" s="56" t="n">
        <x:v>1</x:v>
      </x:c>
      <x:c r="AC164" s="56" t="str"/>
      <x:c r="AD164" s="56" t="str"/>
      <x:c r="AE164" s="56" t="str"/>
      <x:c r="AF164" s="56" t="str">
        <x:v>12, 14, 15, 16</x:v>
      </x:c>
      <x:c r="AG164" s="59" t="str">
        <x:v>p.15: 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 | p.12: 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 | p.12: 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x:v>
      </x:c>
      <x:c r="AH164" s="58" t="n">
        <x:v>0.5611939792380811</x:v>
      </x:c>
      <x:c r="AI164" s="56" t="n">
        <x:f>--(AH164&gt;=0.5)</x:f>
        <x:v>1</x:v>
      </x:c>
      <x:c r="AJ164" s="56" t="n">
        <x:f>--(AI164=O164)</x:f>
        <x:v>0</x:v>
      </x:c>
      <x:c r="AK164" s="58" t="n">
        <x:v>0.47631595938282595</x:v>
      </x:c>
      <x:c r="AL164" s="56" t="n">
        <x:f>--(AK164&gt;=0.5)</x:f>
        <x:v>0</x:v>
      </x:c>
      <x:c r="AM164" s="56" t="n">
        <x:f>--(AL164=O164)</x:f>
        <x:v>1</x:v>
      </x:c>
    </x:row>
    <x:row r="165" ht="32" customHeight="1">
      <x:c r="A165" s="56" t="str">
        <x:v>3434</x:v>
      </x:c>
      <x:c r="B165" s="56" t="str">
        <x:v>8738</x:v>
      </x:c>
      <x:c r="C165" s="56" t="str">
        <x:v>7049</x:v>
      </x:c>
      <x:c r="D165" s="56" t="str">
        <x:v>Paradise Creek Formation</x:v>
      </x:c>
      <x:c r="E165" s="56" t="str">
        <x:v>-19.299999</x:v>
      </x:c>
      <x:c r="F165" s="56" t="str">
        <x:v>139.2</x:v>
      </x:c>
      <x:c r="G165" s="56" t="str">
        <x:v>A Component</x:v>
      </x:c>
      <x:c r="H165" s="56" t="str">
        <x:v>359</x:v>
      </x:c>
      <x:c r="I165" s="56" t="str">
        <x:v>-39.599998</x:v>
      </x:c>
      <x:c r="J165" s="56" t="str">
        <x:v>-87</x:v>
      </x:c>
      <x:c r="K165" s="56" t="str">
        <x:v>157.39999</x:v>
      </x:c>
      <x:c r="L165" s="56" t="str">
        <x:v>V</x:v>
      </x:c>
      <x:c r="M165" s="59" t="str"/>
      <x:c r="N165" s="56" t="n">
        <x:f>--(LEN(M165)&gt;0)</x:f>
        <x:v>0</x:v>
      </x:c>
      <x:c r="O165" s="56" t="n">
        <x:v>0</x:v>
      </x:c>
      <x:c r="P165" s="56" t="n">
        <x:f>--(N165=O165)</x:f>
        <x:v>1</x:v>
      </x:c>
      <x:c r="Q165" s="56" t="str">
        <x:v>PRESENT</x:v>
      </x:c>
      <x:c r="R165" s="59" t="str">
        <x:v>IRM,SUSC-T</x:v>
      </x:c>
      <x:c r="S165" s="59" t="str">
        <x:v>IRM,SUSC-T</x:v>
      </x:c>
      <x:c r="T165" s="56" t="n">
        <x:f>--(Q165="PRESENT")</x:f>
        <x:v>1</x:v>
      </x:c>
      <x:c r="U165" s="56" t="n">
        <x:f>--(T165=N165)</x:f>
        <x:v>0</x:v>
      </x:c>
      <x:c r="V165" s="56" t="n">
        <x:f>--(T165=O165)</x:f>
        <x:v>0</x:v>
      </x:c>
      <x:c r="W165" s="56" t="n">
        <x:f>--(OR(Q165="PRESENT",Q165="ABSENT"))</x:f>
        <x:v>1</x:v>
      </x:c>
      <x:c r="X165" s="56" t="str">
        <x:v>MEDIUM</x:v>
      </x:c>
      <x:c r="Y165" s="56" t="str">
        <x:v>PAPER_ROW_MATCH</x:v>
      </x:c>
      <x:c r="Z165" s="57" t="b">
        <x:v>1</x:v>
      </x:c>
      <x:c r="AA165" s="57" t="b">
        <x:v>1</x:v>
      </x:c>
      <x:c r="AB165" s="56" t="n">
        <x:v>0</x:v>
      </x:c>
      <x:c r="AC165" s="56" t="str">
        <x:v>IRM,SUSC-T</x:v>
      </x:c>
      <x:c r="AD165" s="56" t="str"/>
      <x:c r="AE165" s="56" t="str"/>
      <x:c r="AF165" s="56" t="str">
        <x:v>5, 14, 15</x:v>
      </x:c>
      <x:c r="AG165" s="59" t="str">
        <x:v>p.5: IRM | p.5: yielding a total volcanics of a mineral with a Curie temperature of ≤580°C | p.5: coercivity</x:v>
      </x:c>
      <x:c r="AH165" s="58" t="n">
        <x:v>0.5984051448783481</x:v>
      </x:c>
      <x:c r="AI165" s="56" t="n">
        <x:f>--(AH165&gt;=0.5)</x:f>
        <x:v>1</x:v>
      </x:c>
      <x:c r="AJ165" s="56" t="n">
        <x:f>--(AI165=O165)</x:f>
        <x:v>0</x:v>
      </x:c>
      <x:c r="AK165" s="58" t="n">
        <x:v>0.5062673003658237</x:v>
      </x:c>
      <x:c r="AL165" s="56" t="n">
        <x:f>--(AK165&gt;=0.5)</x:f>
        <x:v>1</x:v>
      </x:c>
      <x:c r="AM165" s="56" t="n">
        <x:f>--(AL165=O165)</x:f>
        <x:v>0</x:v>
      </x:c>
    </x:row>
    <x:row r="166" ht="32" customHeight="1">
      <x:c r="A166" s="56" t="str">
        <x:v>3434</x:v>
      </x:c>
      <x:c r="B166" s="56" t="str">
        <x:v>8739</x:v>
      </x:c>
      <x:c r="C166" s="56" t="str">
        <x:v>7050</x:v>
      </x:c>
      <x:c r="D166" s="56" t="str">
        <x:v>Esperanza Formation</x:v>
      </x:c>
      <x:c r="E166" s="56" t="str">
        <x:v>-19.4</x:v>
      </x:c>
      <x:c r="F166" s="56" t="str">
        <x:v>139.3</x:v>
      </x:c>
      <x:c r="G166" s="56" t="str">
        <x:v>A Component</x:v>
      </x:c>
      <x:c r="H166" s="56" t="str">
        <x:v>358.70001</x:v>
      </x:c>
      <x:c r="I166" s="56" t="str">
        <x:v>-42.700001</x:v>
      </x:c>
      <x:c r="J166" s="56" t="str">
        <x:v>-84.599998</x:v>
      </x:c>
      <x:c r="K166" s="56" t="str">
        <x:v>152.7</x:v>
      </x:c>
      <x:c r="L166" s="56" t="str">
        <x:v>V</x:v>
      </x:c>
      <x:c r="M166" s="59" t="str"/>
      <x:c r="N166" s="56" t="n">
        <x:f>--(LEN(M166)&gt;0)</x:f>
        <x:v>0</x:v>
      </x:c>
      <x:c r="O166" s="56" t="n">
        <x:v>0</x:v>
      </x:c>
      <x:c r="P166" s="56" t="n">
        <x:f>--(N166=O166)</x:f>
        <x:v>1</x:v>
      </x:c>
      <x:c r="Q166" s="56" t="str">
        <x:v>PRESENT</x:v>
      </x:c>
      <x:c r="R166" s="59" t="str">
        <x:v>IRM,SUSC-T</x:v>
      </x:c>
      <x:c r="S166" s="59" t="str">
        <x:v>IRM,SUSC-T</x:v>
      </x:c>
      <x:c r="T166" s="56" t="n">
        <x:f>--(Q166="PRESENT")</x:f>
        <x:v>1</x:v>
      </x:c>
      <x:c r="U166" s="56" t="n">
        <x:f>--(T166=N166)</x:f>
        <x:v>0</x:v>
      </x:c>
      <x:c r="V166" s="56" t="n">
        <x:f>--(T166=O166)</x:f>
        <x:v>0</x:v>
      </x:c>
      <x:c r="W166" s="56" t="n">
        <x:f>--(OR(Q166="PRESENT",Q166="ABSENT"))</x:f>
        <x:v>1</x:v>
      </x:c>
      <x:c r="X166" s="56" t="str">
        <x:v>MEDIUM</x:v>
      </x:c>
      <x:c r="Y166" s="56" t="str">
        <x:v>PAPER_ROW_MATCH</x:v>
      </x:c>
      <x:c r="Z166" s="57" t="b">
        <x:v>1</x:v>
      </x:c>
      <x:c r="AA166" s="57" t="b">
        <x:v>1</x:v>
      </x:c>
      <x:c r="AB166" s="56" t="n">
        <x:v>0</x:v>
      </x:c>
      <x:c r="AC166" s="56" t="str">
        <x:v>IRM,SUSC-T</x:v>
      </x:c>
      <x:c r="AD166" s="56" t="str"/>
      <x:c r="AE166" s="56" t="str"/>
      <x:c r="AF166" s="56" t="str">
        <x:v>5, 14, 15</x:v>
      </x:c>
      <x:c r="AG166" s="59" t="str">
        <x:v>p.5: IRM | p.5: yielding a total volcanics of a mineral with a Curie temperature of ≤580°C | p.5: coercivity</x:v>
      </x:c>
      <x:c r="AH166" s="58" t="n">
        <x:v>0.5970479416987248</x:v>
      </x:c>
      <x:c r="AI166" s="56" t="n">
        <x:f>--(AH166&gt;=0.5)</x:f>
        <x:v>1</x:v>
      </x:c>
      <x:c r="AJ166" s="56" t="n">
        <x:f>--(AI166=O166)</x:f>
        <x:v>0</x:v>
      </x:c>
      <x:c r="AK166" s="58" t="n">
        <x:v>0.6910468332217069</x:v>
      </x:c>
      <x:c r="AL166" s="56" t="n">
        <x:f>--(AK166&gt;=0.5)</x:f>
        <x:v>1</x:v>
      </x:c>
      <x:c r="AM166" s="56" t="n">
        <x:f>--(AL166=O166)</x:f>
        <x:v>0</x:v>
      </x:c>
    </x:row>
    <x:row r="167" ht="32" customHeight="1">
      <x:c r="A167" s="56" t="str">
        <x:v>3434</x:v>
      </x:c>
      <x:c r="B167" s="56" t="str">
        <x:v>8740</x:v>
      </x:c>
      <x:c r="C167" s="56" t="str">
        <x:v>7051</x:v>
      </x:c>
      <x:c r="D167" s="56" t="str">
        <x:v>Lawn Hill Formation</x:v>
      </x:c>
      <x:c r="E167" s="56" t="str">
        <x:v>-18.700001</x:v>
      </x:c>
      <x:c r="F167" s="56" t="str">
        <x:v>138.60001</x:v>
      </x:c>
      <x:c r="G167" s="56" t="str">
        <x:v>B Component</x:v>
      </x:c>
      <x:c r="H167" s="56" t="str">
        <x:v>5.0999999</x:v>
      </x:c>
      <x:c r="I167" s="56" t="str">
        <x:v>-38.599998</x:v>
      </x:c>
      <x:c r="J167" s="56" t="str">
        <x:v>-84.400002</x:v>
      </x:c>
      <x:c r="K167" s="56" t="str">
        <x:v>80.5</x:v>
      </x:c>
      <x:c r="L167" s="56" t="str">
        <x:v>V</x:v>
      </x:c>
      <x:c r="M167" s="59" t="str"/>
      <x:c r="N167" s="56" t="n">
        <x:f>--(LEN(M167)&gt;0)</x:f>
        <x:v>0</x:v>
      </x:c>
      <x:c r="O167" s="56" t="n">
        <x:v>0</x:v>
      </x:c>
      <x:c r="P167" s="56" t="n">
        <x:f>--(N167=O167)</x:f>
        <x:v>1</x:v>
      </x:c>
      <x:c r="Q167" s="56" t="str">
        <x:v>PRESENT</x:v>
      </x:c>
      <x:c r="R167" s="59" t="str">
        <x:v>IRM,SUSC-T</x:v>
      </x:c>
      <x:c r="S167" s="59" t="str">
        <x:v>IRM,SUSC-T</x:v>
      </x:c>
      <x:c r="T167" s="56" t="n">
        <x:f>--(Q167="PRESENT")</x:f>
        <x:v>1</x:v>
      </x:c>
      <x:c r="U167" s="56" t="n">
        <x:f>--(T167=N167)</x:f>
        <x:v>0</x:v>
      </x:c>
      <x:c r="V167" s="56" t="n">
        <x:f>--(T167=O167)</x:f>
        <x:v>0</x:v>
      </x:c>
      <x:c r="W167" s="56" t="n">
        <x:f>--(OR(Q167="PRESENT",Q167="ABSENT"))</x:f>
        <x:v>1</x:v>
      </x:c>
      <x:c r="X167" s="56" t="str">
        <x:v>MEDIUM</x:v>
      </x:c>
      <x:c r="Y167" s="56" t="str">
        <x:v>PAPER_ROW_MATCH</x:v>
      </x:c>
      <x:c r="Z167" s="57" t="b">
        <x:v>1</x:v>
      </x:c>
      <x:c r="AA167" s="57" t="b">
        <x:v>1</x:v>
      </x:c>
      <x:c r="AB167" s="56" t="n">
        <x:v>0</x:v>
      </x:c>
      <x:c r="AC167" s="56" t="str">
        <x:v>IRM,SUSC-T</x:v>
      </x:c>
      <x:c r="AD167" s="56" t="str"/>
      <x:c r="AE167" s="56" t="str"/>
      <x:c r="AF167" s="56" t="str">
        <x:v>5, 11, 12, 13, 14</x:v>
      </x:c>
      <x:c r="AG167" s="59" t="str">
        <x:v>p.5: Normally two or more specimens were demagnetised per sample.Both thermomagnetic analysis (Figure 3a) and RESULTS remanence intensity behaviour during thermal demag- Four formations were sampled in the McArthur Basin and netisation (Figure 3b) indicated the presence in the nine formations in the Lawn Hill Platform,yielding a total volcanics of a mineral with a Curie temperature of ≤580°C, 9002 yraurbeF 21 80:01 :tA ]ailartsuA nretseW fO ytisrevinU[ :yB dedaolnwoD | p.5: IRM | p.5: Normally two or more specimens were demagnetised per sample.Both thermomagnetic analysis (Figure 3a) and RESULTS remanence intensity behaviour during thermal demag- Four formations were sampled in the McArthur Basin and netisation (Figure 3b) indicated the presence in the nine formations in the Lawn Hill Platform,yielding a total volcanics of a mineral with a Curie temperature of ≤580°C, 9002 yraurbeF 21 80:01 :tA ]ailartsuA nretseW fO ytisrevinU[ :yB dedaolnwoD</x:v>
      </x:c>
      <x:c r="AH167" s="58" t="n">
        <x:v>0.6140795976119139</x:v>
      </x:c>
      <x:c r="AI167" s="56" t="n">
        <x:f>--(AH167&gt;=0.5)</x:f>
        <x:v>1</x:v>
      </x:c>
      <x:c r="AJ167" s="56" t="n">
        <x:f>--(AI167=O167)</x:f>
        <x:v>0</x:v>
      </x:c>
      <x:c r="AK167" s="58" t="n">
        <x:v>0.6991513730301068</x:v>
      </x:c>
      <x:c r="AL167" s="56" t="n">
        <x:f>--(AK167&gt;=0.5)</x:f>
        <x:v>1</x:v>
      </x:c>
      <x:c r="AM167" s="56" t="n">
        <x:f>--(AL167=O167)</x:f>
        <x:v>0</x:v>
      </x:c>
    </x:row>
    <x:row r="168" ht="32" customHeight="1">
      <x:c r="A168" s="56" t="str">
        <x:v>3452</x:v>
      </x:c>
      <x:c r="B168" s="56" t="str">
        <x:v>8768</x:v>
      </x:c>
      <x:c r="C168" s="56" t="str">
        <x:v>7076</x:v>
      </x:c>
      <x:c r="D168" s="56" t="str">
        <x:v>Yunmeng Shan Granite</x:v>
      </x:c>
      <x:c r="E168" s="56" t="str">
        <x:v>41</x:v>
      </x:c>
      <x:c r="F168" s="56" t="str">
        <x:v>118.5</x:v>
      </x:c>
      <x:c r="G168" s="56" t="str"/>
      <x:c r="H168" s="56" t="str">
        <x:v>33.400002</x:v>
      </x:c>
      <x:c r="I168" s="56" t="str">
        <x:v>57.5</x:v>
      </x:c>
      <x:c r="J168" s="56" t="str">
        <x:v>64.199997</x:v>
      </x:c>
      <x:c r="K168" s="56" t="str">
        <x:v>200.89999</x:v>
      </x:c>
      <x:c r="L168" s="56" t="str">
        <x:v>D</x:v>
      </x:c>
      <x:c r="M168" s="59" t="str">
        <x:v>SUCS</x:v>
      </x:c>
      <x:c r="N168" s="56" t="n">
        <x:f>--(LEN(M168)&gt;0)</x:f>
        <x:v>1</x:v>
      </x:c>
      <x:c r="O168" s="56" t="n">
        <x:v>0</x:v>
      </x:c>
      <x:c r="P168" s="56" t="n">
        <x:f>--(N168=O168)</x:f>
        <x:v>0</x:v>
      </x:c>
      <x:c r="Q168" s="56" t="str">
        <x:v>ABSTAIN_INSUFFICIENT</x:v>
      </x:c>
      <x:c r="R168" s="59" t="str"/>
      <x:c r="S168" s="59" t="str"/>
      <x:c r="T168" s="56" t="n">
        <x:f>--(Q168="PRESENT")</x:f>
        <x:v>0</x:v>
      </x:c>
      <x:c r="U168" s="56" t="n">
        <x:f>--(T168=N168)</x:f>
        <x:v>0</x:v>
      </x:c>
      <x:c r="V168" s="56" t="n">
        <x:f>--(T168=O168)</x:f>
        <x:v>1</x:v>
      </x:c>
      <x:c r="W168" s="56" t="n">
        <x:f>--(OR(Q168="PRESENT",Q168="ABSENT"))</x:f>
        <x:v>0</x:v>
      </x:c>
      <x:c r="X168" s="56" t="str">
        <x:v>LOW</x:v>
      </x:c>
      <x:c r="Y168" s="56" t="str">
        <x:v>PAPER_ROW_MATCH</x:v>
      </x:c>
      <x:c r="Z168" s="57" t="b">
        <x:v>1</x:v>
      </x:c>
      <x:c r="AA168" s="57" t="b">
        <x:v>1</x:v>
      </x:c>
      <x:c r="AB168" s="56" t="n">
        <x:v>0</x:v>
      </x:c>
      <x:c r="AC168" s="56" t="str"/>
      <x:c r="AD168" s="56" t="str"/>
      <x:c r="AE168" s="56" t="str"/>
      <x:c r="AF168" s="56" t="str">
        <x:v>1</x:v>
      </x:c>
      <x:c r="AG168" s="59" t="str">
        <x:v>p.1: acies terranes are typically between one and two orders more strongly magnetised than amphibolite terranes and AMS fabrics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x:v>
      </x:c>
      <x:c r="AH168" s="58" t="n">
        <x:v>0.8099955992718371</x:v>
      </x:c>
      <x:c r="AI168" s="56" t="n">
        <x:f>--(AH168&gt;=0.5)</x:f>
        <x:v>1</x:v>
      </x:c>
      <x:c r="AJ168" s="56" t="n">
        <x:f>--(AI168=O168)</x:f>
        <x:v>0</x:v>
      </x:c>
      <x:c r="AK168" s="58" t="n">
        <x:v>0.8099955992718371</x:v>
      </x:c>
      <x:c r="AL168" s="56" t="n">
        <x:f>--(AK168&gt;=0.5)</x:f>
        <x:v>1</x:v>
      </x:c>
      <x:c r="AM168" s="56" t="n">
        <x:f>--(AL168=O168)</x:f>
        <x:v>0</x:v>
      </x:c>
    </x:row>
    <x:row r="169" ht="32" customHeight="1">
      <x:c r="A169" s="56" t="str">
        <x:v>3452</x:v>
      </x:c>
      <x:c r="B169" s="56" t="str">
        <x:v>8769</x:v>
      </x:c>
      <x:c r="C169" s="56" t="str">
        <x:v>7077</x:v>
      </x:c>
      <x:c r="D169" s="56" t="str">
        <x:v>Qian'an Metamorphics</x:v>
      </x:c>
      <x:c r="E169" s="56" t="str">
        <x:v>40.799999</x:v>
      </x:c>
      <x:c r="F169" s="56" t="str">
        <x:v>121</x:v>
      </x:c>
      <x:c r="G169" s="56" t="str"/>
      <x:c r="H169" s="56" t="str">
        <x:v>215.2</x:v>
      </x:c>
      <x:c r="I169" s="56" t="str">
        <x:v>70.800003</x:v>
      </x:c>
      <x:c r="J169" s="56" t="str">
        <x:v>10</x:v>
      </x:c>
      <x:c r="K169" s="56" t="str">
        <x:v>99.300003</x:v>
      </x:c>
      <x:c r="L169" s="56" t="str">
        <x:v>D</x:v>
      </x:c>
      <x:c r="M169" s="59" t="str">
        <x:v>Js-T,HIST,SUCS(MAGN)</x:v>
      </x:c>
      <x:c r="N169" s="56" t="n">
        <x:f>--(LEN(M169)&gt;0)</x:f>
        <x:v>1</x:v>
      </x:c>
      <x:c r="O169" s="56" t="n">
        <x:v>1</x:v>
      </x:c>
      <x:c r="P169" s="56" t="n">
        <x:f>--(N169=O169)</x:f>
        <x:v>1</x:v>
      </x:c>
      <x:c r="Q169" s="56" t="str">
        <x:v>ABSTAIN_INSUFFICIENT</x:v>
      </x:c>
      <x:c r="R169" s="59" t="str"/>
      <x:c r="S169" s="59" t="str"/>
      <x:c r="T169" s="56" t="n">
        <x:f>--(Q169="PRESENT")</x:f>
        <x:v>0</x:v>
      </x:c>
      <x:c r="U169" s="56" t="n">
        <x:f>--(T169=N169)</x:f>
        <x:v>0</x:v>
      </x:c>
      <x:c r="V169" s="56" t="n">
        <x:f>--(T169=O169)</x:f>
        <x:v>0</x:v>
      </x:c>
      <x:c r="W169" s="56" t="n">
        <x:f>--(OR(Q169="PRESENT",Q169="ABSENT"))</x:f>
        <x:v>0</x:v>
      </x:c>
      <x:c r="X169" s="56" t="str">
        <x:v>LOW</x:v>
      </x:c>
      <x:c r="Y169" s="56" t="str">
        <x:v>METADATA_UNIQUE</x:v>
      </x:c>
      <x:c r="Z169" s="57" t="b">
        <x:v>1</x:v>
      </x:c>
      <x:c r="AA169" s="57" t="b">
        <x:v>1</x:v>
      </x:c>
      <x:c r="AB169" s="56" t="n">
        <x:v>0</x:v>
      </x:c>
      <x:c r="AC169" s="56" t="str"/>
      <x:c r="AD169" s="56" t="str"/>
      <x:c r="AE169" s="56" t="str"/>
      <x:c r="AF169" s="56" t="str"/>
      <x:c r="AG169" s="59" t="str"/>
      <x:c r="AH169" s="58" t="n">
        <x:v>0.8244184800548316</x:v>
      </x:c>
      <x:c r="AI169" s="56" t="n">
        <x:f>--(AH169&gt;=0.5)</x:f>
        <x:v>1</x:v>
      </x:c>
      <x:c r="AJ169" s="56" t="n">
        <x:f>--(AI169=O169)</x:f>
        <x:v>1</x:v>
      </x:c>
      <x:c r="AK169" s="58" t="n">
        <x:v>0.8244184800548316</x:v>
      </x:c>
      <x:c r="AL169" s="56" t="n">
        <x:f>--(AK169&gt;=0.5)</x:f>
        <x:v>1</x:v>
      </x:c>
      <x:c r="AM169" s="56" t="n">
        <x:f>--(AL169=O169)</x:f>
        <x:v>1</x:v>
      </x:c>
    </x:row>
    <x:row r="170" ht="32" customHeight="1">
      <x:c r="A170" s="56" t="str">
        <x:v>3452</x:v>
      </x:c>
      <x:c r="B170" s="56" t="str">
        <x:v>8770</x:v>
      </x:c>
      <x:c r="C170" s="56" t="str">
        <x:v>7078</x:v>
      </x:c>
      <x:c r="D170" s="56" t="str">
        <x:v>North Qianxi Metamorphics</x:v>
      </x:c>
      <x:c r="E170" s="56" t="str">
        <x:v>41</x:v>
      </x:c>
      <x:c r="F170" s="56" t="str">
        <x:v>121</x:v>
      </x:c>
      <x:c r="G170" s="56" t="str"/>
      <x:c r="H170" s="56" t="str">
        <x:v>44.200001</x:v>
      </x:c>
      <x:c r="I170" s="56" t="str">
        <x:v>-45</x:v>
      </x:c>
      <x:c r="J170" s="56" t="str">
        <x:v>-11.3</x:v>
      </x:c>
      <x:c r="K170" s="56" t="str">
        <x:v>79.300003</x:v>
      </x:c>
      <x:c r="L170" s="56" t="str">
        <x:v>D</x:v>
      </x:c>
      <x:c r="M170" s="59" t="str">
        <x:v>Js-T,HIST,SUCS(MAGN)</x:v>
      </x:c>
      <x:c r="N170" s="56" t="n">
        <x:f>--(LEN(M170)&gt;0)</x:f>
        <x:v>1</x:v>
      </x:c>
      <x:c r="O170" s="56" t="n">
        <x:v>1</x:v>
      </x:c>
      <x:c r="P170" s="56" t="n">
        <x:f>--(N170=O170)</x:f>
        <x:v>1</x:v>
      </x:c>
      <x:c r="Q170" s="56" t="str">
        <x:v>PRESENT</x:v>
      </x:c>
      <x:c r="R170" s="59" t="str">
        <x:v>SUSC-T</x:v>
      </x:c>
      <x:c r="S170" s="59" t="str">
        <x:v>SUSC-T</x:v>
      </x:c>
      <x:c r="T170" s="56" t="n">
        <x:f>--(Q170="PRESENT")</x:f>
        <x:v>1</x:v>
      </x:c>
      <x:c r="U170" s="56" t="n">
        <x:f>--(T170=N170)</x:f>
        <x:v>1</x:v>
      </x:c>
      <x:c r="V170" s="56" t="n">
        <x:f>--(T170=O170)</x:f>
        <x:v>1</x:v>
      </x:c>
      <x:c r="W170" s="56" t="n">
        <x:f>--(OR(Q170="PRESENT",Q170="ABSENT"))</x:f>
        <x:v>1</x:v>
      </x:c>
      <x:c r="X170" s="56" t="str">
        <x:v>MEDIUM</x:v>
      </x:c>
      <x:c r="Y170" s="56" t="str">
        <x:v>PAPER_ROW_MATCH</x:v>
      </x:c>
      <x:c r="Z170" s="57" t="b">
        <x:v>1</x:v>
      </x:c>
      <x:c r="AA170" s="57" t="b">
        <x:v>1</x:v>
      </x:c>
      <x:c r="AB170" s="56" t="n">
        <x:v>0</x:v>
      </x:c>
      <x:c r="AC170" s="56" t="str">
        <x:v>SUSC-T</x:v>
      </x:c>
      <x:c r="AD170" s="56" t="str"/>
      <x:c r="AE170" s="56" t="str"/>
      <x:c r="AF170" s="56" t="str">
        <x:v>20, 22</x:v>
      </x:c>
      <x:c r="AG170" s="59" t="str">
        <x:v>p.22: remanence is typically a later feature acquired over a broad blocking temperature spectrum commencing at a temperature somewhat below the laboratory Curie points of the ferromagnetic carriers | p.20: ulites DHA2 ‘‘ 259.7 33.4 6(37) 6/11 2 DHA3 ‘‘ 286.2 48.1 8(57) 6/13 2 (Qian’an QN1 2100–1900 304.0 46.4 (16) 5/11 1) DHA4 ‘‘ 344.1 40.1 5(29) 11/21 2 (Qianxi QX1 2100–1900 172.1 ÿ 23.9 (6) 6/12 1) (Qinlong AM1 2100–1900 250.6 68.5 (20) 3/6 1) Miyun MY2 261.8 60.1 (11) 4/7 1 Majiahe Fm. MF 243.3 34.5 4(10) 12.9 5 Xushan Fm. XF1 1829–1840 ++ 221.3 44.0 5(9) 5.8 5 XF2 238.0 44.2 4(9) 11.4 5 Dongjiao Group DG 1810 ++ 254.9 ÿ 25.0 7(28) — 4 Changzhougou Fm. CF 1837, 1848 ** 210.9 1.2 6(57) 16.0 5 CH</x:v>
      </x:c>
      <x:c r="AH170" s="58" t="n">
        <x:v>0.8572854000295571</x:v>
      </x:c>
      <x:c r="AI170" s="56" t="n">
        <x:f>--(AH170&gt;=0.5)</x:f>
        <x:v>1</x:v>
      </x:c>
      <x:c r="AJ170" s="56" t="n">
        <x:f>--(AI170=O170)</x:f>
        <x:v>1</x:v>
      </x:c>
      <x:c r="AK170" s="58" t="n">
        <x:v>0.8572854000295571</x:v>
      </x:c>
      <x:c r="AL170" s="56" t="n">
        <x:f>--(AK170&gt;=0.5)</x:f>
        <x:v>1</x:v>
      </x:c>
      <x:c r="AM170" s="56" t="n">
        <x:f>--(AL170=O170)</x:f>
        <x:v>1</x:v>
      </x:c>
    </x:row>
    <x:row r="171" ht="32" customHeight="1">
      <x:c r="A171" s="56" t="str">
        <x:v>3453</x:v>
      </x:c>
      <x:c r="B171" s="56" t="str">
        <x:v>8771</x:v>
      </x:c>
      <x:c r="C171" s="56" t="str">
        <x:v>7079</x:v>
      </x:c>
      <x:c r="D171" s="56" t="str">
        <x:v>Great Cockup Picrite</x:v>
      </x:c>
      <x:c r="E171" s="56" t="str">
        <x:v>54.700001</x:v>
      </x:c>
      <x:c r="F171" s="56" t="str">
        <x:v>-3.0999999</x:v>
      </x:c>
      <x:c r="G171" s="56" t="str"/>
      <x:c r="H171" s="56" t="str">
        <x:v>43.200001</x:v>
      </x:c>
      <x:c r="I171" s="56" t="str">
        <x:v>-31.799999</x:v>
      </x:c>
      <x:c r="J171" s="56" t="str">
        <x:v>-9.3000002</x:v>
      </x:c>
      <x:c r="K171" s="56" t="str">
        <x:v>315.20001</x:v>
      </x:c>
      <x:c r="L171" s="56" t="str">
        <x:v>D</x:v>
      </x:c>
      <x:c r="M171" s="59" t="str">
        <x:v>Js-T, SUCS(MAGN)</x:v>
      </x:c>
      <x:c r="N171" s="56" t="n">
        <x:f>--(LEN(M171)&gt;0)</x:f>
        <x:v>1</x:v>
      </x:c>
      <x:c r="O171" s="56" t="n">
        <x:v>1</x:v>
      </x:c>
      <x:c r="P171" s="56" t="n">
        <x:f>--(N171=O171)</x:f>
        <x:v>1</x:v>
      </x:c>
      <x:c r="Q171" s="56" t="str">
        <x:v>ABSTAIN_INSUFFICIENT</x:v>
      </x:c>
      <x:c r="R171" s="59" t="str"/>
      <x:c r="S171" s="59" t="str"/>
      <x:c r="T171" s="56" t="n">
        <x:f>--(Q171="PRESENT")</x:f>
        <x:v>0</x:v>
      </x:c>
      <x:c r="U171" s="56" t="n">
        <x:f>--(T171=N171)</x:f>
        <x:v>0</x:v>
      </x:c>
      <x:c r="V171" s="56" t="n">
        <x:f>--(T171=O171)</x:f>
        <x:v>0</x:v>
      </x:c>
      <x:c r="W171" s="56" t="n">
        <x:f>--(OR(Q171="PRESENT",Q171="ABSENT"))</x:f>
        <x:v>0</x:v>
      </x:c>
      <x:c r="X171" s="56" t="str">
        <x:v>LOW</x:v>
      </x:c>
      <x:c r="Y171" s="56" t="str">
        <x:v>METADATA_UNIQUE</x:v>
      </x:c>
      <x:c r="Z171" s="57" t="b">
        <x:v>1</x:v>
      </x:c>
      <x:c r="AA171" s="57" t="b">
        <x:v>1</x:v>
      </x:c>
      <x:c r="AB171" s="56" t="n">
        <x:v>0</x:v>
      </x:c>
      <x:c r="AC171" s="56" t="str"/>
      <x:c r="AD171" s="56" t="str"/>
      <x:c r="AE171" s="56" t="str"/>
      <x:c r="AF171" s="56" t="str"/>
      <x:c r="AG171" s="59" t="str"/>
      <x:c r="AH171" s="58" t="n">
        <x:v>0.6667940661506042</x:v>
      </x:c>
      <x:c r="AI171" s="56" t="n">
        <x:f>--(AH171&gt;=0.5)</x:f>
        <x:v>1</x:v>
      </x:c>
      <x:c r="AJ171" s="56" t="n">
        <x:f>--(AI171=O171)</x:f>
        <x:v>1</x:v>
      </x:c>
      <x:c r="AK171" s="58" t="n">
        <x:v>0.6470010916462654</x:v>
      </x:c>
      <x:c r="AL171" s="56" t="n">
        <x:f>--(AK171&gt;=0.5)</x:f>
        <x:v>1</x:v>
      </x:c>
      <x:c r="AM171" s="56" t="n">
        <x:f>--(AL171=O171)</x:f>
        <x:v>1</x:v>
      </x:c>
    </x:row>
    <x:row r="172" ht="32" customHeight="1">
      <x:c r="A172" s="56" t="str">
        <x:v>3453</x:v>
      </x:c>
      <x:c r="B172" s="56" t="str">
        <x:v>8772</x:v>
      </x:c>
      <x:c r="C172" s="56" t="str">
        <x:v>7080</x:v>
      </x:c>
      <x:c r="D172" s="56" t="str">
        <x:v>Carrock Fell Gabbros</x:v>
      </x:c>
      <x:c r="E172" s="56" t="str">
        <x:v>54.700001</x:v>
      </x:c>
      <x:c r="F172" s="56" t="str">
        <x:v>-3</x:v>
      </x:c>
      <x:c r="G172" s="56" t="str"/>
      <x:c r="H172" s="56" t="str">
        <x:v>17.4</x:v>
      </x:c>
      <x:c r="I172" s="56" t="str">
        <x:v>-58.099998</x:v>
      </x:c>
      <x:c r="J172" s="56" t="str">
        <x:v>4.5999999</x:v>
      </x:c>
      <x:c r="K172" s="56" t="str">
        <x:v>343.5</x:v>
      </x:c>
      <x:c r="L172" s="56" t="str">
        <x:v>D</x:v>
      </x:c>
      <x:c r="M172" s="59" t="str">
        <x:v>Js-T, SUCS(MAGN)</x:v>
      </x:c>
      <x:c r="N172" s="56" t="n">
        <x:f>--(LEN(M172)&gt;0)</x:f>
        <x:v>1</x:v>
      </x:c>
      <x:c r="O172" s="56" t="n">
        <x:v>1</x:v>
      </x:c>
      <x:c r="P172" s="56" t="n">
        <x:f>--(N172=O172)</x:f>
        <x:v>1</x:v>
      </x:c>
      <x:c r="Q172" s="56" t="str">
        <x:v>PRESENT</x:v>
      </x:c>
      <x:c r="R172" s="59" t="str">
        <x:v>IRM,SUSC-T(MAGN,PYRR)</x:v>
      </x:c>
      <x:c r="S172" s="59" t="str">
        <x:v>IRM,SUSC-T(MAGN,PYRR)</x:v>
      </x:c>
      <x:c r="T172" s="56" t="n">
        <x:f>--(Q172="PRESENT")</x:f>
        <x:v>1</x:v>
      </x:c>
      <x:c r="U172" s="56" t="n">
        <x:f>--(T172=N172)</x:f>
        <x:v>1</x:v>
      </x:c>
      <x:c r="V172" s="56" t="n">
        <x:f>--(T172=O172)</x:f>
        <x:v>1</x:v>
      </x:c>
      <x:c r="W172" s="56" t="n">
        <x:f>--(OR(Q172="PRESENT",Q172="ABSENT"))</x:f>
        <x:v>1</x:v>
      </x:c>
      <x:c r="X172" s="56" t="str">
        <x:v>HIGH</x:v>
      </x:c>
      <x:c r="Y172" s="56" t="str">
        <x:v>PAPER_ROW_MATCH</x:v>
      </x:c>
      <x:c r="Z172" s="57" t="b">
        <x:v>1</x:v>
      </x:c>
      <x:c r="AA172" s="57" t="b">
        <x:v>1</x:v>
      </x:c>
      <x:c r="AB172" s="56" t="n">
        <x:v>0</x:v>
      </x:c>
      <x:c r="AC172" s="56" t="str">
        <x:v>IRM,SUSC-T</x:v>
      </x:c>
      <x:c r="AD172" s="56" t="str">
        <x:v>MAGN,PYRR</x:v>
      </x:c>
      <x:c r="AE172" s="56" t="str"/>
      <x:c r="AF172" s="56" t="str">
        <x:v>13, 14, 23, 30</x:v>
      </x:c>
      <x:c r="AG172" s="59" t="str">
        <x:v>p.23: IRM | p.14: 5008C, appreciably below the Curie point | p.23: magnetite</x:v>
      </x:c>
      <x:c r="AH172" s="58" t="n">
        <x:v>0.7459564178248821</x:v>
      </x:c>
      <x:c r="AI172" s="56" t="n">
        <x:f>--(AH172&gt;=0.5)</x:f>
        <x:v>1</x:v>
      </x:c>
      <x:c r="AJ172" s="56" t="n">
        <x:f>--(AI172=O172)</x:f>
        <x:v>1</x:v>
      </x:c>
      <x:c r="AK172" s="58" t="n">
        <x:v>0.6521648496485704</x:v>
      </x:c>
      <x:c r="AL172" s="56" t="n">
        <x:f>--(AK172&gt;=0.5)</x:f>
        <x:v>1</x:v>
      </x:c>
      <x:c r="AM172" s="56" t="n">
        <x:f>--(AL172=O172)</x:f>
        <x:v>1</x:v>
      </x:c>
    </x:row>
    <x:row r="173" ht="32" customHeight="1">
      <x:c r="A173" s="56" t="str">
        <x:v>3453</x:v>
      </x:c>
      <x:c r="B173" s="56" t="str">
        <x:v>8773</x:v>
      </x:c>
      <x:c r="C173" s="56" t="str">
        <x:v>7081</x:v>
      </x:c>
      <x:c r="D173" s="56" t="str">
        <x:v>Carrock Fell Granophyre</x:v>
      </x:c>
      <x:c r="E173" s="56" t="str">
        <x:v>54.700001</x:v>
      </x:c>
      <x:c r="F173" s="56" t="str">
        <x:v>-3</x:v>
      </x:c>
      <x:c r="G173" s="56" t="str"/>
      <x:c r="H173" s="56" t="str">
        <x:v>319</x:v>
      </x:c>
      <x:c r="I173" s="56" t="str">
        <x:v>-67.099998</x:v>
      </x:c>
      <x:c r="J173" s="56" t="str">
        <x:v>20</x:v>
      </x:c>
      <x:c r="K173" s="56" t="str">
        <x:v>23.799999</x:v>
      </x:c>
      <x:c r="L173" s="56" t="str">
        <x:v>D</x:v>
      </x:c>
      <x:c r="M173" s="59" t="str"/>
      <x:c r="N173" s="56" t="n">
        <x:f>--(LEN(M173)&gt;0)</x:f>
        <x:v>0</x:v>
      </x:c>
      <x:c r="O173" s="56" t="n">
        <x:v>0</x:v>
      </x:c>
      <x:c r="P173" s="56" t="n">
        <x:f>--(N173=O173)</x:f>
        <x:v>1</x:v>
      </x:c>
      <x:c r="Q173" s="56" t="str">
        <x:v>PRESENT</x:v>
      </x:c>
      <x:c r="R173" s="59" t="str">
        <x:v>IRM,SUSC-T(MAGN,PYRR)</x:v>
      </x:c>
      <x:c r="S173" s="59" t="str">
        <x:v>IRM,SUSC-T(MAGN,PYRR)</x:v>
      </x:c>
      <x:c r="T173" s="56" t="n">
        <x:f>--(Q173="PRESENT")</x:f>
        <x:v>1</x:v>
      </x:c>
      <x:c r="U173" s="56" t="n">
        <x:f>--(T173=N173)</x:f>
        <x:v>0</x:v>
      </x:c>
      <x:c r="V173" s="56" t="n">
        <x:f>--(T173=O173)</x:f>
        <x:v>0</x:v>
      </x:c>
      <x:c r="W173" s="56" t="n">
        <x:f>--(OR(Q173="PRESENT",Q173="ABSENT"))</x:f>
        <x:v>1</x:v>
      </x:c>
      <x:c r="X173" s="56" t="str">
        <x:v>HIGH</x:v>
      </x:c>
      <x:c r="Y173" s="56" t="str">
        <x:v>PAPER_ROW_MATCH</x:v>
      </x:c>
      <x:c r="Z173" s="57" t="b">
        <x:v>1</x:v>
      </x:c>
      <x:c r="AA173" s="57" t="b">
        <x:v>1</x:v>
      </x:c>
      <x:c r="AB173" s="56" t="n">
        <x:v>0</x:v>
      </x:c>
      <x:c r="AC173" s="56" t="str">
        <x:v>IRM,SUSC-T</x:v>
      </x:c>
      <x:c r="AD173" s="56" t="str">
        <x:v>MAGN,PYRR</x:v>
      </x:c>
      <x:c r="AE173" s="56" t="str"/>
      <x:c r="AF173" s="56" t="str">
        <x:v>13, 14, 20, 23, 30</x:v>
      </x:c>
      <x:c r="AG173" s="59" t="str">
        <x:v>p.23: The equal-area projection shows the distribution of component directions (in situ) in the granophyre excluding probable IRM components PALAEOMAGNETISM OF LAKE DISTRICT INTRUSIONS 233 # 1997 John Wiley &amp; Sons, Ltd. | p.14: 5008C, appreciably below the Curie point | p.23: magnetite</x:v>
      </x:c>
      <x:c r="AH173" s="58" t="n">
        <x:v>0.7519691320556393</x:v>
      </x:c>
      <x:c r="AI173" s="56" t="n">
        <x:f>--(AH173&gt;=0.5)</x:f>
        <x:v>1</x:v>
      </x:c>
      <x:c r="AJ173" s="56" t="n">
        <x:f>--(AI173=O173)</x:f>
        <x:v>0</x:v>
      </x:c>
      <x:c r="AK173" s="58" t="n">
        <x:v>0.8310636882278005</x:v>
      </x:c>
      <x:c r="AL173" s="56" t="n">
        <x:f>--(AK173&gt;=0.5)</x:f>
        <x:v>1</x:v>
      </x:c>
      <x:c r="AM173" s="56" t="n">
        <x:f>--(AL173=O173)</x:f>
        <x:v>0</x:v>
      </x:c>
    </x:row>
    <x:row r="174" ht="32" customHeight="1">
      <x:c r="A174" s="56" t="str">
        <x:v>3453</x:v>
      </x:c>
      <x:c r="B174" s="56" t="str">
        <x:v>8774</x:v>
      </x:c>
      <x:c r="C174" s="56" t="str">
        <x:v>7082</x:v>
      </x:c>
      <x:c r="D174" s="56" t="str">
        <x:v>Thelkeld-St.John's Granite</x:v>
      </x:c>
      <x:c r="E174" s="56" t="str">
        <x:v>54.599998</x:v>
      </x:c>
      <x:c r="F174" s="56" t="str">
        <x:v>-3</x:v>
      </x:c>
      <x:c r="G174" s="56" t="str"/>
      <x:c r="H174" s="56" t="str">
        <x:v>236.5</x:v>
      </x:c>
      <x:c r="I174" s="56" t="str">
        <x:v>63.299999</x:v>
      </x:c>
      <x:c r="J174" s="56" t="str">
        <x:v>20.299999</x:v>
      </x:c>
      <x:c r="K174" s="56" t="str">
        <x:v>317.60001</x:v>
      </x:c>
      <x:c r="L174" s="56" t="str">
        <x:v>D</x:v>
      </x:c>
      <x:c r="M174" s="59" t="str"/>
      <x:c r="N174" s="56" t="n">
        <x:f>--(LEN(M174)&gt;0)</x:f>
        <x:v>0</x:v>
      </x:c>
      <x:c r="O174" s="56" t="n">
        <x:v>0</x:v>
      </x:c>
      <x:c r="P174" s="56" t="n">
        <x:f>--(N174=O174)</x:f>
        <x:v>1</x:v>
      </x:c>
      <x:c r="Q174" s="56" t="str">
        <x:v>ABSTAIN_INSUFFICIENT</x:v>
      </x:c>
      <x:c r="R174" s="59" t="str"/>
      <x:c r="S174" s="59" t="str"/>
      <x:c r="T174" s="56" t="n">
        <x:f>--(Q174="PRESENT")</x:f>
        <x:v>0</x:v>
      </x:c>
      <x:c r="U174" s="56" t="n">
        <x:f>--(T174=N174)</x:f>
        <x:v>1</x:v>
      </x:c>
      <x:c r="V174" s="56" t="n">
        <x:f>--(T174=O174)</x:f>
        <x:v>1</x:v>
      </x:c>
      <x:c r="W174" s="56" t="n">
        <x:f>--(OR(Q174="PRESENT",Q174="ABSENT"))</x:f>
        <x:v>0</x:v>
      </x:c>
      <x:c r="X174" s="56" t="str">
        <x:v>LOW</x:v>
      </x:c>
      <x:c r="Y174" s="56" t="str">
        <x:v>PAPER_ROW_MATCH</x:v>
      </x:c>
      <x:c r="Z174" s="57" t="b">
        <x:v>1</x:v>
      </x:c>
      <x:c r="AA174" s="57" t="b">
        <x:v>1</x:v>
      </x:c>
      <x:c r="AB174" s="56" t="n">
        <x:v>0</x:v>
      </x:c>
      <x:c r="AC174" s="56" t="str"/>
      <x:c r="AD174" s="56" t="str"/>
      <x:c r="AE174" s="56" t="str"/>
      <x:c r="AF174" s="56" t="str">
        <x:v>1, 26, 30</x:v>
      </x:c>
      <x:c r="AG174" s="59" t="str">
        <x:v>p.1: ( c. 395 Ma). Although this axis is recorded as a sporadic overprint in older rocks, no pervasive remagnetization is attributable to batholith emplacement. Instead, the Carrock Fell Complex Layered Gabbros have a mid- to late Ordovician (A1) remanence ( D=I 17 4=ÿ 58 18, 36 samples, a95  4 88) predating regional F2 folding. Later events in this igneous complex comprise the Carrock Fell Granophyre with a post-folding Ordovician remanence, and Round Knott Dolerite with a remanence linked to hyd | p.26: b.t. component removed in the ﬁrst step of treatment in some samples, it appears to be discrete (Figure 18a). Samples of Skiddaw Slate within a few metres of the margin of the pluton exhibit a component with the same direction. A few samples show weak evidence for reversal in the highest part of the spectrum (e.g. contact slate sample shown in Figure 18b, although only one acceptable component trajectory was resolved; no coherent components were isolated from slate samples further from the conta | p.30: Caledonides Code Formation Age Pole dp/dm D/I Palaeolatitude Quality criteria Q Reference 8E/8N 1 2 3 4 5 6 7 (i) Lake District Terrane GCP Great Cockup Picrite Om-u 315=ÿ 9 4=8 43=ÿ 32 178S x x x x 4 This paper EVG1 Binsey Volcanic Group{ Om-u 347=ÿ 5 6=9 12=ÿ 49 308S x x x x x x 6 Piper et al. 1997{ EVG2 High Ireby Volcanic Grp{ Om-u 359=ÿ 14 7=11 358=ÿ 38 218S x x x x x x 6 Piper et al. 1997{ BVG1 Borrowdale Volcanic Group Ou, Cl 14=ÿ 6 4=6 341=ÿ 47 288S x x x x x x 6 Piper et al. 1997 CFG1 C</x:v>
      </x:c>
      <x:c r="AH174" s="58" t="n">
        <x:v>0.5696657251934764</x:v>
      </x:c>
      <x:c r="AI174" s="56" t="n">
        <x:f>--(AH174&gt;=0.5)</x:f>
        <x:v>1</x:v>
      </x:c>
      <x:c r="AJ174" s="56" t="n">
        <x:f>--(AI174=O174)</x:f>
        <x:v>0</x:v>
      </x:c>
      <x:c r="AK174" s="58" t="n">
        <x:v>0.7336857342353658</x:v>
      </x:c>
      <x:c r="AL174" s="56" t="n">
        <x:f>--(AK174&gt;=0.5)</x:f>
        <x:v>1</x:v>
      </x:c>
      <x:c r="AM174" s="56" t="n">
        <x:f>--(AL174=O174)</x:f>
        <x:v>0</x:v>
      </x:c>
    </x:row>
    <x:row r="175" ht="32" customHeight="1">
      <x:c r="A175" s="56" t="str">
        <x:v>3453</x:v>
      </x:c>
      <x:c r="B175" s="56" t="str">
        <x:v>8775</x:v>
      </x:c>
      <x:c r="C175" s="56" t="str">
        <x:v>7083</x:v>
      </x:c>
      <x:c r="D175" s="56" t="str">
        <x:v>Carrock Fell Dyke Swarm</x:v>
      </x:c>
      <x:c r="E175" s="56" t="str">
        <x:v>54.700001</x:v>
      </x:c>
      <x:c r="F175" s="56" t="str">
        <x:v>-3</x:v>
      </x:c>
      <x:c r="G175" s="56" t="str"/>
      <x:c r="H175" s="56" t="str">
        <x:v>21.4</x:v>
      </x:c>
      <x:c r="I175" s="56" t="str">
        <x:v>56.599998</x:v>
      </x:c>
      <x:c r="J175" s="56" t="str">
        <x:v>67.199997</x:v>
      </x:c>
      <x:c r="K175" s="56" t="str">
        <x:v>128.3</x:v>
      </x:c>
      <x:c r="L175" s="56" t="str">
        <x:v>D</x:v>
      </x:c>
      <x:c r="M175" s="59" t="str">
        <x:v>Js-T, SUCS(MAGN)</x:v>
      </x:c>
      <x:c r="N175" s="56" t="n">
        <x:f>--(LEN(M175)&gt;0)</x:f>
        <x:v>1</x:v>
      </x:c>
      <x:c r="O175" s="56" t="n">
        <x:v>1</x:v>
      </x:c>
      <x:c r="P175" s="56" t="n">
        <x:f>--(N175=O175)</x:f>
        <x:v>1</x:v>
      </x:c>
      <x:c r="Q175" s="56" t="str">
        <x:v>PRESENT</x:v>
      </x:c>
      <x:c r="R175" s="59" t="str">
        <x:v>IRM,SUSC-T(MAGN,PYRR)</x:v>
      </x:c>
      <x:c r="S175" s="59" t="str">
        <x:v>IRM,SUSC-T(MAGN,PYRR)</x:v>
      </x:c>
      <x:c r="T175" s="56" t="n">
        <x:f>--(Q175="PRESENT")</x:f>
        <x:v>1</x:v>
      </x:c>
      <x:c r="U175" s="56" t="n">
        <x:f>--(T175=N175)</x:f>
        <x:v>1</x:v>
      </x:c>
      <x:c r="V175" s="56" t="n">
        <x:f>--(T175=O175)</x:f>
        <x:v>1</x:v>
      </x:c>
      <x:c r="W175" s="56" t="n">
        <x:f>--(OR(Q175="PRESENT",Q175="ABSENT"))</x:f>
        <x:v>1</x:v>
      </x:c>
      <x:c r="X175" s="56" t="str">
        <x:v>MEDIUM</x:v>
      </x:c>
      <x:c r="Y175" s="56" t="str">
        <x:v>METADATA_UNIQUE</x:v>
      </x:c>
      <x:c r="Z175" s="57" t="b">
        <x:v>1</x:v>
      </x:c>
      <x:c r="AA175" s="57" t="b">
        <x:v>1</x:v>
      </x:c>
      <x:c r="AB175" s="56" t="n">
        <x:v>0</x:v>
      </x:c>
      <x:c r="AC175" s="56" t="str">
        <x:v>IRM,SUSC-T</x:v>
      </x:c>
      <x:c r="AD175" s="56" t="str">
        <x:v>MAGN,PYRR</x:v>
      </x:c>
      <x:c r="AE175" s="56" t="str"/>
      <x:c r="AF175" s="56" t="str">
        <x:v>13, 14, 23</x:v>
      </x:c>
      <x:c r="AG175" s="59" t="str">
        <x:v>p.23: IRM | p.14: 5008C, appreciably below the Curie point | p.13: magnetite</x:v>
      </x:c>
      <x:c r="AH175" s="58" t="n">
        <x:v>0.7142461729369608</x:v>
      </x:c>
      <x:c r="AI175" s="56" t="n">
        <x:f>--(AH175&gt;=0.5)</x:f>
        <x:v>1</x:v>
      </x:c>
      <x:c r="AJ175" s="56" t="n">
        <x:f>--(AI175=O175)</x:f>
        <x:v>1</x:v>
      </x:c>
      <x:c r="AK175" s="58" t="n">
        <x:v>0.5927439395978553</x:v>
      </x:c>
      <x:c r="AL175" s="56" t="n">
        <x:f>--(AK175&gt;=0.5)</x:f>
        <x:v>1</x:v>
      </x:c>
      <x:c r="AM175" s="56" t="n">
        <x:f>--(AL175=O175)</x:f>
        <x:v>1</x:v>
      </x:c>
    </x:row>
    <x:row r="176" ht="32" customHeight="1">
      <x:c r="A176" s="56" t="str">
        <x:v>3453</x:v>
      </x:c>
      <x:c r="B176" s="56" t="str">
        <x:v>8776</x:v>
      </x:c>
      <x:c r="C176" s="56" t="str">
        <x:v>7084</x:v>
      </x:c>
      <x:c r="D176" s="56" t="str">
        <x:v>Round Knott Dolerite</x:v>
      </x:c>
      <x:c r="E176" s="56" t="str">
        <x:v>54.700001</x:v>
      </x:c>
      <x:c r="F176" s="56" t="str">
        <x:v>-3</x:v>
      </x:c>
      <x:c r="G176" s="56" t="str"/>
      <x:c r="H176" s="56" t="str">
        <x:v>200.5</x:v>
      </x:c>
      <x:c r="I176" s="56" t="str">
        <x:v>48.200001</x:v>
      </x:c>
      <x:c r="J176" s="56" t="str">
        <x:v>-4.3000002</x:v>
      </x:c>
      <x:c r="K176" s="56" t="str">
        <x:v>338.89999</x:v>
      </x:c>
      <x:c r="L176" s="56" t="str">
        <x:v>D</x:v>
      </x:c>
      <x:c r="M176" s="59" t="str">
        <x:v>Js-T, SUCS(MAGN)</x:v>
      </x:c>
      <x:c r="N176" s="56" t="n">
        <x:f>--(LEN(M176)&gt;0)</x:f>
        <x:v>1</x:v>
      </x:c>
      <x:c r="O176" s="56" t="n">
        <x:v>1</x:v>
      </x:c>
      <x:c r="P176" s="56" t="n">
        <x:f>--(N176=O176)</x:f>
        <x:v>1</x:v>
      </x:c>
      <x:c r="Q176" s="56" t="str">
        <x:v>PRESENT</x:v>
      </x:c>
      <x:c r="R176" s="59" t="str">
        <x:v>SUSC-T(MAGN)</x:v>
      </x:c>
      <x:c r="S176" s="59" t="str">
        <x:v>SUSC-T(MAGN)</x:v>
      </x:c>
      <x:c r="T176" s="56" t="n">
        <x:f>--(Q176="PRESENT")</x:f>
        <x:v>1</x:v>
      </x:c>
      <x:c r="U176" s="56" t="n">
        <x:f>--(T176=N176)</x:f>
        <x:v>1</x:v>
      </x:c>
      <x:c r="V176" s="56" t="n">
        <x:f>--(T176=O176)</x:f>
        <x:v>1</x:v>
      </x:c>
      <x:c r="W176" s="56" t="n">
        <x:f>--(OR(Q176="PRESENT",Q176="ABSENT"))</x:f>
        <x:v>1</x:v>
      </x:c>
      <x:c r="X176" s="56" t="str">
        <x:v>MEDIUM</x:v>
      </x:c>
      <x:c r="Y176" s="56" t="str">
        <x:v>METADATA_UNIQUE</x:v>
      </x:c>
      <x:c r="Z176" s="57" t="b">
        <x:v>1</x:v>
      </x:c>
      <x:c r="AA176" s="57" t="b">
        <x:v>1</x:v>
      </x:c>
      <x:c r="AB176" s="56" t="n">
        <x:v>0</x:v>
      </x:c>
      <x:c r="AC176" s="56" t="str">
        <x:v>SUSC-T</x:v>
      </x:c>
      <x:c r="AD176" s="56" t="str">
        <x:v>MAGN</x:v>
      </x:c>
      <x:c r="AE176" s="56" t="str"/>
      <x:c r="AF176" s="56" t="str">
        <x:v>14</x:v>
      </x:c>
      <x:c r="AG176" s="59" t="str">
        <x:v>p.14: 5008C, appreciably below the Curie point | p.14: magnetite</x:v>
      </x:c>
      <x:c r="AH176" s="58" t="n">
        <x:v>0.6523263306129831</x:v>
      </x:c>
      <x:c r="AI176" s="56" t="n">
        <x:f>--(AH176&gt;=0.5)</x:f>
        <x:v>1</x:v>
      </x:c>
      <x:c r="AJ176" s="56" t="n">
        <x:f>--(AI176=O176)</x:f>
        <x:v>1</x:v>
      </x:c>
      <x:c r="AK176" s="58" t="n">
        <x:v>0.26309616704256894</x:v>
      </x:c>
      <x:c r="AL176" s="56" t="n">
        <x:f>--(AK176&gt;=0.5)</x:f>
        <x:v>0</x:v>
      </x:c>
      <x:c r="AM176" s="56" t="n">
        <x:f>--(AL176=O176)</x:f>
        <x:v>0</x:v>
      </x:c>
    </x:row>
    <x:row r="177" ht="32" customHeight="1">
      <x:c r="A177" s="56" t="str">
        <x:v>3453</x:v>
      </x:c>
      <x:c r="B177" s="56" t="str">
        <x:v>8777</x:v>
      </x:c>
      <x:c r="C177" s="56" t="str">
        <x:v>7085</x:v>
      </x:c>
      <x:c r="D177" s="56" t="str">
        <x:v>Ennerdale Basic Intrusions</x:v>
      </x:c>
      <x:c r="E177" s="56" t="str">
        <x:v>54.5</x:v>
      </x:c>
      <x:c r="F177" s="56" t="str">
        <x:v>-3.4000001</x:v>
      </x:c>
      <x:c r="G177" s="56" t="str"/>
      <x:c r="H177" s="56" t="str">
        <x:v>174.89999</x:v>
      </x:c>
      <x:c r="I177" s="56" t="str">
        <x:v>25.799999</x:v>
      </x:c>
      <x:c r="J177" s="56" t="str">
        <x:v>-21.9</x:v>
      </x:c>
      <x:c r="K177" s="56" t="str">
        <x:v>2</x:v>
      </x:c>
      <x:c r="L177" s="56" t="str">
        <x:v>D</x:v>
      </x:c>
      <x:c r="M177" s="59" t="str"/>
      <x:c r="N177" s="56" t="n">
        <x:f>--(LEN(M177)&gt;0)</x:f>
        <x:v>0</x:v>
      </x:c>
      <x:c r="O177" s="56" t="n">
        <x:v>0</x:v>
      </x:c>
      <x:c r="P177" s="56" t="n">
        <x:f>--(N177=O177)</x:f>
        <x:v>1</x:v>
      </x:c>
      <x:c r="Q177" s="56" t="str">
        <x:v>ABSTAIN_INSUFFICIENT</x:v>
      </x:c>
      <x:c r="R177" s="59" t="str"/>
      <x:c r="S177" s="59" t="str"/>
      <x:c r="T177" s="56" t="n">
        <x:f>--(Q177="PRESENT")</x:f>
        <x:v>0</x:v>
      </x:c>
      <x:c r="U177" s="56" t="n">
        <x:f>--(T177=N177)</x:f>
        <x:v>1</x:v>
      </x:c>
      <x:c r="V177" s="56" t="n">
        <x:f>--(T177=O177)</x:f>
        <x:v>1</x:v>
      </x:c>
      <x:c r="W177" s="56" t="n">
        <x:f>--(OR(Q177="PRESENT",Q177="ABSENT"))</x:f>
        <x:v>0</x:v>
      </x:c>
      <x:c r="X177" s="56" t="str">
        <x:v>LOW</x:v>
      </x:c>
      <x:c r="Y177" s="56" t="str">
        <x:v>PAPER_ROW_MATCH</x:v>
      </x:c>
      <x:c r="Z177" s="57" t="b">
        <x:v>1</x:v>
      </x:c>
      <x:c r="AA177" s="57" t="b">
        <x:v>1</x:v>
      </x:c>
      <x:c r="AB177" s="56" t="n">
        <x:v>0</x:v>
      </x:c>
      <x:c r="AC177" s="56" t="str"/>
      <x:c r="AD177" s="56" t="str"/>
      <x:c r="AE177" s="56" t="str"/>
      <x:c r="AF177" s="56" t="str">
        <x:v>30</x:v>
      </x:c>
      <x:c r="AG177" s="59" t="str">
        <x:v>p.30: Volcanic Group Ou, Cl 14=ÿ 6 4=6 341=ÿ 47 288S x x x x x x 6 Piper et al. 1997 CFG1 Carrock Fell Gabbros Ou, 469 344=5 3=5 17=ÿ 58 398S x x x x x x 6 This paper BVG2 Borrowdale Overprints Ou 6=8 8=11 347=ÿ 62 438S x x x x 4 Channell &amp; McCabe 1992 CFG2 Carrock Fell Granophyre (420) 24=20 11=13 319=ÿ 67 508S x x x x x 5 This paper TSJ Threlkeld–St John’sGranite 438 318=20 6=7 237=63 458S x x x x x x 6 This paper CFG4 Carrock E–W Dyke Swarm} 308=ÿ 67 6=7 237=63 388S x x x x 4 This paper} CFG3 Round</x:v>
      </x:c>
      <x:c r="AH177" s="58" t="n">
        <x:v>0.6653667174588014</x:v>
      </x:c>
      <x:c r="AI177" s="56" t="n">
        <x:f>--(AH177&gt;=0.5)</x:f>
        <x:v>1</x:v>
      </x:c>
      <x:c r="AJ177" s="56" t="n">
        <x:f>--(AI177=O177)</x:f>
        <x:v>0</x:v>
      </x:c>
      <x:c r="AK177" s="58" t="n">
        <x:v>0.6657066878298077</x:v>
      </x:c>
      <x:c r="AL177" s="56" t="n">
        <x:f>--(AK177&gt;=0.5)</x:f>
        <x:v>1</x:v>
      </x:c>
      <x:c r="AM177" s="56" t="n">
        <x:f>--(AL177=O177)</x:f>
        <x:v>0</x:v>
      </x:c>
    </x:row>
    <x:row r="178" ht="32" customHeight="1">
      <x:c r="A178" s="56" t="str">
        <x:v>3453</x:v>
      </x:c>
      <x:c r="B178" s="56" t="str">
        <x:v>8778</x:v>
      </x:c>
      <x:c r="C178" s="56" t="str">
        <x:v>7086</x:v>
      </x:c>
      <x:c r="D178" s="56" t="str">
        <x:v>Eycott NE-SW Dykes</x:v>
      </x:c>
      <x:c r="E178" s="56" t="str">
        <x:v>54.700001</x:v>
      </x:c>
      <x:c r="F178" s="56" t="str">
        <x:v>-3</x:v>
      </x:c>
      <x:c r="G178" s="56" t="str"/>
      <x:c r="H178" s="56" t="str">
        <x:v>30.9</x:v>
      </x:c>
      <x:c r="I178" s="56" t="str">
        <x:v>-30.799999</x:v>
      </x:c>
      <x:c r="J178" s="56" t="str">
        <x:v>-14.1</x:v>
      </x:c>
      <x:c r="K178" s="56" t="str">
        <x:v>326.5</x:v>
      </x:c>
      <x:c r="L178" s="56" t="str">
        <x:v>D</x:v>
      </x:c>
      <x:c r="M178" s="59" t="str">
        <x:v>Js-T, SUCS(MAGN)</x:v>
      </x:c>
      <x:c r="N178" s="56" t="n">
        <x:f>--(LEN(M178)&gt;0)</x:f>
        <x:v>1</x:v>
      </x:c>
      <x:c r="O178" s="56" t="n">
        <x:v>1</x:v>
      </x:c>
      <x:c r="P178" s="56" t="n">
        <x:f>--(N178=O178)</x:f>
        <x:v>1</x:v>
      </x:c>
      <x:c r="Q178" s="56" t="str">
        <x:v>ABSENT</x:v>
      </x:c>
      <x:c r="R178" s="59" t="str"/>
      <x:c r="S178" s="59" t="str"/>
      <x:c r="T178" s="56" t="n">
        <x:f>--(Q178="PRESENT")</x:f>
        <x:v>0</x:v>
      </x:c>
      <x:c r="U178" s="56" t="n">
        <x:f>--(T178=N178)</x:f>
        <x:v>0</x:v>
      </x:c>
      <x:c r="V178" s="56" t="n">
        <x:f>--(T178=O178)</x:f>
        <x:v>0</x:v>
      </x:c>
      <x:c r="W178" s="56" t="n">
        <x:f>--(OR(Q178="PRESENT",Q178="ABSENT"))</x:f>
        <x:v>1</x:v>
      </x:c>
      <x:c r="X178" s="56" t="str">
        <x:v>MEDIUM</x:v>
      </x:c>
      <x:c r="Y178" s="56" t="str">
        <x:v>METADATA_UNIQUE</x:v>
      </x:c>
      <x:c r="Z178" s="57" t="b">
        <x:v>1</x:v>
      </x:c>
      <x:c r="AA178" s="57" t="b">
        <x:v>1</x:v>
      </x:c>
      <x:c r="AB178" s="56" t="n">
        <x:v>0</x:v>
      </x:c>
      <x:c r="AC178" s="56" t="str"/>
      <x:c r="AD178" s="56" t="str"/>
      <x:c r="AE178" s="56" t="str"/>
      <x:c r="AF178" s="56" t="str"/>
      <x:c r="AG178" s="59" t="str"/>
      <x:c r="AH178" s="58" t="n">
        <x:v>0.5748232950218373</x:v>
      </x:c>
      <x:c r="AI178" s="56" t="n">
        <x:f>--(AH178&gt;=0.5)</x:f>
        <x:v>1</x:v>
      </x:c>
      <x:c r="AJ178" s="56" t="n">
        <x:f>--(AI178=O178)</x:f>
        <x:v>1</x:v>
      </x:c>
      <x:c r="AK178" s="58" t="n">
        <x:v>0.7529725022924725</x:v>
      </x:c>
      <x:c r="AL178" s="56" t="n">
        <x:f>--(AK178&gt;=0.5)</x:f>
        <x:v>1</x:v>
      </x:c>
      <x:c r="AM178" s="56" t="n">
        <x:f>--(AL178=O178)</x:f>
        <x:v>1</x:v>
      </x:c>
    </x:row>
    <x:row r="179" ht="32" customHeight="1">
      <x:c r="A179" s="56" t="str">
        <x:v>3453</x:v>
      </x:c>
      <x:c r="B179" s="56" t="str">
        <x:v>8779</x:v>
      </x:c>
      <x:c r="C179" s="56" t="str">
        <x:v>7087</x:v>
      </x:c>
      <x:c r="D179" s="56" t="str">
        <x:v>Skiddaw Hornfels</x:v>
      </x:c>
      <x:c r="E179" s="56" t="str">
        <x:v>54.700001</x:v>
      </x:c>
      <x:c r="F179" s="56" t="str">
        <x:v>-3.0999999</x:v>
      </x:c>
      <x:c r="G179" s="56" t="str"/>
      <x:c r="H179" s="56" t="str">
        <x:v>282.10001</x:v>
      </x:c>
      <x:c r="I179" s="56" t="str">
        <x:v>6.0999999</x:v>
      </x:c>
      <x:c r="J179" s="56" t="str">
        <x:v>9.5</x:v>
      </x:c>
      <x:c r="K179" s="56" t="str">
        <x:v>258.79999</x:v>
      </x:c>
      <x:c r="L179" s="56" t="str">
        <x:v>D</x:v>
      </x:c>
      <x:c r="M179" s="59" t="str">
        <x:v>Js-T, SUCS(MAGN,PYRR)</x:v>
      </x:c>
      <x:c r="N179" s="56" t="n">
        <x:f>--(LEN(M179)&gt;0)</x:f>
        <x:v>1</x:v>
      </x:c>
      <x:c r="O179" s="56" t="n">
        <x:v>1</x:v>
      </x:c>
      <x:c r="P179" s="56" t="n">
        <x:f>--(N179=O179)</x:f>
        <x:v>1</x:v>
      </x:c>
      <x:c r="Q179" s="56" t="str">
        <x:v>PRESENT</x:v>
      </x:c>
      <x:c r="R179" s="59" t="str">
        <x:v>SUSC-T(MAGN)</x:v>
      </x:c>
      <x:c r="S179" s="59" t="str">
        <x:v>SUSC-T(MAGN)</x:v>
      </x:c>
      <x:c r="T179" s="56" t="n">
        <x:f>--(Q179="PRESENT")</x:f>
        <x:v>1</x:v>
      </x:c>
      <x:c r="U179" s="56" t="n">
        <x:f>--(T179=N179)</x:f>
        <x:v>1</x:v>
      </x:c>
      <x:c r="V179" s="56" t="n">
        <x:f>--(T179=O179)</x:f>
        <x:v>1</x:v>
      </x:c>
      <x:c r="W179" s="56" t="n">
        <x:f>--(OR(Q179="PRESENT",Q179="ABSENT"))</x:f>
        <x:v>1</x:v>
      </x:c>
      <x:c r="X179" s="56" t="str">
        <x:v>HIGH</x:v>
      </x:c>
      <x:c r="Y179" s="56" t="str">
        <x:v>PAPER_ROW_MATCH</x:v>
      </x:c>
      <x:c r="Z179" s="57" t="b">
        <x:v>1</x:v>
      </x:c>
      <x:c r="AA179" s="57" t="b">
        <x:v>1</x:v>
      </x:c>
      <x:c r="AB179" s="56" t="n">
        <x:v>0</x:v>
      </x:c>
      <x:c r="AC179" s="56" t="str">
        <x:v>SUSC-T</x:v>
      </x:c>
      <x:c r="AD179" s="56" t="str">
        <x:v>MAGN</x:v>
      </x:c>
      <x:c r="AE179" s="56" t="str"/>
      <x:c r="AF179" s="56" t="str">
        <x:v>14, 30</x:v>
      </x:c>
      <x:c r="AG179" s="59" t="str">
        <x:v>p.14: 5008C, appreciably below the Curie point | p.14: magnetite | p.30: x 6 This paper BVG2 Borrowdale Overprints Ou 6=8 8=11 347=ÿ 62 438S x x x x 4 Channell &amp; McCabe 1992 CFG2 Carrock Fell Granophyre (420) 24=20 11=13 319=ÿ 67 508S x x x x x 5 This paper TSJ Threlkeld–St John’sGranite 438 318=20 6=7 237=63 458S x x x x x x 6 This paper CFG4 Carrock E–W Dyke Swarm} 308=ÿ 67 6=7 237=63 388S x x x x 4 This paper} CFG3 Round Knott Dolerite 339=ÿ 4 5=9 201=48 298S x x x x 4 This paper HF Mudstones, Howgill Fells, S, L1 310=ÿ 14 7=13 43=ÿ 24 148S x x x 3 Channell et al.</x:v>
      </x:c>
      <x:c r="AH179" s="58" t="n">
        <x:v>0.6932776602169349</x:v>
      </x:c>
      <x:c r="AI179" s="56" t="n">
        <x:f>--(AH179&gt;=0.5)</x:f>
        <x:v>1</x:v>
      </x:c>
      <x:c r="AJ179" s="56" t="n">
        <x:f>--(AI179=O179)</x:f>
        <x:v>1</x:v>
      </x:c>
      <x:c r="AK179" s="58" t="n">
        <x:v>0.6412333135720405</x:v>
      </x:c>
      <x:c r="AL179" s="56" t="n">
        <x:f>--(AK179&gt;=0.5)</x:f>
        <x:v>1</x:v>
      </x:c>
      <x:c r="AM179" s="56" t="n">
        <x:f>--(AL179=O179)</x:f>
        <x:v>1</x:v>
      </x:c>
    </x:row>
    <x:row r="180" ht="32" customHeight="1">
      <x:c r="A180" s="56" t="str">
        <x:v>3453</x:v>
      </x:c>
      <x:c r="B180" s="56" t="str">
        <x:v>8780</x:v>
      </x:c>
      <x:c r="C180" s="56" t="str">
        <x:v>7088</x:v>
      </x:c>
      <x:c r="D180" s="56" t="str">
        <x:v>Shap Granite</x:v>
      </x:c>
      <x:c r="E180" s="56" t="str">
        <x:v>54.5</x:v>
      </x:c>
      <x:c r="F180" s="56" t="str">
        <x:v>-2.7</x:v>
      </x:c>
      <x:c r="G180" s="56" t="str"/>
      <x:c r="H180" s="56" t="str">
        <x:v>278.20001</x:v>
      </x:c>
      <x:c r="I180" s="56" t="str">
        <x:v>17.1</x:v>
      </x:c>
      <x:c r="J180" s="56" t="str">
        <x:v>11.9</x:v>
      </x:c>
      <x:c r="K180" s="56" t="str">
        <x:v>265.79999</x:v>
      </x:c>
      <x:c r="L180" s="56" t="str">
        <x:v>D</x:v>
      </x:c>
      <x:c r="M180" s="59" t="str">
        <x:v>Js-T, SUCS(MAGN)</x:v>
      </x:c>
      <x:c r="N180" s="56" t="n">
        <x:f>--(LEN(M180)&gt;0)</x:f>
        <x:v>1</x:v>
      </x:c>
      <x:c r="O180" s="56" t="n">
        <x:v>1</x:v>
      </x:c>
      <x:c r="P180" s="56" t="n">
        <x:f>--(N180=O180)</x:f>
        <x:v>1</x:v>
      </x:c>
      <x:c r="Q180" s="56" t="str">
        <x:v>PRESENT</x:v>
      </x:c>
      <x:c r="R180" s="59" t="str">
        <x:v>SUSC-T(MAGN)</x:v>
      </x:c>
      <x:c r="S180" s="59" t="str">
        <x:v>SUSC-T(MAGN)</x:v>
      </x:c>
      <x:c r="T180" s="56" t="n">
        <x:f>--(Q180="PRESENT")</x:f>
        <x:v>1</x:v>
      </x:c>
      <x:c r="U180" s="56" t="n">
        <x:f>--(T180=N180)</x:f>
        <x:v>1</x:v>
      </x:c>
      <x:c r="V180" s="56" t="n">
        <x:f>--(T180=O180)</x:f>
        <x:v>1</x:v>
      </x:c>
      <x:c r="W180" s="56" t="n">
        <x:f>--(OR(Q180="PRESENT",Q180="ABSENT"))</x:f>
        <x:v>1</x:v>
      </x:c>
      <x:c r="X180" s="56" t="str">
        <x:v>HIGH</x:v>
      </x:c>
      <x:c r="Y180" s="56" t="str">
        <x:v>PAPER_ROW_MATCH</x:v>
      </x:c>
      <x:c r="Z180" s="57" t="b">
        <x:v>1</x:v>
      </x:c>
      <x:c r="AA180" s="57" t="b">
        <x:v>1</x:v>
      </x:c>
      <x:c r="AB180" s="56" t="n">
        <x:v>0</x:v>
      </x:c>
      <x:c r="AC180" s="56" t="str">
        <x:v>SUSC-T</x:v>
      </x:c>
      <x:c r="AD180" s="56" t="str">
        <x:v>MAGN</x:v>
      </x:c>
      <x:c r="AE180" s="56" t="str"/>
      <x:c r="AF180" s="56" t="str">
        <x:v>14, 30</x:v>
      </x:c>
      <x:c r="AG180" s="59" t="str">
        <x:v>p.14: 5008C, appreciably below the Curie point | p.14: magnetite | p.30: 438S x x x x 4 Channell &amp; McCabe 1992 CFG2 Carrock Fell Granophyre (420) 24=20 11=13 319=ÿ 67 508S x x x x x 5 This paper TSJ Threlkeld–St John’sGranite 438 318=20 6=7 237=63 458S x x x x x x 6 This paper CFG4 Carrock E–W Dyke Swarm} 308=ÿ 67 6=7 237=63 388S x x x x 4 This paper} CFG3 Round Knott Dolerite 339=ÿ 4 5=9 201=48 298S x x x x 4 This paper HF Mudstones, Howgill Fells, S, L1 310=ÿ 14 7=13 43=ÿ 24 148S x x x 3 Channell et al. 1993 BIE Basic Intrusions, Ennerdale 429 2=ÿ 22 5=10 175=26 12</x:v>
      </x:c>
      <x:c r="AH180" s="58" t="n">
        <x:v>0.74179122491541</x:v>
      </x:c>
      <x:c r="AI180" s="56" t="n">
        <x:f>--(AH180&gt;=0.5)</x:f>
        <x:v>1</x:v>
      </x:c>
      <x:c r="AJ180" s="56" t="n">
        <x:f>--(AI180=O180)</x:f>
        <x:v>1</x:v>
      </x:c>
      <x:c r="AK180" s="58" t="n">
        <x:v>0.8802746694392934</x:v>
      </x:c>
      <x:c r="AL180" s="56" t="n">
        <x:f>--(AK180&gt;=0.5)</x:f>
        <x:v>1</x:v>
      </x:c>
      <x:c r="AM180" s="56" t="n">
        <x:f>--(AL180=O180)</x:f>
        <x:v>1</x:v>
      </x:c>
    </x:row>
    <x:row r="181" ht="32" customHeight="1">
      <x:c r="A181" s="56" t="str">
        <x:v>3463</x:v>
      </x:c>
      <x:c r="B181" s="56" t="str">
        <x:v>8815</x:v>
      </x:c>
      <x:c r="C181" s="56" t="str">
        <x:v>7123</x:v>
      </x:c>
      <x:c r="D181" s="56" t="str">
        <x:v>High Valley andesite tuff</x:v>
      </x:c>
      <x:c r="E181" s="56" t="str">
        <x:v>-30.1</x:v>
      </x:c>
      <x:c r="F181" s="56" t="str">
        <x:v>150.3</x:v>
      </x:c>
      <x:c r="G181" s="56" t="str">
        <x:v>P2 component</x:v>
      </x:c>
      <x:c r="H181" s="56" t="str">
        <x:v>132.5</x:v>
      </x:c>
      <x:c r="I181" s="56" t="str">
        <x:v>-13.8</x:v>
      </x:c>
      <x:c r="J181" s="56" t="str">
        <x:v>31.4</x:v>
      </x:c>
      <x:c r="K181" s="56" t="str">
        <x:v>91.400002</x:v>
      </x:c>
      <x:c r="L181" s="56" t="str">
        <x:v>D</x:v>
      </x:c>
      <x:c r="M181" s="59" t="str">
        <x:v>3-axis Jrs-T, IRM, SUSC-T(HEM)</x:v>
      </x:c>
      <x:c r="N181" s="56" t="n">
        <x:f>--(LEN(M181)&gt;0)</x:f>
        <x:v>1</x:v>
      </x:c>
      <x:c r="O181" s="56" t="n">
        <x:v>1</x:v>
      </x:c>
      <x:c r="P181" s="56" t="n">
        <x:f>--(N181=O181)</x:f>
        <x:v>1</x:v>
      </x:c>
      <x:c r="Q181" s="56" t="str">
        <x:v>PRESENT</x:v>
      </x:c>
      <x:c r="R181" s="59" t="str">
        <x:v>SUSC-T(HEM,MAGN,GOETH)</x:v>
      </x:c>
      <x:c r="S181" s="59" t="str">
        <x:v>SUSC-T(HEM,MAGN,GOETH)</x:v>
      </x:c>
      <x:c r="T181" s="56" t="n">
        <x:f>--(Q181="PRESENT")</x:f>
        <x:v>1</x:v>
      </x:c>
      <x:c r="U181" s="56" t="n">
        <x:f>--(T181=N181)</x:f>
        <x:v>1</x:v>
      </x:c>
      <x:c r="V181" s="56" t="n">
        <x:f>--(T181=O181)</x:f>
        <x:v>1</x:v>
      </x:c>
      <x:c r="W181" s="56" t="n">
        <x:f>--(OR(Q181="PRESENT",Q181="ABSENT"))</x:f>
        <x:v>1</x:v>
      </x:c>
      <x:c r="X181" s="56" t="str">
        <x:v>HIGH</x:v>
      </x:c>
      <x:c r="Y181" s="56" t="str">
        <x:v>PAPER_ROW_MATCH</x:v>
      </x:c>
      <x:c r="Z181" s="57" t="b">
        <x:v>1</x:v>
      </x:c>
      <x:c r="AA181" s="57" t="b">
        <x:v>1</x:v>
      </x:c>
      <x:c r="AB181" s="56" t="n">
        <x:v>0</x:v>
      </x:c>
      <x:c r="AC181" s="56" t="str">
        <x:v>SUSC-T</x:v>
      </x:c>
      <x:c r="AD181" s="56" t="str">
        <x:v>HEM,MAGN,GOETH</x:v>
      </x:c>
      <x:c r="AE181" s="56" t="str">
        <x:v>MD</x:v>
      </x:c>
      <x:c r="AF181" s="56" t="str">
        <x:v>16, 23, 24</x:v>
      </x:c>
      <x:c r="AG181" s="59" t="str">
        <x:v>p.16: temperature susceptibility cycling LOW-TEMPERATURE SUSCEPTIBILITY CYCLING Low-temperature susceptibility | p.16: hematite | p.16: magnetite</x:v>
      </x:c>
      <x:c r="AH181" s="58" t="n">
        <x:v>0.9579041787668033</x:v>
      </x:c>
      <x:c r="AI181" s="56" t="n">
        <x:f>--(AH181&gt;=0.5)</x:f>
        <x:v>1</x:v>
      </x:c>
      <x:c r="AJ181" s="56" t="n">
        <x:f>--(AI181=O181)</x:f>
        <x:v>1</x:v>
      </x:c>
      <x:c r="AK181" s="58" t="n">
        <x:v>0.9703062964669038</x:v>
      </x:c>
      <x:c r="AL181" s="56" t="n">
        <x:f>--(AK181&gt;=0.5)</x:f>
        <x:v>1</x:v>
      </x:c>
      <x:c r="AM181" s="56" t="n">
        <x:f>--(AL181=O181)</x:f>
        <x:v>1</x:v>
      </x:c>
    </x:row>
    <x:row r="182" ht="32" customHeight="1">
      <x:c r="A182" s="56" t="str">
        <x:v>3463</x:v>
      </x:c>
      <x:c r="B182" s="56" t="str">
        <x:v>8816</x:v>
      </x:c>
      <x:c r="C182" s="56" t="str">
        <x:v>7124</x:v>
      </x:c>
      <x:c r="D182" s="56" t="str">
        <x:v>Yuendoo Rhyolite</x:v>
      </x:c>
      <x:c r="E182" s="56" t="str">
        <x:v>-29.700001</x:v>
      </x:c>
      <x:c r="F182" s="56" t="str">
        <x:v>150.3</x:v>
      </x:c>
      <x:c r="G182" s="56" t="str">
        <x:v>P2 component</x:v>
      </x:c>
      <x:c r="H182" s="56" t="str">
        <x:v>112.6</x:v>
      </x:c>
      <x:c r="I182" s="56" t="str">
        <x:v>31</x:v>
      </x:c>
      <x:c r="J182" s="56" t="str">
        <x:v>27.700001</x:v>
      </x:c>
      <x:c r="K182" s="56" t="str">
        <x:v>55.799999</x:v>
      </x:c>
      <x:c r="L182" s="56" t="str">
        <x:v>V</x:v>
      </x:c>
      <x:c r="M182" s="59" t="str">
        <x:v>3-axis Jrs-T, IRM, SUSC-T(HEM)</x:v>
      </x:c>
      <x:c r="N182" s="56" t="n">
        <x:f>--(LEN(M182)&gt;0)</x:f>
        <x:v>1</x:v>
      </x:c>
      <x:c r="O182" s="56" t="n">
        <x:v>1</x:v>
      </x:c>
      <x:c r="P182" s="56" t="n">
        <x:f>--(N182=O182)</x:f>
        <x:v>1</x:v>
      </x:c>
      <x:c r="Q182" s="56" t="str">
        <x:v>PRESENT</x:v>
      </x:c>
      <x:c r="R182" s="59" t="str">
        <x:v>IRM,3-axis Jrs-T,SUSC-T(MAGH,MAGN,HEM,GOETH)</x:v>
      </x:c>
      <x:c r="S182" s="59" t="str">
        <x:v>IRM,3-axis Jrs-T,SUSC-T(MAGH,MAGN,HEM,GOETH)</x:v>
      </x:c>
      <x:c r="T182" s="56" t="n">
        <x:f>--(Q182="PRESENT")</x:f>
        <x:v>1</x:v>
      </x:c>
      <x:c r="U182" s="56" t="n">
        <x:f>--(T182=N182)</x:f>
        <x:v>1</x:v>
      </x:c>
      <x:c r="V182" s="56" t="n">
        <x:f>--(T182=O182)</x:f>
        <x:v>1</x:v>
      </x:c>
      <x:c r="W182" s="56" t="n">
        <x:f>--(OR(Q182="PRESENT",Q182="ABSENT"))</x:f>
        <x:v>1</x:v>
      </x:c>
      <x:c r="X182" s="56" t="str">
        <x:v>HIGH</x:v>
      </x:c>
      <x:c r="Y182" s="56" t="str">
        <x:v>PAPER_ROW_MATCH</x:v>
      </x:c>
      <x:c r="Z182" s="57" t="b">
        <x:v>1</x:v>
      </x:c>
      <x:c r="AA182" s="57" t="b">
        <x:v>1</x:v>
      </x:c>
      <x:c r="AB182" s="56" t="n">
        <x:v>0</x:v>
      </x:c>
      <x:c r="AC182" s="56" t="str">
        <x:v>IRM,3-axis Jrs-T,SUSC-T</x:v>
      </x:c>
      <x:c r="AD182" s="56" t="str">
        <x:v>MAGH,MAGN,HEM,GOETH</x:v>
      </x:c>
      <x:c r="AE182" s="56" t="str">
        <x:v>MD</x:v>
      </x:c>
      <x:c r="AF182" s="56" t="str">
        <x:v>16, 18, 23, 24</x:v>
      </x:c>
      <x:c r="AG182" s="59" t="str">
        <x:v>p.16: None of the three-axis Lowrie test results clearly indicate the presence of maghemite or iron sulfides. | p.24: The IRM acquisition curve indicates the presence of MD magnetite. | p.16: IRM</x:v>
      </x:c>
      <x:c r="AH182" s="58" t="n">
        <x:v>0.9572950662325227</x:v>
      </x:c>
      <x:c r="AI182" s="56" t="n">
        <x:f>--(AH182&gt;=0.5)</x:f>
        <x:v>1</x:v>
      </x:c>
      <x:c r="AJ182" s="56" t="n">
        <x:f>--(AI182=O182)</x:f>
        <x:v>1</x:v>
      </x:c>
      <x:c r="AK182" s="58" t="n">
        <x:v>0.9660536844387038</x:v>
      </x:c>
      <x:c r="AL182" s="56" t="n">
        <x:f>--(AK182&gt;=0.5)</x:f>
        <x:v>1</x:v>
      </x:c>
      <x:c r="AM182" s="56" t="n">
        <x:f>--(AL182=O182)</x:f>
        <x:v>1</x:v>
      </x:c>
    </x:row>
    <x:row r="183" ht="32" customHeight="1">
      <x:c r="A183" s="56" t="str">
        <x:v>3463</x:v>
      </x:c>
      <x:c r="B183" s="56" t="str">
        <x:v>8817</x:v>
      </x:c>
      <x:c r="C183" s="56" t="str">
        <x:v>7125</x:v>
      </x:c>
      <x:c r="D183" s="56" t="str">
        <x:v>Kooringal Dacite</x:v>
      </x:c>
      <x:c r="E183" s="56" t="str">
        <x:v>-30.200001</x:v>
      </x:c>
      <x:c r="F183" s="56" t="str">
        <x:v>150.3</x:v>
      </x:c>
      <x:c r="G183" s="56" t="str">
        <x:v>P2 component</x:v>
      </x:c>
      <x:c r="H183" s="56" t="str">
        <x:v>0.60000002</x:v>
      </x:c>
      <x:c r="I183" s="56" t="str">
        <x:v>-70.599998</x:v>
      </x:c>
      <x:c r="J183" s="56" t="str">
        <x:v>65.300003</x:v>
      </x:c>
      <x:c r="K183" s="56" t="str">
        <x:v>329.5</x:v>
      </x:c>
      <x:c r="L183" s="56" t="str">
        <x:v>D</x:v>
      </x:c>
      <x:c r="M183" s="59" t="str"/>
      <x:c r="N183" s="56" t="n">
        <x:f>--(LEN(M183)&gt;0)</x:f>
        <x:v>0</x:v>
      </x:c>
      <x:c r="O183" s="56" t="n">
        <x:v>0</x:v>
      </x:c>
      <x:c r="P183" s="56" t="n">
        <x:f>--(N183=O183)</x:f>
        <x:v>1</x:v>
      </x:c>
      <x:c r="Q183" s="56" t="str">
        <x:v>PRESENT</x:v>
      </x:c>
      <x:c r="R183" s="59" t="str">
        <x:v>IRM,SUSC-T(MAGN,HEM,GOETH,MAGH)</x:v>
      </x:c>
      <x:c r="S183" s="59" t="str">
        <x:v>IRM,SUSC-T(MAGN,HEM,GOETH,MAGH)</x:v>
      </x:c>
      <x:c r="T183" s="56" t="n">
        <x:f>--(Q183="PRESENT")</x:f>
        <x:v>1</x:v>
      </x:c>
      <x:c r="U183" s="56" t="n">
        <x:f>--(T183=N183)</x:f>
        <x:v>0</x:v>
      </x:c>
      <x:c r="V183" s="56" t="n">
        <x:f>--(T183=O183)</x:f>
        <x:v>0</x:v>
      </x:c>
      <x:c r="W183" s="56" t="n">
        <x:f>--(OR(Q183="PRESENT",Q183="ABSENT"))</x:f>
        <x:v>1</x:v>
      </x:c>
      <x:c r="X183" s="56" t="str">
        <x:v>MEDIUM</x:v>
      </x:c>
      <x:c r="Y183" s="56" t="str">
        <x:v>METADATA_UNIQUE</x:v>
      </x:c>
      <x:c r="Z183" s="57" t="b">
        <x:v>1</x:v>
      </x:c>
      <x:c r="AA183" s="57" t="b">
        <x:v>1</x:v>
      </x:c>
      <x:c r="AB183" s="56" t="n">
        <x:v>0</x:v>
      </x:c>
      <x:c r="AC183" s="56" t="str">
        <x:v>IRM,SUSC-T</x:v>
      </x:c>
      <x:c r="AD183" s="56" t="str">
        <x:v>MAGN,HEM,GOETH,MAGH</x:v>
      </x:c>
      <x:c r="AE183" s="56" t="str">
        <x:v>MD</x:v>
      </x:c>
      <x:c r="AF183" s="56" t="str">
        <x:v>16, 18</x:v>
      </x:c>
      <x:c r="AG183" s="59" t="str">
        <x:v>p.18: TEMPERATURE SUSCEPTIBILITY CYCLING High-temperature susceptibility | p.16: IRM | p.16: temperature susceptibility cycling LOW-TEMPERATURE SUSCEPTIBILITY CYCLING Low-temperature susceptibility</x:v>
      </x:c>
      <x:c r="AH183" s="58" t="n">
        <x:v>0.8799105084223107</x:v>
      </x:c>
      <x:c r="AI183" s="56" t="n">
        <x:f>--(AH183&gt;=0.5)</x:f>
        <x:v>1</x:v>
      </x:c>
      <x:c r="AJ183" s="56" t="n">
        <x:f>--(AI183=O183)</x:f>
        <x:v>0</x:v>
      </x:c>
      <x:c r="AK183" s="58" t="n">
        <x:v>0.8850081015228066</x:v>
      </x:c>
      <x:c r="AL183" s="56" t="n">
        <x:f>--(AK183&gt;=0.5)</x:f>
        <x:v>1</x:v>
      </x:c>
      <x:c r="AM183" s="56" t="n">
        <x:f>--(AL183=O183)</x:f>
        <x:v>0</x:v>
      </x:c>
    </x:row>
    <x:row r="184" ht="32" customHeight="1">
      <x:c r="A184" s="56" t="str">
        <x:v>3463</x:v>
      </x:c>
      <x:c r="B184" s="56" t="str">
        <x:v>8818</x:v>
      </x:c>
      <x:c r="C184" s="56" t="str">
        <x:v>7126</x:v>
      </x:c>
      <x:c r="D184" s="56" t="str">
        <x:v>Clifden Formation Tuff</x:v>
      </x:c>
      <x:c r="E184" s="56" t="str">
        <x:v>-30</x:v>
      </x:c>
      <x:c r="F184" s="56" t="str">
        <x:v>150.3</x:v>
      </x:c>
      <x:c r="G184" s="56" t="str">
        <x:v>P2 component</x:v>
      </x:c>
      <x:c r="H184" s="56" t="str">
        <x:v>164.3</x:v>
      </x:c>
      <x:c r="I184" s="56" t="str">
        <x:v>78.599998</x:v>
      </x:c>
      <x:c r="J184" s="56" t="str">
        <x:v>50.799999</x:v>
      </x:c>
      <x:c r="K184" s="56" t="str">
        <x:v>339.5</x:v>
      </x:c>
      <x:c r="L184" s="56" t="str">
        <x:v>D</x:v>
      </x:c>
      <x:c r="M184" s="59" t="str"/>
      <x:c r="N184" s="56" t="n">
        <x:f>--(LEN(M184)&gt;0)</x:f>
        <x:v>0</x:v>
      </x:c>
      <x:c r="O184" s="56" t="n">
        <x:v>0</x:v>
      </x:c>
      <x:c r="P184" s="56" t="n">
        <x:f>--(N184=O184)</x:f>
        <x:v>1</x:v>
      </x:c>
      <x:c r="Q184" s="56" t="str">
        <x:v>ABSTAIN_INSUFFICIENT</x:v>
      </x:c>
      <x:c r="R184" s="59" t="str"/>
      <x:c r="S184" s="59" t="str"/>
      <x:c r="T184" s="56" t="n">
        <x:f>--(Q184="PRESENT")</x:f>
        <x:v>0</x:v>
      </x:c>
      <x:c r="U184" s="56" t="n">
        <x:f>--(T184=N184)</x:f>
        <x:v>1</x:v>
      </x:c>
      <x:c r="V184" s="56" t="n">
        <x:f>--(T184=O184)</x:f>
        <x:v>1</x:v>
      </x:c>
      <x:c r="W184" s="56" t="n">
        <x:f>--(OR(Q184="PRESENT",Q184="ABSENT"))</x:f>
        <x:v>0</x:v>
      </x:c>
      <x:c r="X184" s="56" t="str">
        <x:v>LOW</x:v>
      </x:c>
      <x:c r="Y184" s="56" t="str">
        <x:v>PAPER_ROW_MATCH</x:v>
      </x:c>
      <x:c r="Z184" s="57" t="b">
        <x:v>1</x:v>
      </x:c>
      <x:c r="AA184" s="57" t="b">
        <x:v>1</x:v>
      </x:c>
      <x:c r="AB184" s="56" t="n">
        <x:v>0</x:v>
      </x:c>
      <x:c r="AC184" s="56" t="str"/>
      <x:c r="AD184" s="56" t="str"/>
      <x:c r="AE184" s="56" t="str"/>
      <x:c r="AF184" s="56" t="str">
        <x:v>23, 24</x:v>
      </x:c>
      <x:c r="AG184" s="59" t="str">
        <x:v>p.23: show the general presence of two (P1, P2), occasionally three (P0, P1, P2), HT ‘components’ of successively harder thermal characteristics (Tables 2, 5*) that are removed in magnetite and hematite unblocking temperature ranges between 400°C and 700°C. The magnet- ically hardest P2 components (Table 2) consistently show a shift toward more westerly declinations than for the P1 components with little change in inclination (Figure 14a; Table 3). Mean site results for the P2 components show better g | p.24: (sites 2–4, Table 7*). West Lynne Rhyodacite (sites 11–13) Pole positions for these three sites disperse upon bedding correction and no representative primary magnetisation direction or pole position could be identified (see Appendix 1*). Ermelo Pyroclastics (sites 14–21) Two sites only , 14 and less clearly 15 (Table 2), show an inter- pretable, rather soft, magnetite component of normal polarity that could be taken as a primary magnetisation for reason that its, ill-defined, pole locates close | p.24: isperse upon bedding correction and no representative primary magnetisation direction or pole position could be identified (see Appendix 1*). Ermelo Pyroclastics (sites 14–21) Two sites only , 14 and less clearly 15 (Table 2), show an inter- pretable, rather soft, magnetite component of normal polarity that could be taken as a primary magnetisation for reason that its, ill-defined, pole locates close to, and on the younger side of, the well-defined pole for the Yuendoo Rhyolite. CLIFDEN FORMATIO</x:v>
      </x:c>
      <x:c r="AH184" s="58" t="n">
        <x:v>0.8865384318274379</x:v>
      </x:c>
      <x:c r="AI184" s="56" t="n">
        <x:f>--(AH184&gt;=0.5)</x:f>
        <x:v>1</x:v>
      </x:c>
      <x:c r="AJ184" s="56" t="n">
        <x:f>--(AI184=O184)</x:f>
        <x:v>0</x:v>
      </x:c>
      <x:c r="AK184" s="58" t="n">
        <x:v>0.796130793612631</x:v>
      </x:c>
      <x:c r="AL184" s="56" t="n">
        <x:f>--(AK184&gt;=0.5)</x:f>
        <x:v>1</x:v>
      </x:c>
      <x:c r="AM184" s="56" t="n">
        <x:f>--(AL184=O184)</x:f>
        <x:v>0</x:v>
      </x:c>
    </x:row>
    <x:row r="185" ht="32" customHeight="1">
      <x:c r="A185" s="56" t="str">
        <x:v>3463</x:v>
      </x:c>
      <x:c r="B185" s="56" t="str">
        <x:v>8819</x:v>
      </x:c>
      <x:c r="C185" s="56" t="str">
        <x:v>7127</x:v>
      </x:c>
      <x:c r="D185" s="56" t="str">
        <x:v>Peri Rhyolite</x:v>
      </x:c>
      <x:c r="E185" s="56" t="str">
        <x:v>-30.200001</x:v>
      </x:c>
      <x:c r="F185" s="56" t="str">
        <x:v>150.3</x:v>
      </x:c>
      <x:c r="G185" s="56" t="str">
        <x:v>P2 component</x:v>
      </x:c>
      <x:c r="H185" s="56" t="str">
        <x:v>160.39999</x:v>
      </x:c>
      <x:c r="I185" s="56" t="str">
        <x:v>69</x:v>
      </x:c>
      <x:c r="J185" s="56" t="str">
        <x:v>63.400002</x:v>
      </x:c>
      <x:c r="K185" s="56" t="str">
        <x:v>357.39999</x:v>
      </x:c>
      <x:c r="L185" s="56" t="str">
        <x:v>V</x:v>
      </x:c>
      <x:c r="M185" s="59" t="str">
        <x:v>3-axis Jrs-T, IRM(MAGN,GOETH)</x:v>
      </x:c>
      <x:c r="N185" s="56" t="n">
        <x:f>--(LEN(M185)&gt;0)</x:f>
        <x:v>1</x:v>
      </x:c>
      <x:c r="O185" s="56" t="n">
        <x:v>1</x:v>
      </x:c>
      <x:c r="P185" s="56" t="n">
        <x:f>--(N185=O185)</x:f>
        <x:v>1</x:v>
      </x:c>
      <x:c r="Q185" s="56" t="str">
        <x:v>PRESENT</x:v>
      </x:c>
      <x:c r="R185" s="59" t="str">
        <x:v>IRM,3-axis Jrs-T,SUSC-T(MAGN,HEM,GOETH,MAGH)</x:v>
      </x:c>
      <x:c r="S185" s="59" t="str">
        <x:v>IRM,3-axis Jrs-T,SUSC-T(MAGN,HEM,GOETH,MAGH)</x:v>
      </x:c>
      <x:c r="T185" s="56" t="n">
        <x:f>--(Q185="PRESENT")</x:f>
        <x:v>1</x:v>
      </x:c>
      <x:c r="U185" s="56" t="n">
        <x:f>--(T185=N185)</x:f>
        <x:v>1</x:v>
      </x:c>
      <x:c r="V185" s="56" t="n">
        <x:f>--(T185=O185)</x:f>
        <x:v>1</x:v>
      </x:c>
      <x:c r="W185" s="56" t="n">
        <x:f>--(OR(Q185="PRESENT",Q185="ABSENT"))</x:f>
        <x:v>1</x:v>
      </x:c>
      <x:c r="X185" s="56" t="str">
        <x:v>HIGH</x:v>
      </x:c>
      <x:c r="Y185" s="56" t="str">
        <x:v>PAPER_ROW_MATCH</x:v>
      </x:c>
      <x:c r="Z185" s="57" t="b">
        <x:v>1</x:v>
      </x:c>
      <x:c r="AA185" s="57" t="b">
        <x:v>1</x:v>
      </x:c>
      <x:c r="AB185" s="56" t="n">
        <x:v>0</x:v>
      </x:c>
      <x:c r="AC185" s="56" t="str">
        <x:v>IRM,3-axis Jrs-T,SUSC-T</x:v>
      </x:c>
      <x:c r="AD185" s="56" t="str">
        <x:v>MAGN,HEM,GOETH,MAGH</x:v>
      </x:c>
      <x:c r="AE185" s="56" t="str">
        <x:v>MD</x:v>
      </x:c>
      <x:c r="AF185" s="56" t="str">
        <x:v>16, 18, 23, 24</x:v>
      </x:c>
      <x:c r="AG185" s="59" t="str">
        <x:v>p.24: Peri Rhyolite (sites 26, 27)/Boomi Rhyolite (site 30) and associated tuffs (sites 24, 31–33) Magnetic component directions, rock-magnetic properties (IRM acquisition, Lowrie test) and magnetic fabric results for the Boomi Rhyolite and the Peri Rhyolite are compar- able, underscoring their lithological similarity . | p.24: Peri Rhyolite (sites 26, 27)/Boomi Rhyolite (site 30) and associated tuffs (sites 24, 31–33) Magnetic component directions, rock-magnetic properties (IRM acquisition, Lowrie test) and magnetic fabric results for the Boomi Rhyolite and the Peri Rhyolite are compar- able, underscoring their lithological similarity . | p.24: Peri Rhyolite (sites 26, 27)/Boomi Rhyolite (site 30) and associated tuffs (sites 24, 31–33) Magnetic component directions, rock-magnetic properties (IRM acquisition, Lowrie test) and magnetic fabric results for the Boomi Rhyolite and the Peri Rhyolite are compar- able, underscoring their lithological similarity .</x:v>
      </x:c>
      <x:c r="AH185" s="58" t="n">
        <x:v>0.9574061099749748</x:v>
      </x:c>
      <x:c r="AI185" s="56" t="n">
        <x:f>--(AH185&gt;=0.5)</x:f>
        <x:v>1</x:v>
      </x:c>
      <x:c r="AJ185" s="56" t="n">
        <x:f>--(AI185=O185)</x:f>
        <x:v>1</x:v>
      </x:c>
      <x:c r="AK185" s="58" t="n">
        <x:v>0.9678876546658208</x:v>
      </x:c>
      <x:c r="AL185" s="56" t="n">
        <x:f>--(AK185&gt;=0.5)</x:f>
        <x:v>1</x:v>
      </x:c>
      <x:c r="AM185" s="56" t="n">
        <x:f>--(AL185=O185)</x:f>
        <x:v>1</x:v>
      </x:c>
    </x:row>
    <x:row r="186" ht="32" customHeight="1">
      <x:c r="A186" s="56" t="str">
        <x:v>3463</x:v>
      </x:c>
      <x:c r="B186" s="56" t="str">
        <x:v>8820</x:v>
      </x:c>
      <x:c r="C186" s="56" t="str">
        <x:v>7128</x:v>
      </x:c>
      <x:c r="D186" s="56" t="str">
        <x:v>Trevallyn Tuff</x:v>
      </x:c>
      <x:c r="E186" s="56" t="str">
        <x:v>-30.200001</x:v>
      </x:c>
      <x:c r="F186" s="56" t="str">
        <x:v>150.3</x:v>
      </x:c>
      <x:c r="G186" s="56" t="str">
        <x:v>P2 component</x:v>
      </x:c>
      <x:c r="H186" s="56" t="str">
        <x:v>167.8</x:v>
      </x:c>
      <x:c r="I186" s="56" t="str">
        <x:v>73.900002</x:v>
      </x:c>
      <x:c r="J186" s="56" t="str">
        <x:v>59.099998</x:v>
      </x:c>
      <x:c r="K186" s="56" t="str">
        <x:v>342.20001</x:v>
      </x:c>
      <x:c r="L186" s="56" t="str">
        <x:v>D</x:v>
      </x:c>
      <x:c r="M186" s="59" t="str"/>
      <x:c r="N186" s="56" t="n">
        <x:f>--(LEN(M186)&gt;0)</x:f>
        <x:v>0</x:v>
      </x:c>
      <x:c r="O186" s="56" t="n">
        <x:v>0</x:v>
      </x:c>
      <x:c r="P186" s="56" t="n">
        <x:f>--(N186=O186)</x:f>
        <x:v>1</x:v>
      </x:c>
      <x:c r="Q186" s="56" t="str">
        <x:v>ABSTAIN_INSUFFICIENT</x:v>
      </x:c>
      <x:c r="R186" s="59" t="str"/>
      <x:c r="S186" s="59" t="str"/>
      <x:c r="T186" s="56" t="n">
        <x:f>--(Q186="PRESENT")</x:f>
        <x:v>0</x:v>
      </x:c>
      <x:c r="U186" s="56" t="n">
        <x:f>--(T186=N186)</x:f>
        <x:v>1</x:v>
      </x:c>
      <x:c r="V186" s="56" t="n">
        <x:f>--(T186=O186)</x:f>
        <x:v>1</x:v>
      </x:c>
      <x:c r="W186" s="56" t="n">
        <x:f>--(OR(Q186="PRESENT",Q186="ABSENT"))</x:f>
        <x:v>0</x:v>
      </x:c>
      <x:c r="X186" s="56" t="str">
        <x:v>LOW</x:v>
      </x:c>
      <x:c r="Y186" s="56" t="str">
        <x:v>METADATA_UNIQUE</x:v>
      </x:c>
      <x:c r="Z186" s="57" t="b">
        <x:v>1</x:v>
      </x:c>
      <x:c r="AA186" s="57" t="b">
        <x:v>1</x:v>
      </x:c>
      <x:c r="AB186" s="56" t="n">
        <x:v>0</x:v>
      </x:c>
      <x:c r="AC186" s="56" t="str"/>
      <x:c r="AD186" s="56" t="str"/>
      <x:c r="AE186" s="56" t="str"/>
      <x:c r="AF186" s="56" t="str"/>
      <x:c r="AG186" s="59" t="str"/>
      <x:c r="AH186" s="58" t="n">
        <x:v>0.8722228300996089</x:v>
      </x:c>
      <x:c r="AI186" s="56" t="n">
        <x:f>--(AH186&gt;=0.5)</x:f>
        <x:v>1</x:v>
      </x:c>
      <x:c r="AJ186" s="56" t="n">
        <x:f>--(AI186=O186)</x:f>
        <x:v>0</x:v>
      </x:c>
      <x:c r="AK186" s="58" t="n">
        <x:v>0.8883073875182212</x:v>
      </x:c>
      <x:c r="AL186" s="56" t="n">
        <x:f>--(AK186&gt;=0.5)</x:f>
        <x:v>1</x:v>
      </x:c>
      <x:c r="AM186" s="56" t="n">
        <x:f>--(AL186=O186)</x:f>
        <x:v>0</x:v>
      </x:c>
    </x:row>
    <x:row r="187" ht="32" customHeight="1">
      <x:c r="A187" s="56" t="str">
        <x:v>3463</x:v>
      </x:c>
      <x:c r="B187" s="56" t="str">
        <x:v>8821</x:v>
      </x:c>
      <x:c r="C187" s="56" t="str">
        <x:v>7129</x:v>
      </x:c>
      <x:c r="D187" s="56" t="str">
        <x:v>Rocky Creek Conglomerate</x:v>
      </x:c>
      <x:c r="E187" s="56" t="str">
        <x:v>-30.1</x:v>
      </x:c>
      <x:c r="F187" s="56" t="str">
        <x:v>150.3</x:v>
      </x:c>
      <x:c r="G187" s="56" t="str">
        <x:v>P2 component</x:v>
      </x:c>
      <x:c r="H187" s="56" t="str">
        <x:v>195</x:v>
      </x:c>
      <x:c r="I187" s="56" t="str">
        <x:v>74.300003</x:v>
      </x:c>
      <x:c r="J187" s="56" t="str">
        <x:v>57.599998</x:v>
      </x:c>
      <x:c r="K187" s="56" t="str">
        <x:v>316.5</x:v>
      </x:c>
      <x:c r="L187" s="56" t="str">
        <x:v>V</x:v>
      </x:c>
      <x:c r="M187" s="59" t="str">
        <x:v>SUSC-T(MAGN)</x:v>
      </x:c>
      <x:c r="N187" s="56" t="n">
        <x:f>--(LEN(M187)&gt;0)</x:f>
        <x:v>1</x:v>
      </x:c>
      <x:c r="O187" s="56" t="n">
        <x:v>1</x:v>
      </x:c>
      <x:c r="P187" s="56" t="n">
        <x:f>--(N187=O187)</x:f>
        <x:v>1</x:v>
      </x:c>
      <x:c r="Q187" s="56" t="str">
        <x:v>ABSTAIN_INSUFFICIENT</x:v>
      </x:c>
      <x:c r="R187" s="59" t="str"/>
      <x:c r="S187" s="59" t="str"/>
      <x:c r="T187" s="56" t="n">
        <x:f>--(Q187="PRESENT")</x:f>
        <x:v>0</x:v>
      </x:c>
      <x:c r="U187" s="56" t="n">
        <x:f>--(T187=N187)</x:f>
        <x:v>0</x:v>
      </x:c>
      <x:c r="V187" s="56" t="n">
        <x:f>--(T187=O187)</x:f>
        <x:v>0</x:v>
      </x:c>
      <x:c r="W187" s="56" t="n">
        <x:f>--(OR(Q187="PRESENT",Q187="ABSENT"))</x:f>
        <x:v>0</x:v>
      </x:c>
      <x:c r="X187" s="56" t="str">
        <x:v>LOW</x:v>
      </x:c>
      <x:c r="Y187" s="56" t="str">
        <x:v>PAPER_ROW_MATCH</x:v>
      </x:c>
      <x:c r="Z187" s="57" t="b">
        <x:v>1</x:v>
      </x:c>
      <x:c r="AA187" s="57" t="b">
        <x:v>1</x:v>
      </x:c>
      <x:c r="AB187" s="56" t="n">
        <x:v>0</x:v>
      </x:c>
      <x:c r="AC187" s="56" t="str"/>
      <x:c r="AD187" s="56" t="str"/>
      <x:c r="AE187" s="56" t="str"/>
      <x:c r="AF187" s="56" t="str">
        <x:v>23, 24</x:v>
      </x:c>
      <x:c r="AG187" s="59" t="str">
        <x:v>p.23: show the general presence of two (P1, P2), occasionally three (P0, P1, P2), HT ‘components’ of successively harder thermal characteristics (Tables 2, 5*) that are removed in magnetite and hematite unblocking temperature ranges between 400°C and 700°C. The magnet- ically hardest P2 components (Table 2) consistently show a shift toward more westerly declinations than for the P1 components with little change in inclination (Figure 14a; Table 3). Mean site results for the P2 components show better g | p.24: (sites 2–4, Table 7*). West Lynne Rhyodacite (sites 11–13) Pole positions for these three sites disperse upon bedding correction and no representative primary magnetisation direction or pole position could be identified (see Appendix 1*). Ermelo Pyroclastics (sites 14–21) Two sites only , 14 and less clearly 15 (Table 2), show an inter- pretable, rather soft, magnetite component of normal polarity that could be taken as a primary magnetisation for reason that its, ill-defined, pole locates close | p.24: isperse upon bedding correction and no representative primary magnetisation direction or pole position could be identified (see Appendix 1*). Ermelo Pyroclastics (sites 14–21) Two sites only , 14 and less clearly 15 (Table 2), show an inter- pretable, rather soft, magnetite component of normal polarity that could be taken as a primary magnetisation for reason that its, ill-defined, pole locates close to, and on the younger side of, the well-defined pole for the Yuendoo Rhyolite. CLIFDEN FORMATIO</x:v>
      </x:c>
      <x:c r="AH187" s="58" t="n">
        <x:v>0.9614831598776452</x:v>
      </x:c>
      <x:c r="AI187" s="56" t="n">
        <x:f>--(AH187&gt;=0.5)</x:f>
        <x:v>1</x:v>
      </x:c>
      <x:c r="AJ187" s="56" t="n">
        <x:f>--(AI187=O187)</x:f>
        <x:v>1</x:v>
      </x:c>
      <x:c r="AK187" s="58" t="n">
        <x:v>0.963011925027845</x:v>
      </x:c>
      <x:c r="AL187" s="56" t="n">
        <x:f>--(AK187&gt;=0.5)</x:f>
        <x:v>1</x:v>
      </x:c>
      <x:c r="AM187" s="56" t="n">
        <x:f>--(AL187=O187)</x:f>
        <x:v>1</x:v>
      </x:c>
    </x:row>
    <x:row r="188" ht="32" customHeight="1">
      <x:c r="A188" s="56" t="str">
        <x:v>3463</x:v>
      </x:c>
      <x:c r="B188" s="56" t="str">
        <x:v>8822</x:v>
      </x:c>
      <x:c r="C188" s="56" t="str">
        <x:v>7130</x:v>
      </x:c>
      <x:c r="D188" s="56" t="str">
        <x:v>Lark Hill Formation</x:v>
      </x:c>
      <x:c r="E188" s="56" t="str">
        <x:v>-29.9</x:v>
      </x:c>
      <x:c r="F188" s="56" t="str">
        <x:v>150.3</x:v>
      </x:c>
      <x:c r="G188" s="56" t="str">
        <x:v>P2 component</x:v>
      </x:c>
      <x:c r="H188" s="56" t="str">
        <x:v>217.7</x:v>
      </x:c>
      <x:c r="I188" s="56" t="str">
        <x:v>76.400002</x:v>
      </x:c>
      <x:c r="J188" s="56" t="str">
        <x:v>50.400002</x:v>
      </x:c>
      <x:c r="K188" s="56" t="str">
        <x:v>307</x:v>
      </x:c>
      <x:c r="L188" s="56" t="str">
        <x:v>V</x:v>
      </x:c>
      <x:c r="M188" s="59" t="str"/>
      <x:c r="N188" s="56" t="n">
        <x:f>--(LEN(M188)&gt;0)</x:f>
        <x:v>0</x:v>
      </x:c>
      <x:c r="O188" s="56" t="n">
        <x:v>0</x:v>
      </x:c>
      <x:c r="P188" s="56" t="n">
        <x:f>--(N188=O188)</x:f>
        <x:v>1</x:v>
      </x:c>
      <x:c r="Q188" s="56" t="str">
        <x:v>PRESENT</x:v>
      </x:c>
      <x:c r="R188" s="59" t="str">
        <x:v>IRM(MAGN,HEM)</x:v>
      </x:c>
      <x:c r="S188" s="59" t="str">
        <x:v>IRM(MAGN,HEM)</x:v>
      </x:c>
      <x:c r="T188" s="56" t="n">
        <x:f>--(Q188="PRESENT")</x:f>
        <x:v>1</x:v>
      </x:c>
      <x:c r="U188" s="56" t="n">
        <x:f>--(T188=N188)</x:f>
        <x:v>0</x:v>
      </x:c>
      <x:c r="V188" s="56" t="n">
        <x:f>--(T188=O188)</x:f>
        <x:v>0</x:v>
      </x:c>
      <x:c r="W188" s="56" t="n">
        <x:f>--(OR(Q188="PRESENT",Q188="ABSENT"))</x:f>
        <x:v>1</x:v>
      </x:c>
      <x:c r="X188" s="56" t="str">
        <x:v>HIGH</x:v>
      </x:c>
      <x:c r="Y188" s="56" t="str">
        <x:v>PAPER_ROW_MATCH</x:v>
      </x:c>
      <x:c r="Z188" s="57" t="b">
        <x:v>1</x:v>
      </x:c>
      <x:c r="AA188" s="57" t="b">
        <x:v>1</x:v>
      </x:c>
      <x:c r="AB188" s="56" t="n">
        <x:v>0</x:v>
      </x:c>
      <x:c r="AC188" s="56" t="str">
        <x:v>IRM</x:v>
      </x:c>
      <x:c r="AD188" s="56" t="str">
        <x:v>MAGN,HEM</x:v>
      </x:c>
      <x:c r="AE188" s="56" t="str">
        <x:v>MD</x:v>
      </x:c>
      <x:c r="AF188" s="56" t="str">
        <x:v>15, 16, 24</x:v>
      </x:c>
      <x:c r="AG188" s="59" t="str">
        <x:v>p.16: IRM | p.16: isothermal remanent magnetisation | p.16: The MD magnetite signature shows up more consistently in the volcaniclastic rocks (e.g. in the matrix of the conglomerate horizon in the Lark Hill Formation from the Tops Road section).</x:v>
      </x:c>
      <x:c r="AH188" s="58" t="n">
        <x:v>0.9336692305396842</x:v>
      </x:c>
      <x:c r="AI188" s="56" t="n">
        <x:f>--(AH188&gt;=0.5)</x:f>
        <x:v>1</x:v>
      </x:c>
      <x:c r="AJ188" s="56" t="n">
        <x:f>--(AI188=O188)</x:f>
        <x:v>0</x:v>
      </x:c>
      <x:c r="AK188" s="58" t="n">
        <x:v>0.9002598105326677</x:v>
      </x:c>
      <x:c r="AL188" s="56" t="n">
        <x:f>--(AK188&gt;=0.5)</x:f>
        <x:v>1</x:v>
      </x:c>
      <x:c r="AM188" s="56" t="n">
        <x:f>--(AL188=O188)</x:f>
        <x:v>0</x:v>
      </x:c>
    </x:row>
    <x:row r="189" ht="32" customHeight="1">
      <x:c r="A189" s="56" t="str">
        <x:v>3483</x:v>
      </x:c>
      <x:c r="B189" s="56" t="str">
        <x:v>8860</x:v>
      </x:c>
      <x:c r="C189" s="56" t="str">
        <x:v>7158</x:v>
      </x:c>
      <x:c r="D189" s="56" t="str">
        <x:v>Coyol Group</x:v>
      </x:c>
      <x:c r="E189" s="56" t="str">
        <x:v>12.5</x:v>
      </x:c>
      <x:c r="F189" s="56" t="str">
        <x:v>-85.300003</x:v>
      </x:c>
      <x:c r="G189" s="56" t="str"/>
      <x:c r="H189" s="56" t="str">
        <x:v>180.2</x:v>
      </x:c>
      <x:c r="I189" s="56" t="str">
        <x:v>-2.8</x:v>
      </x:c>
      <x:c r="J189" s="56" t="str">
        <x:v>78.900002</x:v>
      </x:c>
      <x:c r="K189" s="56" t="str">
        <x:v>93.5</x:v>
      </x:c>
      <x:c r="L189" s="56" t="str">
        <x:v>V</x:v>
      </x:c>
      <x:c r="M189" s="59" t="str">
        <x:v>OP(MAGN)</x:v>
      </x:c>
      <x:c r="N189" s="56" t="n">
        <x:f>--(LEN(M189)&gt;0)</x:f>
        <x:v>1</x:v>
      </x:c>
      <x:c r="O189" s="56" t="n">
        <x:v>1</x:v>
      </x:c>
      <x:c r="P189" s="56" t="n">
        <x:f>--(N189=O189)</x:f>
        <x:v>1</x:v>
      </x:c>
      <x:c r="Q189" s="56" t="str">
        <x:v>PRESENT</x:v>
      </x:c>
      <x:c r="R189" s="59" t="str">
        <x:v>X-RAY(MAGN,HEM,MAGH)</x:v>
      </x:c>
      <x:c r="S189" s="59" t="str">
        <x:v>X-RAY(MAGN,HEM,MAGH)</x:v>
      </x:c>
      <x:c r="T189" s="56" t="n">
        <x:f>--(Q189="PRESENT")</x:f>
        <x:v>1</x:v>
      </x:c>
      <x:c r="U189" s="56" t="n">
        <x:f>--(T189=N189)</x:f>
        <x:v>1</x:v>
      </x:c>
      <x:c r="V189" s="56" t="n">
        <x:f>--(T189=O189)</x:f>
        <x:v>1</x:v>
      </x:c>
      <x:c r="W189" s="56" t="n">
        <x:f>--(OR(Q189="PRESENT",Q189="ABSENT"))</x:f>
        <x:v>1</x:v>
      </x:c>
      <x:c r="X189" s="56" t="str">
        <x:v>MEDIUM</x:v>
      </x:c>
      <x:c r="Y189" s="56" t="str">
        <x:v>METADATA_UNIQUE</x:v>
      </x:c>
      <x:c r="Z189" s="57" t="b">
        <x:v>1</x:v>
      </x:c>
      <x:c r="AA189" s="57" t="b">
        <x:v>1</x:v>
      </x:c>
      <x:c r="AB189" s="56" t="n">
        <x:v>0</x:v>
      </x:c>
      <x:c r="AC189" s="56" t="str">
        <x:v>X-RAY</x:v>
      </x:c>
      <x:c r="AD189" s="56" t="str">
        <x:v>MAGN,HEM,MAGH</x:v>
      </x:c>
      <x:c r="AE189" s="56" t="str"/>
      <x:c r="AF189" s="56" t="str">
        <x:v>3, 4</x:v>
      </x:c>
      <x:c r="AG189" s="59" t="str">
        <x:v>p.4: X-ray diffraction | p.3: magnetite | p.3: haematite</x:v>
      </x:c>
      <x:c r="AH189" s="58" t="n">
        <x:v>0.40832753732424537</x:v>
      </x:c>
      <x:c r="AI189" s="56" t="n">
        <x:f>--(AH189&gt;=0.5)</x:f>
        <x:v>0</x:v>
      </x:c>
      <x:c r="AJ189" s="56" t="n">
        <x:f>--(AI189=O189)</x:f>
        <x:v>0</x:v>
      </x:c>
      <x:c r="AK189" s="58" t="n">
        <x:v>0.6405846939124407</x:v>
      </x:c>
      <x:c r="AL189" s="56" t="n">
        <x:f>--(AK189&gt;=0.5)</x:f>
        <x:v>1</x:v>
      </x:c>
      <x:c r="AM189" s="56" t="n">
        <x:f>--(AL189=O189)</x:f>
        <x:v>1</x:v>
      </x:c>
    </x:row>
    <x:row r="190" ht="32" customHeight="1">
      <x:c r="A190" s="56" t="str">
        <x:v>3483</x:v>
      </x:c>
      <x:c r="B190" s="56" t="str">
        <x:v>8861</x:v>
      </x:c>
      <x:c r="C190" s="56" t="str">
        <x:v>7159</x:v>
      </x:c>
      <x:c r="D190" s="56" t="str">
        <x:v>La Batea Formation</x:v>
      </x:c>
      <x:c r="E190" s="56" t="str">
        <x:v>12</x:v>
      </x:c>
      <x:c r="F190" s="56" t="str">
        <x:v>-84.699997</x:v>
      </x:c>
      <x:c r="G190" s="56" t="str"/>
      <x:c r="H190" s="56" t="str">
        <x:v>148.8</x:v>
      </x:c>
      <x:c r="I190" s="56" t="str">
        <x:v>5.9000001</x:v>
      </x:c>
      <x:c r="J190" s="56" t="str">
        <x:v>55.599998</x:v>
      </x:c>
      <x:c r="K190" s="56" t="str">
        <x:v>161.2</x:v>
      </x:c>
      <x:c r="L190" s="56" t="str">
        <x:v>V</x:v>
      </x:c>
      <x:c r="M190" s="59" t="str">
        <x:v>OP(MAGN)</x:v>
      </x:c>
      <x:c r="N190" s="56" t="n">
        <x:f>--(LEN(M190)&gt;0)</x:f>
        <x:v>1</x:v>
      </x:c>
      <x:c r="O190" s="56" t="n">
        <x:v>1</x:v>
      </x:c>
      <x:c r="P190" s="56" t="n">
        <x:f>--(N190=O190)</x:f>
        <x:v>1</x:v>
      </x:c>
      <x:c r="Q190" s="56" t="str">
        <x:v>ABSTAIN_INSUFFICIENT</x:v>
      </x:c>
      <x:c r="R190" s="59" t="str"/>
      <x:c r="S190" s="59" t="str"/>
      <x:c r="T190" s="56" t="n">
        <x:f>--(Q190="PRESENT")</x:f>
        <x:v>0</x:v>
      </x:c>
      <x:c r="U190" s="56" t="n">
        <x:f>--(T190=N190)</x:f>
        <x:v>0</x:v>
      </x:c>
      <x:c r="V190" s="56" t="n">
        <x:f>--(T190=O190)</x:f>
        <x:v>0</x:v>
      </x:c>
      <x:c r="W190" s="56" t="n">
        <x:f>--(OR(Q190="PRESENT",Q190="ABSENT"))</x:f>
        <x:v>0</x:v>
      </x:c>
      <x:c r="X190" s="56" t="str">
        <x:v>LOW</x:v>
      </x:c>
      <x:c r="Y190" s="56" t="str">
        <x:v>METADATA_UNIQUE</x:v>
      </x:c>
      <x:c r="Z190" s="57" t="b">
        <x:v>1</x:v>
      </x:c>
      <x:c r="AA190" s="57" t="b">
        <x:v>1</x:v>
      </x:c>
      <x:c r="AB190" s="56" t="n">
        <x:v>0</x:v>
      </x:c>
      <x:c r="AC190" s="56" t="str"/>
      <x:c r="AD190" s="56" t="str"/>
      <x:c r="AE190" s="56" t="str"/>
      <x:c r="AF190" s="56" t="str"/>
      <x:c r="AG190" s="59" t="str"/>
      <x:c r="AH190" s="58" t="n">
        <x:v>0.4417183233854261</x:v>
      </x:c>
      <x:c r="AI190" s="56" t="n">
        <x:f>--(AH190&gt;=0.5)</x:f>
        <x:v>0</x:v>
      </x:c>
      <x:c r="AJ190" s="56" t="n">
        <x:f>--(AI190=O190)</x:f>
        <x:v>0</x:v>
      </x:c>
      <x:c r="AK190" s="58" t="n">
        <x:v>0.07009884350433734</x:v>
      </x:c>
      <x:c r="AL190" s="56" t="n">
        <x:f>--(AK190&gt;=0.5)</x:f>
        <x:v>0</x:v>
      </x:c>
      <x:c r="AM190" s="56" t="n">
        <x:f>--(AL190=O190)</x:f>
        <x:v>0</x:v>
      </x:c>
    </x:row>
    <x:row r="191" ht="32" customHeight="1">
      <x:c r="A191" s="56" t="str">
        <x:v>3483</x:v>
      </x:c>
      <x:c r="B191" s="56" t="str">
        <x:v>8862</x:v>
      </x:c>
      <x:c r="C191" s="56" t="str">
        <x:v>7160</x:v>
      </x:c>
      <x:c r="D191" s="56" t="str">
        <x:v>Matagalpa Group, sites 8,9,12</x:v>
      </x:c>
      <x:c r="E191" s="56" t="str">
        <x:v>12.7</x:v>
      </x:c>
      <x:c r="F191" s="56" t="str">
        <x:v>-85.400002</x:v>
      </x:c>
      <x:c r="G191" s="56" t="str"/>
      <x:c r="H191" s="56" t="str">
        <x:v>130.3</x:v>
      </x:c>
      <x:c r="I191" s="56" t="str">
        <x:v>-15</x:v>
      </x:c>
      <x:c r="J191" s="56" t="str">
        <x:v>40.900002</x:v>
      </x:c>
      <x:c r="K191" s="56" t="str">
        <x:v>183.8</x:v>
      </x:c>
      <x:c r="L191" s="56" t="str">
        <x:v>V</x:v>
      </x:c>
      <x:c r="M191" s="59" t="str">
        <x:v>OP(MAGN)</x:v>
      </x:c>
      <x:c r="N191" s="56" t="n">
        <x:f>--(LEN(M191)&gt;0)</x:f>
        <x:v>1</x:v>
      </x:c>
      <x:c r="O191" s="56" t="n">
        <x:v>1</x:v>
      </x:c>
      <x:c r="P191" s="56" t="n">
        <x:f>--(N191=O191)</x:f>
        <x:v>1</x:v>
      </x:c>
      <x:c r="Q191" s="56" t="str">
        <x:v>ABSENT</x:v>
      </x:c>
      <x:c r="R191" s="59" t="str"/>
      <x:c r="S191" s="59" t="str"/>
      <x:c r="T191" s="56" t="n">
        <x:f>--(Q191="PRESENT")</x:f>
        <x:v>0</x:v>
      </x:c>
      <x:c r="U191" s="56" t="n">
        <x:f>--(T191=N191)</x:f>
        <x:v>0</x:v>
      </x:c>
      <x:c r="V191" s="56" t="n">
        <x:f>--(T191=O191)</x:f>
        <x:v>0</x:v>
      </x:c>
      <x:c r="W191" s="56" t="n">
        <x:f>--(OR(Q191="PRESENT",Q191="ABSENT"))</x:f>
        <x:v>1</x:v>
      </x:c>
      <x:c r="X191" s="56" t="str">
        <x:v>MEDIUM</x:v>
      </x:c>
      <x:c r="Y191" s="56" t="str">
        <x:v>METADATA_UNIQUE</x:v>
      </x:c>
      <x:c r="Z191" s="57" t="b">
        <x:v>1</x:v>
      </x:c>
      <x:c r="AA191" s="57" t="b">
        <x:v>1</x:v>
      </x:c>
      <x:c r="AB191" s="56" t="n">
        <x:v>0</x:v>
      </x:c>
      <x:c r="AC191" s="56" t="str"/>
      <x:c r="AD191" s="56" t="str"/>
      <x:c r="AE191" s="56" t="str"/>
      <x:c r="AF191" s="56" t="str"/>
      <x:c r="AG191" s="59" t="str"/>
      <x:c r="AH191" s="58" t="n">
        <x:v>0.4391313503713373</x:v>
      </x:c>
      <x:c r="AI191" s="56" t="n">
        <x:f>--(AH191&gt;=0.5)</x:f>
        <x:v>0</x:v>
      </x:c>
      <x:c r="AJ191" s="56" t="n">
        <x:f>--(AI191=O191)</x:f>
        <x:v>0</x:v>
      </x:c>
      <x:c r="AK191" s="58" t="n">
        <x:v>0.4558733790569944</x:v>
      </x:c>
      <x:c r="AL191" s="56" t="n">
        <x:f>--(AK191&gt;=0.5)</x:f>
        <x:v>0</x:v>
      </x:c>
      <x:c r="AM191" s="56" t="n">
        <x:f>--(AL191=O191)</x:f>
        <x:v>0</x:v>
      </x:c>
    </x:row>
    <x:row r="192" ht="32" customHeight="1">
      <x:c r="A192" s="56" t="str">
        <x:v>3483</x:v>
      </x:c>
      <x:c r="B192" s="56" t="str">
        <x:v>8863</x:v>
      </x:c>
      <x:c r="C192" s="56" t="str">
        <x:v>7161</x:v>
      </x:c>
      <x:c r="D192" s="56" t="str">
        <x:v>Matagalpa Group, sites 13,14</x:v>
      </x:c>
      <x:c r="E192" s="56" t="str">
        <x:v>12.4</x:v>
      </x:c>
      <x:c r="F192" s="56" t="str">
        <x:v>-85.199997</x:v>
      </x:c>
      <x:c r="G192" s="56" t="str"/>
      <x:c r="H192" s="56" t="str">
        <x:v>92.900002</x:v>
      </x:c>
      <x:c r="I192" s="56" t="str">
        <x:v>-17.9</x:v>
      </x:c>
      <x:c r="J192" s="56" t="str">
        <x:v>4.8000002</x:v>
      </x:c>
      <x:c r="K192" s="56" t="str">
        <x:v>192.89999</x:v>
      </x:c>
      <x:c r="L192" s="56" t="str">
        <x:v>V</x:v>
      </x:c>
      <x:c r="M192" s="59" t="str">
        <x:v>OP(MAGN)</x:v>
      </x:c>
      <x:c r="N192" s="56" t="n">
        <x:f>--(LEN(M192)&gt;0)</x:f>
        <x:v>1</x:v>
      </x:c>
      <x:c r="O192" s="56" t="n">
        <x:v>1</x:v>
      </x:c>
      <x:c r="P192" s="56" t="n">
        <x:f>--(N192=O192)</x:f>
        <x:v>1</x:v>
      </x:c>
      <x:c r="Q192" s="56" t="str">
        <x:v>ABSENT</x:v>
      </x:c>
      <x:c r="R192" s="59" t="str"/>
      <x:c r="S192" s="59" t="str"/>
      <x:c r="T192" s="56" t="n">
        <x:f>--(Q192="PRESENT")</x:f>
        <x:v>0</x:v>
      </x:c>
      <x:c r="U192" s="56" t="n">
        <x:f>--(T192=N192)</x:f>
        <x:v>0</x:v>
      </x:c>
      <x:c r="V192" s="56" t="n">
        <x:f>--(T192=O192)</x:f>
        <x:v>0</x:v>
      </x:c>
      <x:c r="W192" s="56" t="n">
        <x:f>--(OR(Q192="PRESENT",Q192="ABSENT"))</x:f>
        <x:v>1</x:v>
      </x:c>
      <x:c r="X192" s="56" t="str">
        <x:v>MEDIUM</x:v>
      </x:c>
      <x:c r="Y192" s="56" t="str">
        <x:v>METADATA_UNIQUE</x:v>
      </x:c>
      <x:c r="Z192" s="57" t="b">
        <x:v>1</x:v>
      </x:c>
      <x:c r="AA192" s="57" t="b">
        <x:v>1</x:v>
      </x:c>
      <x:c r="AB192" s="56" t="n">
        <x:v>0</x:v>
      </x:c>
      <x:c r="AC192" s="56" t="str"/>
      <x:c r="AD192" s="56" t="str"/>
      <x:c r="AE192" s="56" t="str"/>
      <x:c r="AF192" s="56" t="str"/>
      <x:c r="AG192" s="59" t="str"/>
      <x:c r="AH192" s="58" t="n">
        <x:v>0.4405687840840503</x:v>
      </x:c>
      <x:c r="AI192" s="56" t="n">
        <x:f>--(AH192&gt;=0.5)</x:f>
        <x:v>0</x:v>
      </x:c>
      <x:c r="AJ192" s="56" t="n">
        <x:f>--(AI192=O192)</x:f>
        <x:v>0</x:v>
      </x:c>
      <x:c r="AK192" s="58" t="n">
        <x:v>0.46702340674286885</x:v>
      </x:c>
      <x:c r="AL192" s="56" t="n">
        <x:f>--(AK192&gt;=0.5)</x:f>
        <x:v>0</x:v>
      </x:c>
      <x:c r="AM192" s="56" t="n">
        <x:f>--(AL192=O192)</x:f>
        <x:v>0</x:v>
      </x:c>
    </x:row>
    <x:row r="193" ht="32" customHeight="1">
      <x:c r="A193" s="56" t="str">
        <x:v>3483</x:v>
      </x:c>
      <x:c r="B193" s="56" t="str">
        <x:v>8864</x:v>
      </x:c>
      <x:c r="C193" s="56" t="str">
        <x:v>7162</x:v>
      </x:c>
      <x:c r="D193" s="56" t="str">
        <x:v>Tamarindo Formation</x:v>
      </x:c>
      <x:c r="E193" s="56" t="str">
        <x:v>12.3</x:v>
      </x:c>
      <x:c r="F193" s="56" t="str">
        <x:v>-86.800003</x:v>
      </x:c>
      <x:c r="G193" s="56" t="str"/>
      <x:c r="H193" s="56" t="str">
        <x:v>2</x:v>
      </x:c>
      <x:c r="I193" s="56" t="str">
        <x:v>21.6</x:v>
      </x:c>
      <x:c r="J193" s="56" t="str">
        <x:v>87.699997</x:v>
      </x:c>
      <x:c r="K193" s="56" t="str">
        <x:v>34.299999</x:v>
      </x:c>
      <x:c r="L193" s="56" t="str">
        <x:v>V</x:v>
      </x:c>
      <x:c r="M193" s="59" t="str">
        <x:v>OP(MAGN)</x:v>
      </x:c>
      <x:c r="N193" s="56" t="n">
        <x:f>--(LEN(M193)&gt;0)</x:f>
        <x:v>1</x:v>
      </x:c>
      <x:c r="O193" s="56" t="n">
        <x:v>1</x:v>
      </x:c>
      <x:c r="P193" s="56" t="n">
        <x:f>--(N193=O193)</x:f>
        <x:v>1</x:v>
      </x:c>
      <x:c r="Q193" s="56" t="str">
        <x:v>ABSTAIN_INSUFFICIENT</x:v>
      </x:c>
      <x:c r="R193" s="59" t="str"/>
      <x:c r="S193" s="59" t="str"/>
      <x:c r="T193" s="56" t="n">
        <x:f>--(Q193="PRESENT")</x:f>
        <x:v>0</x:v>
      </x:c>
      <x:c r="U193" s="56" t="n">
        <x:f>--(T193=N193)</x:f>
        <x:v>0</x:v>
      </x:c>
      <x:c r="V193" s="56" t="n">
        <x:f>--(T193=O193)</x:f>
        <x:v>0</x:v>
      </x:c>
      <x:c r="W193" s="56" t="n">
        <x:f>--(OR(Q193="PRESENT",Q193="ABSENT"))</x:f>
        <x:v>0</x:v>
      </x:c>
      <x:c r="X193" s="56" t="str">
        <x:v>LOW</x:v>
      </x:c>
      <x:c r="Y193" s="56" t="str">
        <x:v>PAPER_ROW_MATCH</x:v>
      </x:c>
      <x:c r="Z193" s="57" t="b">
        <x:v>1</x:v>
      </x:c>
      <x:c r="AA193" s="57" t="b">
        <x:v>1</x:v>
      </x:c>
      <x:c r="AB193" s="56" t="n">
        <x:v>0</x:v>
      </x:c>
      <x:c r="AC193" s="56" t="str"/>
      <x:c r="AD193" s="56" t="str"/>
      <x:c r="AE193" s="56" t="str"/>
      <x:c r="AF193" s="56" t="str">
        <x:v>8, 10, 11</x:v>
      </x:c>
      <x:c r="AG193" s="59" t="str">
        <x:v>p.8: at temperatures between 300 and 450 uC. This magnetization, which is of reversed polarity, was deﬁned during thermal demagnetization in 10 of the 24 samples collected at this site. No stable magnetization was isolated during AF demagnetization. The bedding dipsc. 13uSW and the corrected mean direction (D=176u, I=6u; Table 2) has a shallow inclination. No signiﬁcant directional difference can Table 2. Palaeomagnetic site mean directions and calculated pole positions. Site nD /I a95 k P Plat /Plon | p.8: 4.3 103 R 48 /157 3.2 Bat. Fm., basalt 17 7 334 /2 5.6 116 N 62 /164 4.0 Bat. Fm., andesite 18 9 178 /19 2.4 480 R 69 /102 1.8 Basalt, El Bluff Paciﬁc Coastal Plain 19 5 356 /34 13.1 35 N 82 /244 11.3 Rivas Fm., dyke 20 7 184 / x23 7.5 65 C 86 /355 5.3 Rivas Fm., dyke 21 5 192 / x17 12.3 40 C 75 /7 9.3 Brito Fm. 22 4 015 /7 24.4 15 C 73 /30 17.4 Brito Fm. 23 10 176 /6 13.4 14 R 75 /111 9.5 Brito Fm. 24a 18 010 /28 4.7 55 N 80 /343 3.8 Brito Fm. 24b 11 009 /4 5.2 77 N 77 /49 3.7 High Hc. 25 19 18 | p.10: ean (B 2: D=5.8u, I=7.9u; Table 3) is not signiﬁcantly different from the former mean (B 1) and the precision ( k=39.5) is similar. If the poorly deﬁned direction for site 22 is excluded, the mean direction is similar (B 1: D=3.4u, I=8.0u;T a b l e 3 ) ,b u t ,t h e Table 3. Mean directions of sites and calculated grand mean poles for the different rock groups /formations. Sites N /nD I a95 k P Plat. /Plon. A95 Age(Myr) Nicaraguan Highland COYOL GROUP 2,3,4,7,10,11,18 7* /47 180.2 x2.8 11.9 27 C</x:v>
      </x:c>
      <x:c r="AH193" s="58" t="n">
        <x:v>0.4273851072355879</x:v>
      </x:c>
      <x:c r="AI193" s="56" t="n">
        <x:f>--(AH193&gt;=0.5)</x:f>
        <x:v>0</x:v>
      </x:c>
      <x:c r="AJ193" s="56" t="n">
        <x:f>--(AI193=O193)</x:f>
        <x:v>0</x:v>
      </x:c>
      <x:c r="AK193" s="58" t="n">
        <x:v>0.5447911355028505</x:v>
      </x:c>
      <x:c r="AL193" s="56" t="n">
        <x:f>--(AK193&gt;=0.5)</x:f>
        <x:v>1</x:v>
      </x:c>
      <x:c r="AM193" s="56" t="n">
        <x:f>--(AL193=O193)</x:f>
        <x:v>1</x:v>
      </x:c>
    </x:row>
    <x:row r="194" ht="32" customHeight="1">
      <x:c r="A194" s="56" t="str">
        <x:v>3483</x:v>
      </x:c>
      <x:c r="B194" s="56" t="str">
        <x:v>8865</x:v>
      </x:c>
      <x:c r="C194" s="56" t="str">
        <x:v>7163</x:v>
      </x:c>
      <x:c r="D194" s="56" t="str">
        <x:v>Brito Formation</x:v>
      </x:c>
      <x:c r="E194" s="56" t="str">
        <x:v>11.4</x:v>
      </x:c>
      <x:c r="F194" s="56" t="str">
        <x:v>-86</x:v>
      </x:c>
      <x:c r="G194" s="56" t="str"/>
      <x:c r="H194" s="56" t="str">
        <x:v>5.8000002</x:v>
      </x:c>
      <x:c r="I194" s="56" t="str">
        <x:v>7.9000001</x:v>
      </x:c>
      <x:c r="J194" s="56" t="str">
        <x:v>80.800003</x:v>
      </x:c>
      <x:c r="K194" s="56" t="str">
        <x:v>55.299999</x:v>
      </x:c>
      <x:c r="L194" s="56" t="str">
        <x:v>V</x:v>
      </x:c>
      <x:c r="M194" s="59" t="str"/>
      <x:c r="N194" s="56" t="n">
        <x:f>--(LEN(M194)&gt;0)</x:f>
        <x:v>0</x:v>
      </x:c>
      <x:c r="O194" s="56" t="n">
        <x:v>0</x:v>
      </x:c>
      <x:c r="P194" s="56" t="n">
        <x:f>--(N194=O194)</x:f>
        <x:v>1</x:v>
      </x:c>
      <x:c r="Q194" s="56" t="str">
        <x:v>ABSTAIN_INSUFFICIENT</x:v>
      </x:c>
      <x:c r="R194" s="59" t="str"/>
      <x:c r="S194" s="59" t="str"/>
      <x:c r="T194" s="56" t="n">
        <x:f>--(Q194="PRESENT")</x:f>
        <x:v>0</x:v>
      </x:c>
      <x:c r="U194" s="56" t="n">
        <x:f>--(T194=N194)</x:f>
        <x:v>1</x:v>
      </x:c>
      <x:c r="V194" s="56" t="n">
        <x:f>--(T194=O194)</x:f>
        <x:v>1</x:v>
      </x:c>
      <x:c r="W194" s="56" t="n">
        <x:f>--(OR(Q194="PRESENT",Q194="ABSENT"))</x:f>
        <x:v>0</x:v>
      </x:c>
      <x:c r="X194" s="56" t="str">
        <x:v>LOW</x:v>
      </x:c>
      <x:c r="Y194" s="56" t="str">
        <x:v>PAPER_ROW_MATCH</x:v>
      </x:c>
      <x:c r="Z194" s="57" t="b">
        <x:v>1</x:v>
      </x:c>
      <x:c r="AA194" s="57" t="b">
        <x:v>1</x:v>
      </x:c>
      <x:c r="AB194" s="56" t="n">
        <x:v>0</x:v>
      </x:c>
      <x:c r="AC194" s="56" t="str"/>
      <x:c r="AD194" s="56" t="str"/>
      <x:c r="AE194" s="56" t="str"/>
      <x:c r="AF194" s="56" t="str">
        <x:v>4, 8</x:v>
      </x:c>
      <x:c r="AG194" s="59" t="str">
        <x:v>p.4: cted palaeomagnetic sites by the K–Ar and 40Ar /39Ar methods. Previous Rb–Sr and K–Ar dating of whole-rock and mineral phases (Zoppis Bracci 1961; Barr &amp; Escalante 1969; McBirney &amp; Williams 1965) from both the Highland and the Paciﬁc Coastal Plain were of poor resolution and indicate that many of the units may have been emplaced over a long duration. Dating the same samples and ﬂows for which we have stable magnetic directions allows us to avoid assigning ‘incorrect’ or estimated ages to the mag | p.8: g dipsc. 13uSW and the corrected mean direction (D=176u, I=6u; Table 2) has a shallow inclination. No signiﬁcant directional difference can Table 2. Palaeomagnetic site mean directions and calculated pole positions. Site nD /I a95 k P Plat /Plon A95 Comments Nicaraguan Highland 01 4 203 / x28 8.4 121 R 68 /355 6.8 Dacite 02 5 186 / x14 4.4 301 R 82 /49 3.2 L. Coyol, basalt 03 5 179 / x7 14.9 27 C 81 /103 10.6 L. Coyol, andesite 04 3 172 / x2 14.3 75 R 76 /135 10.1 Basalt, L. Coyol? 05 3 151 /18  | p.8: laeomagnetic site mean directions and calculated pole positions. Site nD /I a95 k P Plat /Plon A95 Comments Nicaraguan Highland 01 4 203 / x28 8.4 121 R 68 /355 6.8 Dacite 02 5 186 / x14 4.4 301 R 82 /49 3.2 L. Coyol, basalt 03 5 179 / x7 14.9 27 C 81 /103 10.6 L. Coyol, andesite 04 3 172 / x2 14.3 75 R 76 /135 10.1 Basalt, L. Coyol? 05 3 151 /18 14.9 69 R 57 /158 10.7 La Batea, basalt 06 5 346 /22 9.9 60 N 77 /186 7.7 Recent, basalt 07 5 179 / x27 7.1 117 R 89 /237 5.7 UCoyol?, dacite 08 9 130 </x:v>
      </x:c>
      <x:c r="AH194" s="58" t="n">
        <x:v>0.3659435381072288</x:v>
      </x:c>
      <x:c r="AI194" s="56" t="n">
        <x:f>--(AH194&gt;=0.5)</x:f>
        <x:v>0</x:v>
      </x:c>
      <x:c r="AJ194" s="56" t="n">
        <x:f>--(AI194=O194)</x:f>
        <x:v>1</x:v>
      </x:c>
      <x:c r="AK194" s="58" t="n">
        <x:v>0.4958949299071162</x:v>
      </x:c>
      <x:c r="AL194" s="56" t="n">
        <x:f>--(AK194&gt;=0.5)</x:f>
        <x:v>0</x:v>
      </x:c>
      <x:c r="AM194" s="56" t="n">
        <x:f>--(AL194=O194)</x:f>
        <x:v>1</x:v>
      </x:c>
    </x:row>
    <x:row r="195" ht="32" customHeight="1">
      <x:c r="A195" s="56" t="str">
        <x:v>3483</x:v>
      </x:c>
      <x:c r="B195" s="56" t="str">
        <x:v>8866</x:v>
      </x:c>
      <x:c r="C195" s="56" t="str">
        <x:v>7164</x:v>
      </x:c>
      <x:c r="D195" s="56" t="str">
        <x:v>Rivas Basic Intrusions</x:v>
      </x:c>
      <x:c r="E195" s="56" t="str">
        <x:v>11.4</x:v>
      </x:c>
      <x:c r="F195" s="56" t="str">
        <x:v>-85.900002</x:v>
      </x:c>
      <x:c r="G195" s="56" t="str"/>
      <x:c r="H195" s="56" t="str">
        <x:v>358.89999</x:v>
      </x:c>
      <x:c r="I195" s="56" t="str">
        <x:v>27.799999</x:v>
      </x:c>
      <x:c r="J195" s="56" t="str">
        <x:v>86.5</x:v>
      </x:c>
      <x:c r="K195" s="56" t="str">
        <x:v>256.70001</x:v>
      </x:c>
      <x:c r="L195" s="56" t="str">
        <x:v>V</x:v>
      </x:c>
      <x:c r="M195" s="59" t="str"/>
      <x:c r="N195" s="56" t="n">
        <x:f>--(LEN(M195)&gt;0)</x:f>
        <x:v>0</x:v>
      </x:c>
      <x:c r="O195" s="56" t="n">
        <x:v>0</x:v>
      </x:c>
      <x:c r="P195" s="56" t="n">
        <x:f>--(N195=O195)</x:f>
        <x:v>1</x:v>
      </x:c>
      <x:c r="Q195" s="56" t="str">
        <x:v>ABSTAIN_INSUFFICIENT</x:v>
      </x:c>
      <x:c r="R195" s="59" t="str"/>
      <x:c r="S195" s="59" t="str"/>
      <x:c r="T195" s="56" t="n">
        <x:f>--(Q195="PRESENT")</x:f>
        <x:v>0</x:v>
      </x:c>
      <x:c r="U195" s="56" t="n">
        <x:f>--(T195=N195)</x:f>
        <x:v>1</x:v>
      </x:c>
      <x:c r="V195" s="56" t="n">
        <x:f>--(T195=O195)</x:f>
        <x:v>1</x:v>
      </x:c>
      <x:c r="W195" s="56" t="n">
        <x:f>--(OR(Q195="PRESENT",Q195="ABSENT"))</x:f>
        <x:v>0</x:v>
      </x:c>
      <x:c r="X195" s="56" t="str">
        <x:v>LOW</x:v>
      </x:c>
      <x:c r="Y195" s="56" t="str">
        <x:v>METADATA_UNIQUE</x:v>
      </x:c>
      <x:c r="Z195" s="57" t="b">
        <x:v>1</x:v>
      </x:c>
      <x:c r="AA195" s="57" t="b">
        <x:v>1</x:v>
      </x:c>
      <x:c r="AB195" s="56" t="n">
        <x:v>0</x:v>
      </x:c>
      <x:c r="AC195" s="56" t="str"/>
      <x:c r="AD195" s="56" t="str"/>
      <x:c r="AE195" s="56" t="str"/>
      <x:c r="AF195" s="56" t="str"/>
      <x:c r="AG195" s="59" t="str"/>
      <x:c r="AH195" s="58" t="n">
        <x:v>0.4332911714988634</x:v>
      </x:c>
      <x:c r="AI195" s="56" t="n">
        <x:f>--(AH195&gt;=0.5)</x:f>
        <x:v>0</x:v>
      </x:c>
      <x:c r="AJ195" s="56" t="n">
        <x:f>--(AI195=O195)</x:f>
        <x:v>1</x:v>
      </x:c>
      <x:c r="AK195" s="58" t="n">
        <x:v>0.4884693554790869</x:v>
      </x:c>
      <x:c r="AL195" s="56" t="n">
        <x:f>--(AK195&gt;=0.5)</x:f>
        <x:v>0</x:v>
      </x:c>
      <x:c r="AM195" s="56" t="n">
        <x:f>--(AL195=O195)</x:f>
        <x:v>1</x:v>
      </x:c>
    </x:row>
    <x:row r="196" ht="32" customHeight="1">
      <x:c r="A196" s="56" t="str">
        <x:v>3497</x:v>
      </x:c>
      <x:c r="B196" s="56" t="str">
        <x:v>8904</x:v>
      </x:c>
      <x:c r="C196" s="56" t="str">
        <x:v>7199</x:v>
      </x:c>
      <x:c r="D196" s="56" t="str">
        <x:v>Laramine Range Gneiss</x:v>
      </x:c>
      <x:c r="E196" s="56" t="str">
        <x:v>42.5</x:v>
      </x:c>
      <x:c r="F196" s="56" t="str">
        <x:v>-105.5</x:v>
      </x:c>
      <x:c r="G196" s="56" t="str">
        <x:v>Overprint</x:v>
      </x:c>
      <x:c r="H196" s="56" t="str">
        <x:v>144.5</x:v>
      </x:c>
      <x:c r="I196" s="56" t="str">
        <x:v>-22.1</x:v>
      </x:c>
      <x:c r="J196" s="56" t="str">
        <x:v>46.299999</x:v>
      </x:c>
      <x:c r="K196" s="56" t="str">
        <x:v>130</x:v>
      </x:c>
      <x:c r="L196" s="56" t="str">
        <x:v>D</x:v>
      </x:c>
      <x:c r="M196" s="59" t="str"/>
      <x:c r="N196" s="56" t="n">
        <x:f>--(LEN(M196)&gt;0)</x:f>
        <x:v>0</x:v>
      </x:c>
      <x:c r="O196" s="56" t="n">
        <x:v>0</x:v>
      </x:c>
      <x:c r="P196" s="56" t="n">
        <x:f>--(N196=O196)</x:f>
        <x:v>1</x:v>
      </x:c>
      <x:c r="Q196" s="56" t="str">
        <x:v>PRESENT</x:v>
      </x:c>
      <x:c r="R196" s="59" t="str">
        <x:v>IRM,SUSC-T(HEM)</x:v>
      </x:c>
      <x:c r="S196" s="59" t="str">
        <x:v>IRM,SUSC-T(HEM)</x:v>
      </x:c>
      <x:c r="T196" s="56" t="n">
        <x:f>--(Q196="PRESENT")</x:f>
        <x:v>1</x:v>
      </x:c>
      <x:c r="U196" s="56" t="n">
        <x:f>--(T196=N196)</x:f>
        <x:v>0</x:v>
      </x:c>
      <x:c r="V196" s="56" t="n">
        <x:f>--(T196=O196)</x:f>
        <x:v>0</x:v>
      </x:c>
      <x:c r="W196" s="56" t="n">
        <x:f>--(OR(Q196="PRESENT",Q196="ABSENT"))</x:f>
        <x:v>1</x:v>
      </x:c>
      <x:c r="X196" s="56" t="str">
        <x:v>MEDIUM</x:v>
      </x:c>
      <x:c r="Y196" s="56" t="str">
        <x:v>METADATA_UNIQUE</x:v>
      </x:c>
      <x:c r="Z196" s="57" t="b">
        <x:v>1</x:v>
      </x:c>
      <x:c r="AA196" s="57" t="b">
        <x:v>1</x:v>
      </x:c>
      <x:c r="AB196" s="56" t="n">
        <x:v>0</x:v>
      </x:c>
      <x:c r="AC196" s="56" t="str">
        <x:v>IRM,SUSC-T</x:v>
      </x:c>
      <x:c r="AD196" s="56" t="str">
        <x:v>HEM</x:v>
      </x:c>
      <x:c r="AE196" s="56" t="str"/>
      <x:c r="AF196" s="56" t="str">
        <x:v>9</x:v>
      </x:c>
      <x:c r="AG196" s="59" t="str">
        <x:v>p.9: susceptibilityvs.temperature | p.9: IRM | p.9: hematite</x:v>
      </x:c>
      <x:c r="AH196" s="58" t="n">
        <x:v>0.8864454228639358</x:v>
      </x:c>
      <x:c r="AI196" s="56" t="n">
        <x:f>--(AH196&gt;=0.5)</x:f>
        <x:v>1</x:v>
      </x:c>
      <x:c r="AJ196" s="56" t="n">
        <x:f>--(AI196=O196)</x:f>
        <x:v>0</x:v>
      </x:c>
      <x:c r="AK196" s="58" t="n">
        <x:v>0.8776708084014023</x:v>
      </x:c>
      <x:c r="AL196" s="56" t="n">
        <x:f>--(AK196&gt;=0.5)</x:f>
        <x:v>1</x:v>
      </x:c>
      <x:c r="AM196" s="56" t="n">
        <x:f>--(AL196=O196)</x:f>
        <x:v>0</x:v>
      </x:c>
    </x:row>
    <x:row r="197" ht="32" customHeight="1">
      <x:c r="A197" s="56" t="str">
        <x:v>3497</x:v>
      </x:c>
      <x:c r="B197" s="56" t="str">
        <x:v>8905</x:v>
      </x:c>
      <x:c r="C197" s="56" t="str">
        <x:v>7200</x:v>
      </x:c>
      <x:c r="D197" s="56" t="str">
        <x:v>Sherman Granite</x:v>
      </x:c>
      <x:c r="E197" s="56" t="str">
        <x:v>41</x:v>
      </x:c>
      <x:c r="F197" s="56" t="str">
        <x:v>-105</x:v>
      </x:c>
      <x:c r="G197" s="56" t="str">
        <x:v>Overprint</x:v>
      </x:c>
      <x:c r="H197" s="56" t="str">
        <x:v>154.89999</x:v>
      </x:c>
      <x:c r="I197" s="56" t="str">
        <x:v>-16</x:v>
      </x:c>
      <x:c r="J197" s="56" t="str">
        <x:v>50.400002</x:v>
      </x:c>
      <x:c r="K197" s="56" t="str">
        <x:v>115.7</x:v>
      </x:c>
      <x:c r="L197" s="56" t="str">
        <x:v>D</x:v>
      </x:c>
      <x:c r="M197" s="59" t="str">
        <x:v>IRM(HEM)</x:v>
      </x:c>
      <x:c r="N197" s="56" t="n">
        <x:f>--(LEN(M197)&gt;0)</x:f>
        <x:v>1</x:v>
      </x:c>
      <x:c r="O197" s="56" t="n">
        <x:v>1</x:v>
      </x:c>
      <x:c r="P197" s="56" t="n">
        <x:f>--(N197=O197)</x:f>
        <x:v>1</x:v>
      </x:c>
      <x:c r="Q197" s="56" t="str">
        <x:v>PRESENT</x:v>
      </x:c>
      <x:c r="R197" s="59" t="str">
        <x:v>IRM,HYST(MAGN)</x:v>
      </x:c>
      <x:c r="S197" s="59" t="str">
        <x:v>IRM,HYST(MAGN)</x:v>
      </x:c>
      <x:c r="T197" s="56" t="n">
        <x:f>--(Q197="PRESENT")</x:f>
        <x:v>1</x:v>
      </x:c>
      <x:c r="U197" s="56" t="n">
        <x:f>--(T197=N197)</x:f>
        <x:v>1</x:v>
      </x:c>
      <x:c r="V197" s="56" t="n">
        <x:f>--(T197=O197)</x:f>
        <x:v>1</x:v>
      </x:c>
      <x:c r="W197" s="56" t="n">
        <x:f>--(OR(Q197="PRESENT",Q197="ABSENT"))</x:f>
        <x:v>1</x:v>
      </x:c>
      <x:c r="X197" s="56" t="str">
        <x:v>MEDIUM</x:v>
      </x:c>
      <x:c r="Y197" s="56" t="str">
        <x:v>METADATA_UNIQUE</x:v>
      </x:c>
      <x:c r="Z197" s="57" t="b">
        <x:v>1</x:v>
      </x:c>
      <x:c r="AA197" s="57" t="b">
        <x:v>1</x:v>
      </x:c>
      <x:c r="AB197" s="56" t="n">
        <x:v>0</x:v>
      </x:c>
      <x:c r="AC197" s="56" t="str">
        <x:v>IRM,HYST</x:v>
      </x:c>
      <x:c r="AD197" s="56" t="str">
        <x:v>MAGN</x:v>
      </x:c>
      <x:c r="AE197" s="56" t="str"/>
      <x:c r="AF197" s="56" t="str">
        <x:v>5, 6</x:v>
      </x:c>
      <x:c r="AG197" s="59" t="str">
        <x:v>p.5: isothermal remanent magnetization | p.5: IRM | p.5: hysteresis</x:v>
      </x:c>
      <x:c r="AH197" s="58" t="n">
        <x:v>0.9243445982417334</x:v>
      </x:c>
      <x:c r="AI197" s="56" t="n">
        <x:f>--(AH197&gt;=0.5)</x:f>
        <x:v>1</x:v>
      </x:c>
      <x:c r="AJ197" s="56" t="n">
        <x:f>--(AI197=O197)</x:f>
        <x:v>1</x:v>
      </x:c>
      <x:c r="AK197" s="58" t="n">
        <x:v>0.8956143540445946</x:v>
      </x:c>
      <x:c r="AL197" s="56" t="n">
        <x:f>--(AK197&gt;=0.5)</x:f>
        <x:v>1</x:v>
      </x:c>
      <x:c r="AM197" s="56" t="n">
        <x:f>--(AL197=O197)</x:f>
        <x:v>1</x:v>
      </x:c>
    </x:row>
    <x:row r="198" ht="32" customHeight="1">
      <x:c r="A198" s="56" t="str">
        <x:v>3497</x:v>
      </x:c>
      <x:c r="B198" s="56" t="str">
        <x:v>8906</x:v>
      </x:c>
      <x:c r="C198" s="56" t="str">
        <x:v>7201</x:v>
      </x:c>
      <x:c r="D198" s="56" t="str">
        <x:v>Morrison Gneiss</x:v>
      </x:c>
      <x:c r="E198" s="56" t="str">
        <x:v>39.5</x:v>
      </x:c>
      <x:c r="F198" s="56" t="str">
        <x:v>-105.5</x:v>
      </x:c>
      <x:c r="G198" s="56" t="str">
        <x:v>Overprint</x:v>
      </x:c>
      <x:c r="H198" s="56" t="str">
        <x:v>145.39999</x:v>
      </x:c>
      <x:c r="I198" s="56" t="str">
        <x:v>5.4000001</x:v>
      </x:c>
      <x:c r="J198" s="56" t="str">
        <x:v>37.200001</x:v>
      </x:c>
      <x:c r="K198" s="56" t="str">
        <x:v>119.9</x:v>
      </x:c>
      <x:c r="L198" s="56" t="str">
        <x:v>D</x:v>
      </x:c>
      <x:c r="M198" s="59" t="str">
        <x:v>IRM(MAGN)</x:v>
      </x:c>
      <x:c r="N198" s="56" t="n">
        <x:f>--(LEN(M198)&gt;0)</x:f>
        <x:v>1</x:v>
      </x:c>
      <x:c r="O198" s="56" t="n">
        <x:v>1</x:v>
      </x:c>
      <x:c r="P198" s="56" t="n">
        <x:f>--(N198=O198)</x:f>
        <x:v>1</x:v>
      </x:c>
      <x:c r="Q198" s="56" t="str">
        <x:v>PRESENT</x:v>
      </x:c>
      <x:c r="R198" s="59" t="str">
        <x:v>IRM,SUSC-T(MAGN,HEM)</x:v>
      </x:c>
      <x:c r="S198" s="59" t="str">
        <x:v>IRM,SUSC-T(MAGN,HEM)</x:v>
      </x:c>
      <x:c r="T198" s="56" t="n">
        <x:f>--(Q198="PRESENT")</x:f>
        <x:v>1</x:v>
      </x:c>
      <x:c r="U198" s="56" t="n">
        <x:f>--(T198=N198)</x:f>
        <x:v>1</x:v>
      </x:c>
      <x:c r="V198" s="56" t="n">
        <x:f>--(T198=O198)</x:f>
        <x:v>1</x:v>
      </x:c>
      <x:c r="W198" s="56" t="n">
        <x:f>--(OR(Q198="PRESENT",Q198="ABSENT"))</x:f>
        <x:v>1</x:v>
      </x:c>
      <x:c r="X198" s="56" t="str">
        <x:v>MEDIUM</x:v>
      </x:c>
      <x:c r="Y198" s="56" t="str">
        <x:v>METADATA_UNIQUE</x:v>
      </x:c>
      <x:c r="Z198" s="57" t="b">
        <x:v>1</x:v>
      </x:c>
      <x:c r="AA198" s="57" t="b">
        <x:v>1</x:v>
      </x:c>
      <x:c r="AB198" s="56" t="n">
        <x:v>0</x:v>
      </x:c>
      <x:c r="AC198" s="56" t="str">
        <x:v>IRM,SUSC-T</x:v>
      </x:c>
      <x:c r="AD198" s="56" t="str">
        <x:v>MAGN,HEM</x:v>
      </x:c>
      <x:c r="AE198" s="56" t="str"/>
      <x:c r="AF198" s="56" t="str">
        <x:v>9, 10</x:v>
      </x:c>
      <x:c r="AG198" s="59" t="str">
        <x:v>p.9: because IRM values are less than 20% of the maximum reached at 1.3T,magnetitemustbeverysubordinateinvol- umerelativetoahighercoercivityphase.Hyste- resisdata( Fig.9)forindividualpotassiumfeld- spargrainsfromsamplesatthreesitesinthePikes PeakGranitearefurtherconsistentwiththepres- Fig.5.Plotofbulksusceptibilityvs.temperatureforselected samples of Proterozoic gneiss, Morrison area, subjected to progressivethermaldemagnetization.Allsamplesshowncon- tainasecondary,latePaleozoicmagnetization. | p.9: because IRM values are less than 20% of the maximum reached at 1.3T,magnetitemustbeverysubordinateinvol- umerelativetoahighercoercivityphase.Hyste- resisdata( Fig.9)forindividualpotassiumfeld- spargrainsfromsamplesatthreesitesinthePikes PeakGranitearefurtherconsistentwiththepres- Fig.5.Plotofbulksusceptibilityvs.temperatureforselected samples of Proterozoic gneiss, Morrison area, subjected to progressivethermaldemagnetization.Allsamplesshowncon- tainasecondary,latePaleozoicmagnetization. | p.9: because IRM values are less than 20% of the maximum reached at 1.3T,magnetitemustbeverysubordinateinvol- umerelativetoahighercoercivityphase.Hyste- resisdata( Fig.9)forindividualpotassiumfeld- spargrainsfromsamplesatthreesitesinthePikes PeakGranitearefurtherconsistentwiththepres- Fig.5.Plotofbulksusceptibilityvs.temperatureforselected samples of Proterozoic gneiss, Morrison area, subjected to progressivethermaldemagnetization.Allsamplesshowncon- tainasecondary,latePaleozoicmagnetization.</x:v>
      </x:c>
      <x:c r="AH198" s="58" t="n">
        <x:v>0.9017255712717441</x:v>
      </x:c>
      <x:c r="AI198" s="56" t="n">
        <x:f>--(AH198&gt;=0.5)</x:f>
        <x:v>1</x:v>
      </x:c>
      <x:c r="AJ198" s="56" t="n">
        <x:f>--(AI198=O198)</x:f>
        <x:v>1</x:v>
      </x:c>
      <x:c r="AK198" s="58" t="n">
        <x:v>0.9842478245227225</x:v>
      </x:c>
      <x:c r="AL198" s="56" t="n">
        <x:f>--(AK198&gt;=0.5)</x:f>
        <x:v>1</x:v>
      </x:c>
      <x:c r="AM198" s="56" t="n">
        <x:f>--(AL198=O198)</x:f>
        <x:v>1</x:v>
      </x:c>
    </x:row>
    <x:row r="199" ht="32" customHeight="1">
      <x:c r="A199" s="56" t="str">
        <x:v>3497</x:v>
      </x:c>
      <x:c r="B199" s="56" t="str">
        <x:v>8907</x:v>
      </x:c>
      <x:c r="C199" s="56" t="str">
        <x:v>7202</x:v>
      </x:c>
      <x:c r="D199" s="56" t="str">
        <x:v>Pikes Peak Granite</x:v>
      </x:c>
      <x:c r="E199" s="56" t="str">
        <x:v>39.299999</x:v>
      </x:c>
      <x:c r="F199" s="56" t="str">
        <x:v>-105.3</x:v>
      </x:c>
      <x:c r="G199" s="56" t="str">
        <x:v>Overprint</x:v>
      </x:c>
      <x:c r="H199" s="56" t="str">
        <x:v>161.2</x:v>
      </x:c>
      <x:c r="I199" s="56" t="str">
        <x:v>-20.1</x:v>
      </x:c>
      <x:c r="J199" s="56" t="str">
        <x:v>56.599998</x:v>
      </x:c>
      <x:c r="K199" s="56" t="str">
        <x:v>109.9</x:v>
      </x:c>
      <x:c r="L199" s="56" t="str">
        <x:v>D</x:v>
      </x:c>
      <x:c r="M199" s="59" t="str">
        <x:v>IRM(HEM,MAGN)</x:v>
      </x:c>
      <x:c r="N199" s="56" t="n">
        <x:f>--(LEN(M199)&gt;0)</x:f>
        <x:v>1</x:v>
      </x:c>
      <x:c r="O199" s="56" t="n">
        <x:v>1</x:v>
      </x:c>
      <x:c r="P199" s="56" t="n">
        <x:f>--(N199=O199)</x:f>
        <x:v>1</x:v>
      </x:c>
      <x:c r="Q199" s="56" t="str">
        <x:v>PRESENT</x:v>
      </x:c>
      <x:c r="R199" s="59" t="str">
        <x:v>IRM,HYST(MAGN,HEM)</x:v>
      </x:c>
      <x:c r="S199" s="59" t="str">
        <x:v>IRM,HYST(MAGN,HEM)</x:v>
      </x:c>
      <x:c r="T199" s="56" t="n">
        <x:f>--(Q199="PRESENT")</x:f>
        <x:v>1</x:v>
      </x:c>
      <x:c r="U199" s="56" t="n">
        <x:f>--(T199=N199)</x:f>
        <x:v>1</x:v>
      </x:c>
      <x:c r="V199" s="56" t="n">
        <x:f>--(T199=O199)</x:f>
        <x:v>1</x:v>
      </x:c>
      <x:c r="W199" s="56" t="n">
        <x:f>--(OR(Q199="PRESENT",Q199="ABSENT"))</x:f>
        <x:v>1</x:v>
      </x:c>
      <x:c r="X199" s="56" t="str">
        <x:v>MEDIUM</x:v>
      </x:c>
      <x:c r="Y199" s="56" t="str">
        <x:v>METADATA_UNIQUE</x:v>
      </x:c>
      <x:c r="Z199" s="57" t="b">
        <x:v>1</x:v>
      </x:c>
      <x:c r="AA199" s="57" t="b">
        <x:v>1</x:v>
      </x:c>
      <x:c r="AB199" s="56" t="n">
        <x:v>0</x:v>
      </x:c>
      <x:c r="AC199" s="56" t="str">
        <x:v>IRM,HYST</x:v>
      </x:c>
      <x:c r="AD199" s="56" t="str">
        <x:v>MAGN,HEM</x:v>
      </x:c>
      <x:c r="AE199" s="56" t="str"/>
      <x:c r="AF199" s="56" t="str">
        <x:v>12</x:v>
      </x:c>
      <x:c r="AG199" s="59" t="str">
        <x:v>p.12: hysteresis | p.12: isothermal remanent magnetization | p.12: IRM</x:v>
      </x:c>
      <x:c r="AH199" s="58" t="n">
        <x:v>0.9063290217239972</x:v>
      </x:c>
      <x:c r="AI199" s="56" t="n">
        <x:f>--(AH199&gt;=0.5)</x:f>
        <x:v>1</x:v>
      </x:c>
      <x:c r="AJ199" s="56" t="n">
        <x:f>--(AI199=O199)</x:f>
        <x:v>1</x:v>
      </x:c>
      <x:c r="AK199" s="58" t="n">
        <x:v>0.8511632240703297</x:v>
      </x:c>
      <x:c r="AL199" s="56" t="n">
        <x:f>--(AK199&gt;=0.5)</x:f>
        <x:v>1</x:v>
      </x:c>
      <x:c r="AM199" s="56" t="n">
        <x:f>--(AL199=O199)</x:f>
        <x:v>1</x:v>
      </x:c>
    </x:row>
    <x:row r="200" ht="32" customHeight="1">
      <x:c r="A200" s="56" t="str">
        <x:v>3497</x:v>
      </x:c>
      <x:c r="B200" s="56" t="str">
        <x:v>8908</x:v>
      </x:c>
      <x:c r="C200" s="56" t="str">
        <x:v>7203</x:v>
      </x:c>
      <x:c r="D200" s="56" t="str">
        <x:v>Tijeras Greenstone</x:v>
      </x:c>
      <x:c r="E200" s="56" t="str">
        <x:v>35.099998</x:v>
      </x:c>
      <x:c r="F200" s="56" t="str">
        <x:v>-106.4</x:v>
      </x:c>
      <x:c r="G200" s="56" t="str">
        <x:v>Overprint</x:v>
      </x:c>
      <x:c r="H200" s="56" t="str">
        <x:v>174.3</x:v>
      </x:c>
      <x:c r="I200" s="56" t="str">
        <x:v>-18.9</x:v>
      </x:c>
      <x:c r="J200" s="56" t="str">
        <x:v>64.099998</x:v>
      </x:c>
      <x:c r="K200" s="56" t="str">
        <x:v>86.599998</x:v>
      </x:c>
      <x:c r="L200" s="56" t="str">
        <x:v>D</x:v>
      </x:c>
      <x:c r="M200" s="59" t="str"/>
      <x:c r="N200" s="56" t="n">
        <x:f>--(LEN(M200)&gt;0)</x:f>
        <x:v>0</x:v>
      </x:c>
      <x:c r="O200" s="56" t="n">
        <x:v>0</x:v>
      </x:c>
      <x:c r="P200" s="56" t="n">
        <x:f>--(N200=O200)</x:f>
        <x:v>1</x:v>
      </x:c>
      <x:c r="Q200" s="56" t="str">
        <x:v>ABSTAIN_ANCHOR</x:v>
      </x:c>
      <x:c r="R200" s="59" t="str"/>
      <x:c r="S200" s="59" t="str"/>
      <x:c r="T200" s="56" t="n">
        <x:f>--(Q200="PRESENT")</x:f>
        <x:v>0</x:v>
      </x:c>
      <x:c r="U200" s="56" t="n">
        <x:f>--(T200=N200)</x:f>
        <x:v>1</x:v>
      </x:c>
      <x:c r="V200" s="56" t="n">
        <x:f>--(T200=O200)</x:f>
        <x:v>1</x:v>
      </x:c>
      <x:c r="W200" s="56" t="n">
        <x:f>--(OR(Q200="PRESENT",Q200="ABSENT"))</x:f>
        <x:v>0</x:v>
      </x:c>
      <x:c r="X200" s="56" t="str">
        <x:v>LOW</x:v>
      </x:c>
      <x:c r="Y200" s="56" t="str">
        <x:v>METADATA_UNIQUE</x:v>
      </x:c>
      <x:c r="Z200" s="57" t="b">
        <x:v>1</x:v>
      </x:c>
      <x:c r="AA200" s="57" t="b">
        <x:v>1</x:v>
      </x:c>
      <x:c r="AB200" s="56" t="n">
        <x:v>0</x:v>
      </x:c>
      <x:c r="AC200" s="56" t="str"/>
      <x:c r="AD200" s="56" t="str"/>
      <x:c r="AE200" s="56" t="str"/>
      <x:c r="AF200" s="56" t="str"/>
      <x:c r="AG200" s="59" t="str"/>
      <x:c r="AH200" s="58" t="n">
        <x:v>0.8591711852444894</x:v>
      </x:c>
      <x:c r="AI200" s="56" t="n">
        <x:f>--(AH200&gt;=0.5)</x:f>
        <x:v>1</x:v>
      </x:c>
      <x:c r="AJ200" s="56" t="n">
        <x:f>--(AI200=O200)</x:f>
        <x:v>0</x:v>
      </x:c>
      <x:c r="AK200" s="58" t="n">
        <x:v>0.7013613718199526</x:v>
      </x:c>
      <x:c r="AL200" s="56" t="n">
        <x:f>--(AK200&gt;=0.5)</x:f>
        <x:v>1</x:v>
      </x:c>
      <x:c r="AM200" s="56" t="n">
        <x:f>--(AL200=O200)</x:f>
        <x:v>0</x:v>
      </x:c>
    </x:row>
    <x:row r="201" ht="32" customHeight="1">
      <x:c r="A201" s="56" t="str">
        <x:v>3518</x:v>
      </x:c>
      <x:c r="B201" s="56" t="str">
        <x:v>8935</x:v>
      </x:c>
      <x:c r="C201" s="56" t="str">
        <x:v>7229</x:v>
      </x:c>
      <x:c r="D201" s="56" t="str">
        <x:v>Kandykskaya suite combined</x:v>
      </x:c>
      <x:c r="E201" s="56" t="str">
        <x:v>59.400002</x:v>
      </x:c>
      <x:c r="F201" s="56" t="str">
        <x:v>136.39999</x:v>
      </x:c>
      <x:c r="G201" s="56" t="str"/>
      <x:c r="H201" s="56" t="str">
        <x:v>136.89999</x:v>
      </x:c>
      <x:c r="I201" s="56" t="str">
        <x:v>35.799999</x:v>
      </x:c>
      <x:c r="J201" s="56" t="str">
        <x:v>-3.0999999</x:v>
      </x:c>
      <x:c r="K201" s="56" t="str">
        <x:v>176.5</x:v>
      </x:c>
      <x:c r="L201" s="56" t="str">
        <x:v>V</x:v>
      </x:c>
      <x:c r="M201" s="59" t="str">
        <x:v>OP(TM,MAGN)</x:v>
      </x:c>
      <x:c r="N201" s="56" t="n">
        <x:f>--(LEN(M201)&gt;0)</x:f>
        <x:v>1</x:v>
      </x:c>
      <x:c r="O201" s="56" t="n">
        <x:v>1</x:v>
      </x:c>
      <x:c r="P201" s="56" t="n">
        <x:f>--(N201=O201)</x:f>
        <x:v>1</x:v>
      </x:c>
      <x:c r="Q201" s="56" t="str">
        <x:v>ABSTAIN_INSUFFICIENT</x:v>
      </x:c>
      <x:c r="R201" s="59" t="str"/>
      <x:c r="S201" s="59" t="str"/>
      <x:c r="T201" s="56" t="n">
        <x:f>--(Q201="PRESENT")</x:f>
        <x:v>0</x:v>
      </x:c>
      <x:c r="U201" s="56" t="n">
        <x:f>--(T201=N201)</x:f>
        <x:v>0</x:v>
      </x:c>
      <x:c r="V201" s="56" t="n">
        <x:f>--(T201=O201)</x:f>
        <x:v>0</x:v>
      </x:c>
      <x:c r="W201" s="56" t="n">
        <x:f>--(OR(Q201="PRESENT",Q201="ABSENT"))</x:f>
        <x:v>0</x:v>
      </x:c>
      <x:c r="X201" s="56" t="str">
        <x:v>LOW</x:v>
      </x:c>
      <x:c r="Y201" s="56" t="str">
        <x:v>PAPER_ROW_MATCH</x:v>
      </x:c>
      <x:c r="Z201" s="57" t="b">
        <x:v>1</x:v>
      </x:c>
      <x:c r="AA201" s="57" t="b">
        <x:v>1</x:v>
      </x:c>
      <x:c r="AB201" s="56" t="n">
        <x:v>0</x:v>
      </x:c>
      <x:c r="AC201" s="56" t="str"/>
      <x:c r="AD201" s="56" t="str"/>
      <x:c r="AE201" s="56" t="str"/>
      <x:c r="AF201" s="56" t="str">
        <x:v>6</x:v>
      </x:c>
      <x:c r="AG201" s="59" t="str">
        <x:v>p.6: No. 4 2002 THE Ui GROUP AND LATE RIPHEAN SILLS 283 Table 2. Paleomagnetic data and poles obtained for Late Proterozoic sills and for Kandyk and Ust’-Kirba fm. rocks Object Object/Coordinates, deg Proce- ssing N Geographic coordinate system, deg Stratigraphic coordinate system, deg γ / γ c DI K α 95 DI K C α 95 Sills and their baked contacts 1. Sill P/ I 28 156 36 25.1 5.1 135 34 25.6 5.0 8.2/8.6 λ = 136.4; ϕ = 59.4 II 19 165.1 39.5 27.4 6.5 139.4 41.5 24.3 6.9 2. Sill ë/ I 22 161 40 52.3 4.0 140</x:v>
      </x:c>
      <x:c r="AH201" s="58" t="n">
        <x:v>0.27093300207930243</x:v>
      </x:c>
      <x:c r="AI201" s="56" t="n">
        <x:f>--(AH201&gt;=0.5)</x:f>
        <x:v>0</x:v>
      </x:c>
      <x:c r="AJ201" s="56" t="n">
        <x:f>--(AI201=O201)</x:f>
        <x:v>0</x:v>
      </x:c>
      <x:c r="AK201" s="58" t="n">
        <x:v>0.27093300207930243</x:v>
      </x:c>
      <x:c r="AL201" s="56" t="n">
        <x:f>--(AK201&gt;=0.5)</x:f>
        <x:v>0</x:v>
      </x:c>
      <x:c r="AM201" s="56" t="n">
        <x:f>--(AL201=O201)</x:f>
        <x:v>0</x:v>
      </x:c>
    </x:row>
    <x:row r="202" ht="32" customHeight="1">
      <x:c r="A202" s="56" t="str">
        <x:v>3518</x:v>
      </x:c>
      <x:c r="B202" s="56" t="str">
        <x:v>8936</x:v>
      </x:c>
      <x:c r="C202" s="56" t="str">
        <x:v>7230</x:v>
      </x:c>
      <x:c r="D202" s="56" t="str">
        <x:v>Ust-Kirbinskaya suite combined</x:v>
      </x:c>
      <x:c r="E202" s="56" t="str">
        <x:v>58.700001</x:v>
      </x:c>
      <x:c r="F202" s="56" t="str">
        <x:v>136.7</x:v>
      </x:c>
      <x:c r="G202" s="56" t="str"/>
      <x:c r="H202" s="56" t="str">
        <x:v>133</x:v>
      </x:c>
      <x:c r="I202" s="56" t="str">
        <x:v>26.1</x:v>
      </x:c>
      <x:c r="J202" s="56" t="str">
        <x:v>-8.1000004</x:v>
      </x:c>
      <x:c r="K202" s="56" t="str">
        <x:v>182.60001</x:v>
      </x:c>
      <x:c r="L202" s="56" t="str">
        <x:v>V</x:v>
      </x:c>
      <x:c r="M202" s="59" t="str"/>
      <x:c r="N202" s="56" t="n">
        <x:f>--(LEN(M202)&gt;0)</x:f>
        <x:v>0</x:v>
      </x:c>
      <x:c r="O202" s="56" t="n">
        <x:v>0</x:v>
      </x:c>
      <x:c r="P202" s="56" t="n">
        <x:f>--(N202=O202)</x:f>
        <x:v>1</x:v>
      </x:c>
      <x:c r="Q202" s="56" t="str">
        <x:v>ABSTAIN_INSUFFICIENT</x:v>
      </x:c>
      <x:c r="R202" s="59" t="str"/>
      <x:c r="S202" s="59" t="str"/>
      <x:c r="T202" s="56" t="n">
        <x:f>--(Q202="PRESENT")</x:f>
        <x:v>0</x:v>
      </x:c>
      <x:c r="U202" s="56" t="n">
        <x:f>--(T202=N202)</x:f>
        <x:v>1</x:v>
      </x:c>
      <x:c r="V202" s="56" t="n">
        <x:f>--(T202=O202)</x:f>
        <x:v>1</x:v>
      </x:c>
      <x:c r="W202" s="56" t="n">
        <x:f>--(OR(Q202="PRESENT",Q202="ABSENT"))</x:f>
        <x:v>0</x:v>
      </x:c>
      <x:c r="X202" s="56" t="str">
        <x:v>LOW</x:v>
      </x:c>
      <x:c r="Y202" s="56" t="str">
        <x:v>PAPER_ROW_MATCH</x:v>
      </x:c>
      <x:c r="Z202" s="57" t="b">
        <x:v>1</x:v>
      </x:c>
      <x:c r="AA202" s="57" t="b">
        <x:v>1</x:v>
      </x:c>
      <x:c r="AB202" s="56" t="n">
        <x:v>0</x:v>
      </x:c>
      <x:c r="AC202" s="56" t="str"/>
      <x:c r="AD202" s="56" t="str"/>
      <x:c r="AE202" s="56" t="str"/>
      <x:c r="AF202" s="56" t="str">
        <x:v>4, 6, 10, 12</x:v>
      </x:c>
      <x:c r="AG202" s="59" t="str">
        <x:v>p.4: the sills outcropping on the Yudoma River’s left bank approxi- mately 8 km south of the Mouth of the Pukhanil River. The isotope studies were performed at the Institute of the Geology of Ore Deposits, Petrography, Mineralogy, and Geochemistry, Russian Academy of Sciences in accord with the technique described in [5]. A mixed 149 Sm + 150 Nd spike was added to every specimen of 100–200 g for our Sm–Nd isotope analyses. The speci- mens were decomposed in a mixture of nitric and hydroﬂuoric acids f | p.6: S/ I 21 160 38 114.9 2.8 141 33 114.9 2.8 2.9/4.4 λ = 136.4; ϕ = 59.4 II 17 159.4 40.4 112.7 3.4 138.4 35.0 112.3 3.4 5. Sill I/ I 14 157 40 33.1 6.5 135 36 33.6 6.5 7.0/8.6 λ = 136.4; ϕ = 59.4 II 12 150.7 35.2 72.4 5.1 133.2 29.2 74.9 5.0 6. Sill 110/ I 11 157 49 32.1 8.2 132 37 34.2 7.2 12.3/12.1 λ = 136.4; ϕ = 59.4 II 12 165.1 38.6 20.2 9.9 145.5 31.7 21.7 9.5 7. Sill G/ I 7 152 41 7.5 19.2 138 27 7.5 19.2 λ = 136.2; ϕ = 59.4 II No new data available 8. Contact ä/ I 21 159 42 46.7 4.1 137 34  | p.6: 59.4 II 10 162.8 51.6 22.0 8.0 129.3 47.0 28.4 7.0 10. Site 108/ I 7 165 44 62.3 6.7 141 37 73.0 6.2 λ = 136.4; ϕ = 59.4 II No new data available 11. Site 113/ I 3 121 12 52.8 18.0 147 36 88.5 15.2 λ = 136.4; ϕ = 59.4 II No new data available 12. Site 125/ I 10 140 53 6.0 18.1 143 42 6.1 18.1 λ = 135.3; ϕ = 59.3 II No new data available Average for objects of Kandyk age I1 1 153.0 40.2 31.2 8.3 138.7 35.2 266.7 2.8 1.6/5.1 II 8 159.2 40.8 149.9 4.5 136.9 35.8 125.3 5.0 Average pole for objects o</x:v>
      </x:c>
      <x:c r="AH202" s="58" t="n">
        <x:v>0.34167548540729964</x:v>
      </x:c>
      <x:c r="AI202" s="56" t="n">
        <x:f>--(AH202&gt;=0.5)</x:f>
        <x:v>0</x:v>
      </x:c>
      <x:c r="AJ202" s="56" t="n">
        <x:f>--(AI202=O202)</x:f>
        <x:v>1</x:v>
      </x:c>
      <x:c r="AK202" s="58" t="n">
        <x:v>0.34167548540729964</x:v>
      </x:c>
      <x:c r="AL202" s="56" t="n">
        <x:f>--(AK202&gt;=0.5)</x:f>
        <x:v>0</x:v>
      </x:c>
      <x:c r="AM202" s="56" t="n">
        <x:f>--(AL202=O202)</x:f>
        <x:v>1</x:v>
      </x:c>
    </x:row>
    <x:row r="203" ht="32" customHeight="1">
      <x:c r="A203" s="56" t="str">
        <x:v>3576</x:v>
      </x:c>
      <x:c r="B203" s="56" t="str">
        <x:v>9073</x:v>
      </x:c>
      <x:c r="C203" s="56" t="str">
        <x:v>7348</x:v>
      </x:c>
      <x:c r="D203" s="56" t="str">
        <x:v>Cardenas Basalts and Intrusions</x:v>
      </x:c>
      <x:c r="E203" s="56" t="str">
        <x:v>36.080002</x:v>
      </x:c>
      <x:c r="F203" s="56" t="str">
        <x:v>-111.87</x:v>
      </x:c>
      <x:c r="G203" s="56" t="str"/>
      <x:c r="H203" s="56" t="str">
        <x:v>285.5</x:v>
      </x:c>
      <x:c r="I203" s="56" t="str">
        <x:v>57</x:v>
      </x:c>
      <x:c r="J203" s="56" t="str">
        <x:v>32</x:v>
      </x:c>
      <x:c r="K203" s="56" t="str">
        <x:v>185</x:v>
      </x:c>
      <x:c r="L203" s="56" t="str">
        <x:v>D</x:v>
      </x:c>
      <x:c r="M203" s="59" t="str">
        <x:v>IRM,HYST,3-axis Jrs-T(MAGN,HEM)</x:v>
      </x:c>
      <x:c r="N203" s="56" t="n">
        <x:f>--(LEN(M203)&gt;0)</x:f>
        <x:v>1</x:v>
      </x:c>
      <x:c r="O203" s="56" t="n">
        <x:v>1</x:v>
      </x:c>
      <x:c r="P203" s="56" t="n">
        <x:f>--(N203=O203)</x:f>
        <x:v>1</x:v>
      </x:c>
      <x:c r="Q203" s="56" t="str">
        <x:v>ABSTAIN_INSUFFICIENT</x:v>
      </x:c>
      <x:c r="R203" s="59" t="str"/>
      <x:c r="S203" s="59" t="str"/>
      <x:c r="T203" s="56" t="n">
        <x:f>--(Q203="PRESENT")</x:f>
        <x:v>0</x:v>
      </x:c>
      <x:c r="U203" s="56" t="n">
        <x:f>--(T203=N203)</x:f>
        <x:v>0</x:v>
      </x:c>
      <x:c r="V203" s="56" t="n">
        <x:f>--(T203=O203)</x:f>
        <x:v>0</x:v>
      </x:c>
      <x:c r="W203" s="56" t="n">
        <x:f>--(OR(Q203="PRESENT",Q203="ABSENT"))</x:f>
        <x:v>0</x:v>
      </x:c>
      <x:c r="X203" s="56" t="str">
        <x:v>LOW</x:v>
      </x:c>
      <x:c r="Y203" s="56" t="str">
        <x:v>PAPER_ROW_MATCH</x:v>
      </x:c>
      <x:c r="Z203" s="57" t="b">
        <x:v>1</x:v>
      </x:c>
      <x:c r="AA203" s="57" t="b">
        <x:v>1</x:v>
      </x:c>
      <x:c r="AB203" s="56" t="n">
        <x:v>0</x:v>
      </x:c>
      <x:c r="AC203" s="56" t="str"/>
      <x:c r="AD203" s="56" t="str"/>
      <x:c r="AE203" s="56" t="str"/>
      <x:c r="AF203" s="56" t="str">
        <x:v>1, 17, 18</x:v>
      </x:c>
      <x:c r="AG203" s="59" t="str">
        <x:v>p.1: 9010-2899, USA b Department of Earth and Planetary Sciences, University of New Mexico, Albuquerque, NM 87131, USA c New Mexico Bureau of Mines and Mineral Resources, New Mexico Institute of Mining and Technology, Socorro, NM 87801, USA d Department of Geologic Sciences, University of Michigan, Ann Arbor , MI 48109, USA Received 3 April 2002; received in revised form 12 November 2002; accepted 5 June 2003 Abstract Paleomagnetic data from lavas and dikes of the Unkar igneous suite (16 sites) and s | p.17: partially based on the apparent concordance of the final two heating steps with the simpler spectrum given by H98-131.6-2. 5. Discussion The characteristic magnetizations identified in the Unkar igneous suite and Nankoweap Formation pro- vide two distinct ancient paleomagnetic pole positions. The Unkar igneous suite magnetization (UI) is defined by 16 sites from six different intrusions and three different flows of the Cardenas Basalts. The directions for this magnetization are well-defined, of  | p.18: a (Elston and Mckee, 1982; Larson et al., 1994; Timmons et al., 2001) .W e suggest that the newly dated sills are part of the same magmatic event that produced the mafic rocks studied for paleomagnetism and, thus, infer that the UI pole corresponds to an age of about 1090 Ma. When plotted on Laurentia’s Proterozoic APWP , the UI pole is in close agreement with poles derived from other mafic intrusions, of similar age, from the southwest US (for review, see Harlan, 1993 ), as well as from Table 4</x:v>
      </x:c>
      <x:c r="AH203" s="58" t="n">
        <x:v>0.9714938539832498</x:v>
      </x:c>
      <x:c r="AI203" s="56" t="n">
        <x:f>--(AH203&gt;=0.5)</x:f>
        <x:v>1</x:v>
      </x:c>
      <x:c r="AJ203" s="56" t="n">
        <x:f>--(AI203=O203)</x:f>
        <x:v>1</x:v>
      </x:c>
      <x:c r="AK203" s="58" t="n">
        <x:v>0.9714938539832497</x:v>
      </x:c>
      <x:c r="AL203" s="56" t="n">
        <x:f>--(AK203&gt;=0.5)</x:f>
        <x:v>1</x:v>
      </x:c>
      <x:c r="AM203" s="56" t="n">
        <x:f>--(AL203=O203)</x:f>
        <x:v>1</x:v>
      </x:c>
    </x:row>
    <x:row r="204" ht="32" customHeight="1">
      <x:c r="A204" s="56" t="str">
        <x:v>3576</x:v>
      </x:c>
      <x:c r="B204" s="56" t="str">
        <x:v>9074</x:v>
      </x:c>
      <x:c r="C204" s="56" t="str">
        <x:v>7349</x:v>
      </x:c>
      <x:c r="D204" s="56" t="str">
        <x:v>Nankoweap Formation</x:v>
      </x:c>
      <x:c r="E204" s="56" t="str">
        <x:v>36.110001</x:v>
      </x:c>
      <x:c r="F204" s="56" t="str">
        <x:v>-111.86</x:v>
      </x:c>
      <x:c r="G204" s="56" t="str"/>
      <x:c r="H204" s="56" t="str">
        <x:v>259.79999</x:v>
      </x:c>
      <x:c r="I204" s="56" t="str">
        <x:v>-4.0999999</x:v>
      </x:c>
      <x:c r="J204" s="56" t="str">
        <x:v>-10</x:v>
      </x:c>
      <x:c r="K204" s="56" t="str">
        <x:v>163</x:v>
      </x:c>
      <x:c r="L204" s="56" t="str">
        <x:v>D</x:v>
      </x:c>
      <x:c r="M204" s="59" t="str"/>
      <x:c r="N204" s="56" t="n">
        <x:f>--(LEN(M204)&gt;0)</x:f>
        <x:v>0</x:v>
      </x:c>
      <x:c r="O204" s="56" t="n">
        <x:v>0</x:v>
      </x:c>
      <x:c r="P204" s="56" t="n">
        <x:f>--(N204=O204)</x:f>
        <x:v>1</x:v>
      </x:c>
      <x:c r="Q204" s="56" t="str">
        <x:v>ABSTAIN_INSUFFICIENT</x:v>
      </x:c>
      <x:c r="R204" s="59" t="str"/>
      <x:c r="S204" s="59" t="str"/>
      <x:c r="T204" s="56" t="n">
        <x:f>--(Q204="PRESENT")</x:f>
        <x:v>0</x:v>
      </x:c>
      <x:c r="U204" s="56" t="n">
        <x:f>--(T204=N204)</x:f>
        <x:v>1</x:v>
      </x:c>
      <x:c r="V204" s="56" t="n">
        <x:f>--(T204=O204)</x:f>
        <x:v>1</x:v>
      </x:c>
      <x:c r="W204" s="56" t="n">
        <x:f>--(OR(Q204="PRESENT",Q204="ABSENT"))</x:f>
        <x:v>0</x:v>
      </x:c>
      <x:c r="X204" s="56" t="str">
        <x:v>LOW</x:v>
      </x:c>
      <x:c r="Y204" s="56" t="str">
        <x:v>METADATA_UNIQUE</x:v>
      </x:c>
      <x:c r="Z204" s="57" t="b">
        <x:v>1</x:v>
      </x:c>
      <x:c r="AA204" s="57" t="b">
        <x:v>1</x:v>
      </x:c>
      <x:c r="AB204" s="56" t="n">
        <x:v>0</x:v>
      </x:c>
      <x:c r="AC204" s="56" t="str"/>
      <x:c r="AD204" s="56" t="str"/>
      <x:c r="AE204" s="56" t="str"/>
      <x:c r="AF204" s="56" t="str"/>
      <x:c r="AG204" s="59" t="str"/>
      <x:c r="AH204" s="58" t="n">
        <x:v>0.916063187878335</x:v>
      </x:c>
      <x:c r="AI204" s="56" t="n">
        <x:f>--(AH204&gt;=0.5)</x:f>
        <x:v>1</x:v>
      </x:c>
      <x:c r="AJ204" s="56" t="n">
        <x:f>--(AI204=O204)</x:f>
        <x:v>0</x:v>
      </x:c>
      <x:c r="AK204" s="58" t="n">
        <x:v>0.916063187878335</x:v>
      </x:c>
      <x:c r="AL204" s="56" t="n">
        <x:f>--(AK204&gt;=0.5)</x:f>
        <x:v>1</x:v>
      </x:c>
      <x:c r="AM204" s="56" t="n">
        <x:f>--(AL204=O204)</x:f>
        <x:v>0</x:v>
      </x:c>
    </x:row>
    <x:row r="205" ht="32" customHeight="1">
      <x:c r="A205" s="56" t="str">
        <x:v>3613</x:v>
      </x:c>
      <x:c r="B205" s="56" t="str">
        <x:v>9145</x:v>
      </x:c>
      <x:c r="C205" s="56" t="str">
        <x:v>7407</x:v>
      </x:c>
      <x:c r="D205" s="56" t="str">
        <x:v>Belektuy Formation</x:v>
      </x:c>
      <x:c r="E205" s="56" t="str">
        <x:v>50.650002</x:v>
      </x:c>
      <x:c r="F205" s="56" t="str">
        <x:v>116.88</x:v>
      </x:c>
      <x:c r="G205" s="56" t="str">
        <x:v>High-T</x:v>
      </x:c>
      <x:c r="H205" s="56" t="str">
        <x:v>102.8</x:v>
      </x:c>
      <x:c r="I205" s="56" t="str">
        <x:v>37.400002</x:v>
      </x:c>
      <x:c r="J205" s="56" t="str">
        <x:v>8.3000002</x:v>
      </x:c>
      <x:c r="K205" s="56" t="str">
        <x:v>183.89999</x:v>
      </x:c>
      <x:c r="L205" s="56" t="str">
        <x:v>D</x:v>
      </x:c>
      <x:c r="M205" s="59" t="str">
        <x:v>IRM(MAGN)</x:v>
      </x:c>
      <x:c r="N205" s="56" t="n">
        <x:f>--(LEN(M205)&gt;0)</x:f>
        <x:v>1</x:v>
      </x:c>
      <x:c r="O205" s="56" t="n">
        <x:v>1</x:v>
      </x:c>
      <x:c r="P205" s="56" t="n">
        <x:f>--(N205=O205)</x:f>
        <x:v>1</x:v>
      </x:c>
      <x:c r="Q205" s="56" t="str">
        <x:v>PRESENT</x:v>
      </x:c>
      <x:c r="R205" s="59" t="str">
        <x:v>IRM(MAGN)</x:v>
      </x:c>
      <x:c r="S205" s="59" t="str">
        <x:v>IRM(MAGN)</x:v>
      </x:c>
      <x:c r="T205" s="56" t="n">
        <x:f>--(Q205="PRESENT")</x:f>
        <x:v>1</x:v>
      </x:c>
      <x:c r="U205" s="56" t="n">
        <x:f>--(T205=N205)</x:f>
        <x:v>1</x:v>
      </x:c>
      <x:c r="V205" s="56" t="n">
        <x:f>--(T205=O205)</x:f>
        <x:v>1</x:v>
      </x:c>
      <x:c r="W205" s="56" t="n">
        <x:f>--(OR(Q205="PRESENT",Q205="ABSENT"))</x:f>
        <x:v>1</x:v>
      </x:c>
      <x:c r="X205" s="56" t="str">
        <x:v>HIGH</x:v>
      </x:c>
      <x:c r="Y205" s="56" t="str">
        <x:v>PAPER_ROW_MATCH</x:v>
      </x:c>
      <x:c r="Z205" s="57" t="b">
        <x:v>1</x:v>
      </x:c>
      <x:c r="AA205" s="57" t="b">
        <x:v>1</x:v>
      </x:c>
      <x:c r="AB205" s="56" t="n">
        <x:v>0</x:v>
      </x:c>
      <x:c r="AC205" s="56" t="str">
        <x:v>IRM</x:v>
      </x:c>
      <x:c r="AD205" s="56" t="str">
        <x:v>MAGN</x:v>
      </x:c>
      <x:c r="AE205" s="56" t="str"/>
      <x:c r="AF205" s="56" t="str">
        <x:v>6, 7, 15, 16</x:v>
      </x:c>
      <x:c r="AG205" s="59" t="str">
        <x:v>p.6: Isothermal remanent magnetization | p.6: IRM | p.16: IRM</x:v>
      </x:c>
      <x:c r="AH205" s="58" t="n">
        <x:v>0.8614278623160778</x:v>
      </x:c>
      <x:c r="AI205" s="56" t="n">
        <x:f>--(AH205&gt;=0.5)</x:f>
        <x:v>1</x:v>
      </x:c>
      <x:c r="AJ205" s="56" t="n">
        <x:f>--(AI205=O205)</x:f>
        <x:v>1</x:v>
      </x:c>
      <x:c r="AK205" s="58" t="n">
        <x:v>0.9250908901069058</x:v>
      </x:c>
      <x:c r="AL205" s="56" t="n">
        <x:f>--(AK205&gt;=0.5)</x:f>
        <x:v>1</x:v>
      </x:c>
      <x:c r="AM205" s="56" t="n">
        <x:f>--(AL205=O205)</x:f>
        <x:v>1</x:v>
      </x:c>
    </x:row>
    <x:row r="206" ht="32" customHeight="1">
      <x:c r="A206" s="56" t="str">
        <x:v>3613</x:v>
      </x:c>
      <x:c r="B206" s="56" t="str">
        <x:v>9146</x:v>
      </x:c>
      <x:c r="C206" s="56" t="str">
        <x:v>7408</x:v>
      </x:c>
      <x:c r="D206" s="56" t="str">
        <x:v>Shadaron Formation</x:v>
      </x:c>
      <x:c r="E206" s="56" t="str">
        <x:v>51.5</x:v>
      </x:c>
      <x:c r="F206" s="56" t="str">
        <x:v>117.5</x:v>
      </x:c>
      <x:c r="G206" s="56" t="str">
        <x:v>High-T</x:v>
      </x:c>
      <x:c r="H206" s="56" t="str">
        <x:v>10</x:v>
      </x:c>
      <x:c r="I206" s="56" t="str">
        <x:v>39.099998</x:v>
      </x:c>
      <x:c r="J206" s="56" t="str">
        <x:v>59.599998</x:v>
      </x:c>
      <x:c r="K206" s="56" t="str">
        <x:v>279</x:v>
      </x:c>
      <x:c r="L206" s="56" t="str">
        <x:v>D</x:v>
      </x:c>
      <x:c r="M206" s="59" t="str">
        <x:v>IRM(MAGN)</x:v>
      </x:c>
      <x:c r="N206" s="56" t="n">
        <x:f>--(LEN(M206)&gt;0)</x:f>
        <x:v>1</x:v>
      </x:c>
      <x:c r="O206" s="56" t="n">
        <x:v>1</x:v>
      </x:c>
      <x:c r="P206" s="56" t="n">
        <x:f>--(N206=O206)</x:f>
        <x:v>1</x:v>
      </x:c>
      <x:c r="Q206" s="56" t="str">
        <x:v>PRESENT</x:v>
      </x:c>
      <x:c r="R206" s="59" t="str">
        <x:v>IRM(MAGN)</x:v>
      </x:c>
      <x:c r="S206" s="59" t="str">
        <x:v>IRM(MAGN)</x:v>
      </x:c>
      <x:c r="T206" s="56" t="n">
        <x:f>--(Q206="PRESENT")</x:f>
        <x:v>1</x:v>
      </x:c>
      <x:c r="U206" s="56" t="n">
        <x:f>--(T206=N206)</x:f>
        <x:v>1</x:v>
      </x:c>
      <x:c r="V206" s="56" t="n">
        <x:f>--(T206=O206)</x:f>
        <x:v>1</x:v>
      </x:c>
      <x:c r="W206" s="56" t="n">
        <x:f>--(OR(Q206="PRESENT",Q206="ABSENT"))</x:f>
        <x:v>1</x:v>
      </x:c>
      <x:c r="X206" s="56" t="str">
        <x:v>MEDIUM</x:v>
      </x:c>
      <x:c r="Y206" s="56" t="str">
        <x:v>METADATA_UNIQUE</x:v>
      </x:c>
      <x:c r="Z206" s="57" t="b">
        <x:v>1</x:v>
      </x:c>
      <x:c r="AA206" s="57" t="b">
        <x:v>1</x:v>
      </x:c>
      <x:c r="AB206" s="56" t="n">
        <x:v>0</x:v>
      </x:c>
      <x:c r="AC206" s="56" t="str">
        <x:v>IRM</x:v>
      </x:c>
      <x:c r="AD206" s="56" t="str">
        <x:v>MAGN</x:v>
      </x:c>
      <x:c r="AE206" s="56" t="str"/>
      <x:c r="AF206" s="56" t="str">
        <x:v>7, 8, 9, 16</x:v>
      </x:c>
      <x:c r="AG206" s="59" t="str">
        <x:v>p.8: IRM | p.16: IRM | p.7: IRM</x:v>
      </x:c>
      <x:c r="AH206" s="58" t="n">
        <x:v>0.9125427503206088</x:v>
      </x:c>
      <x:c r="AI206" s="56" t="n">
        <x:f>--(AH206&gt;=0.5)</x:f>
        <x:v>1</x:v>
      </x:c>
      <x:c r="AJ206" s="56" t="n">
        <x:f>--(AI206=O206)</x:f>
        <x:v>1</x:v>
      </x:c>
      <x:c r="AK206" s="58" t="n">
        <x:v>0.903728971269356</x:v>
      </x:c>
      <x:c r="AL206" s="56" t="n">
        <x:f>--(AK206&gt;=0.5)</x:f>
        <x:v>1</x:v>
      </x:c>
      <x:c r="AM206" s="56" t="n">
        <x:f>--(AL206=O206)</x:f>
        <x:v>1</x:v>
      </x:c>
    </x:row>
    <x:row r="207" ht="32" customHeight="1">
      <x:c r="A207" s="56" t="str">
        <x:v>3613</x:v>
      </x:c>
      <x:c r="B207" s="56" t="str">
        <x:v>9147</x:v>
      </x:c>
      <x:c r="C207" s="56" t="str">
        <x:v>7409</x:v>
      </x:c>
      <x:c r="D207" s="56" t="str">
        <x:v>Alentuy Formation</x:v>
      </x:c>
      <x:c r="E207" s="56" t="str">
        <x:v>50.799999</x:v>
      </x:c>
      <x:c r="F207" s="56" t="str">
        <x:v>107.2</x:v>
      </x:c>
      <x:c r="G207" s="56" t="str">
        <x:v>High-T</x:v>
      </x:c>
      <x:c r="H207" s="56" t="str">
        <x:v>225.2</x:v>
      </x:c>
      <x:c r="I207" s="56" t="str">
        <x:v>-76.199997</x:v>
      </x:c>
      <x:c r="J207" s="56" t="str">
        <x:v>63.099998</x:v>
      </x:c>
      <x:c r="K207" s="56" t="str">
        <x:v>151</x:v>
      </x:c>
      <x:c r="L207" s="56" t="str">
        <x:v>D</x:v>
      </x:c>
      <x:c r="M207" s="59" t="str">
        <x:v>IRM(MAGN)</x:v>
      </x:c>
      <x:c r="N207" s="56" t="n">
        <x:f>--(LEN(M207)&gt;0)</x:f>
        <x:v>1</x:v>
      </x:c>
      <x:c r="O207" s="56" t="n">
        <x:v>1</x:v>
      </x:c>
      <x:c r="P207" s="56" t="n">
        <x:f>--(N207=O207)</x:f>
        <x:v>1</x:v>
      </x:c>
      <x:c r="Q207" s="56" t="str">
        <x:v>PRESENT</x:v>
      </x:c>
      <x:c r="R207" s="59" t="str">
        <x:v>IRM(MAGN)</x:v>
      </x:c>
      <x:c r="S207" s="59" t="str">
        <x:v>IRM(MAGN)</x:v>
      </x:c>
      <x:c r="T207" s="56" t="n">
        <x:f>--(Q207="PRESENT")</x:f>
        <x:v>1</x:v>
      </x:c>
      <x:c r="U207" s="56" t="n">
        <x:f>--(T207=N207)</x:f>
        <x:v>1</x:v>
      </x:c>
      <x:c r="V207" s="56" t="n">
        <x:f>--(T207=O207)</x:f>
        <x:v>1</x:v>
      </x:c>
      <x:c r="W207" s="56" t="n">
        <x:f>--(OR(Q207="PRESENT",Q207="ABSENT"))</x:f>
        <x:v>1</x:v>
      </x:c>
      <x:c r="X207" s="56" t="str">
        <x:v>MEDIUM</x:v>
      </x:c>
      <x:c r="Y207" s="56" t="str">
        <x:v>METADATA_UNIQUE</x:v>
      </x:c>
      <x:c r="Z207" s="57" t="b">
        <x:v>1</x:v>
      </x:c>
      <x:c r="AA207" s="57" t="b">
        <x:v>1</x:v>
      </x:c>
      <x:c r="AB207" s="56" t="n">
        <x:v>0</x:v>
      </x:c>
      <x:c r="AC207" s="56" t="str">
        <x:v>IRM</x:v>
      </x:c>
      <x:c r="AD207" s="56" t="str">
        <x:v>MAGN</x:v>
      </x:c>
      <x:c r="AE207" s="56" t="str"/>
      <x:c r="AF207" s="56" t="str">
        <x:v>9, 10, 16</x:v>
      </x:c>
      <x:c r="AG207" s="59" t="str">
        <x:v>p.10: (f) IRM acquisition in ﬁelds of up to 1.2 T showing the presence of a low-coercivity magnetic mineral. | p.10: (f) IRM acquisition in ﬁelds of up to 1.2 T showing the presence of a low-coercivity magnetic mineral. | p.9: IRM</x:v>
      </x:c>
      <x:c r="AH207" s="58" t="n">
        <x:v>0.8813762920658001</x:v>
      </x:c>
      <x:c r="AI207" s="56" t="n">
        <x:f>--(AH207&gt;=0.5)</x:f>
        <x:v>1</x:v>
      </x:c>
      <x:c r="AJ207" s="56" t="n">
        <x:f>--(AI207=O207)</x:f>
        <x:v>1</x:v>
      </x:c>
      <x:c r="AK207" s="58" t="n">
        <x:v>0.9314605304354675</x:v>
      </x:c>
      <x:c r="AL207" s="56" t="n">
        <x:f>--(AK207&gt;=0.5)</x:f>
        <x:v>1</x:v>
      </x:c>
      <x:c r="AM207" s="56" t="n">
        <x:f>--(AL207=O207)</x:f>
        <x:v>1</x:v>
      </x:c>
    </x:row>
    <x:row r="208" ht="32" customHeight="1">
      <x:c r="A208" s="56" t="str">
        <x:v>3613</x:v>
      </x:c>
      <x:c r="B208" s="56" t="str">
        <x:v>9148</x:v>
      </x:c>
      <x:c r="C208" s="56" t="str">
        <x:v>7410</x:v>
      </x:c>
      <x:c r="D208" s="56" t="str">
        <x:v>Badin Formation</x:v>
      </x:c>
      <x:c r="E208" s="56" t="str">
        <x:v>51.799999</x:v>
      </x:c>
      <x:c r="F208" s="56" t="str">
        <x:v>112</x:v>
      </x:c>
      <x:c r="G208" s="56" t="str">
        <x:v>High-T</x:v>
      </x:c>
      <x:c r="H208" s="56" t="str">
        <x:v>224.3</x:v>
      </x:c>
      <x:c r="I208" s="56" t="str">
        <x:v>-75.199997</x:v>
      </x:c>
      <x:c r="J208" s="56" t="str">
        <x:v>64.400002</x:v>
      </x:c>
      <x:c r="K208" s="56" t="str">
        <x:v>161</x:v>
      </x:c>
      <x:c r="L208" s="56" t="str">
        <x:v>D</x:v>
      </x:c>
      <x:c r="M208" s="59" t="str"/>
      <x:c r="N208" s="56" t="n">
        <x:f>--(LEN(M208)&gt;0)</x:f>
        <x:v>0</x:v>
      </x:c>
      <x:c r="O208" s="56" t="n">
        <x:v>0</x:v>
      </x:c>
      <x:c r="P208" s="56" t="n">
        <x:f>--(N208=O208)</x:f>
        <x:v>1</x:v>
      </x:c>
      <x:c r="Q208" s="56" t="str">
        <x:v>PRESENT</x:v>
      </x:c>
      <x:c r="R208" s="59" t="str">
        <x:v>IRM(MAGN)</x:v>
      </x:c>
      <x:c r="S208" s="59" t="str">
        <x:v>IRM(MAGN)</x:v>
      </x:c>
      <x:c r="T208" s="56" t="n">
        <x:f>--(Q208="PRESENT")</x:f>
        <x:v>1</x:v>
      </x:c>
      <x:c r="U208" s="56" t="n">
        <x:f>--(T208=N208)</x:f>
        <x:v>0</x:v>
      </x:c>
      <x:c r="V208" s="56" t="n">
        <x:f>--(T208=O208)</x:f>
        <x:v>0</x:v>
      </x:c>
      <x:c r="W208" s="56" t="n">
        <x:f>--(OR(Q208="PRESENT",Q208="ABSENT"))</x:f>
        <x:v>1</x:v>
      </x:c>
      <x:c r="X208" s="56" t="str">
        <x:v>MEDIUM</x:v>
      </x:c>
      <x:c r="Y208" s="56" t="str">
        <x:v>METADATA_UNIQUE</x:v>
      </x:c>
      <x:c r="Z208" s="57" t="b">
        <x:v>1</x:v>
      </x:c>
      <x:c r="AA208" s="57" t="b">
        <x:v>1</x:v>
      </x:c>
      <x:c r="AB208" s="56" t="n">
        <x:v>0</x:v>
      </x:c>
      <x:c r="AC208" s="56" t="str">
        <x:v>IRM</x:v>
      </x:c>
      <x:c r="AD208" s="56" t="str">
        <x:v>MAGN</x:v>
      </x:c>
      <x:c r="AE208" s="56" t="str"/>
      <x:c r="AF208" s="56" t="str">
        <x:v>12, 15, 16</x:v>
      </x:c>
      <x:c r="AG208" s="59" t="str">
        <x:v>p.16: IRM | p.12: IRM | p.12: magnetite</x:v>
      </x:c>
      <x:c r="AH208" s="58" t="n">
        <x:v>0.8896085840071379</x:v>
      </x:c>
      <x:c r="AI208" s="56" t="n">
        <x:f>--(AH208&gt;=0.5)</x:f>
        <x:v>1</x:v>
      </x:c>
      <x:c r="AJ208" s="56" t="n">
        <x:f>--(AI208=O208)</x:f>
        <x:v>0</x:v>
      </x:c>
      <x:c r="AK208" s="58" t="n">
        <x:v>0.7114096058978872</x:v>
      </x:c>
      <x:c r="AL208" s="56" t="n">
        <x:f>--(AK208&gt;=0.5)</x:f>
        <x:v>1</x:v>
      </x:c>
      <x:c r="AM208" s="56" t="n">
        <x:f>--(AL208=O208)</x:f>
        <x:v>0</x:v>
      </x:c>
    </x:row>
    <x:row r="209" ht="32" customHeight="1">
      <x:c r="A209" s="56" t="str">
        <x:v>3633</x:v>
      </x:c>
      <x:c r="B209" s="56" t="str">
        <x:v>9185</x:v>
      </x:c>
      <x:c r="C209" s="56" t="str">
        <x:v>7441</x:v>
      </x:c>
      <x:c r="D209" s="56" t="str">
        <x:v>Summerville Formation (Trujillo)</x:v>
      </x:c>
      <x:c r="E209" s="56" t="str">
        <x:v>35.5</x:v>
      </x:c>
      <x:c r="F209" s="56" t="str">
        <x:v>-104.2</x:v>
      </x:c>
      <x:c r="G209" s="56" t="str"/>
      <x:c r="H209" s="56" t="str">
        <x:v>326.20001</x:v>
      </x:c>
      <x:c r="I209" s="56" t="str">
        <x:v>36.799999</x:v>
      </x:c>
      <x:c r="J209" s="56" t="str">
        <x:v>56.799999</x:v>
      </x:c>
      <x:c r="K209" s="56" t="str">
        <x:v>147.39999</x:v>
      </x:c>
      <x:c r="L209" s="56" t="str">
        <x:v>D</x:v>
      </x:c>
      <x:c r="M209" s="59" t="str"/>
      <x:c r="N209" s="56" t="n">
        <x:f>--(LEN(M209)&gt;0)</x:f>
        <x:v>0</x:v>
      </x:c>
      <x:c r="O209" s="56" t="n">
        <x:v>1</x:v>
      </x:c>
      <x:c r="P209" s="56" t="n">
        <x:f>--(N209=O209)</x:f>
        <x:v>0</x:v>
      </x:c>
      <x:c r="Q209" s="56" t="str">
        <x:v>ABSTAIN_INSUFFICIENT</x:v>
      </x:c>
      <x:c r="R209" s="59" t="str"/>
      <x:c r="S209" s="59" t="str"/>
      <x:c r="T209" s="56" t="n">
        <x:f>--(Q209="PRESENT")</x:f>
        <x:v>0</x:v>
      </x:c>
      <x:c r="U209" s="56" t="n">
        <x:f>--(T209=N209)</x:f>
        <x:v>1</x:v>
      </x:c>
      <x:c r="V209" s="56" t="n">
        <x:f>--(T209=O209)</x:f>
        <x:v>0</x:v>
      </x:c>
      <x:c r="W209" s="56" t="n">
        <x:f>--(OR(Q209="PRESENT",Q209="ABSENT"))</x:f>
        <x:v>0</x:v>
      </x:c>
      <x:c r="X209" s="56" t="str">
        <x:v>LOW</x:v>
      </x:c>
      <x:c r="Y209" s="56" t="str">
        <x:v>METADATA_UNIQUE</x:v>
      </x:c>
      <x:c r="Z209" s="57" t="b">
        <x:v>1</x:v>
      </x:c>
      <x:c r="AA209" s="57" t="b">
        <x:v>1</x:v>
      </x:c>
      <x:c r="AB209" s="56" t="n">
        <x:v>0</x:v>
      </x:c>
      <x:c r="AC209" s="56" t="str"/>
      <x:c r="AD209" s="56" t="str"/>
      <x:c r="AE209" s="56" t="str"/>
      <x:c r="AF209" s="56" t="str"/>
      <x:c r="AG209" s="59" t="str"/>
      <x:c r="AH209" s="58" t="n">
        <x:v>0.08432879018295404</x:v>
      </x:c>
      <x:c r="AI209" s="56" t="n">
        <x:f>--(AH209&gt;=0.5)</x:f>
        <x:v>0</x:v>
      </x:c>
      <x:c r="AJ209" s="56" t="n">
        <x:f>--(AI209=O209)</x:f>
        <x:v>0</x:v>
      </x:c>
      <x:c r="AK209" s="58" t="n">
        <x:v>0.08432879018295406</x:v>
      </x:c>
      <x:c r="AL209" s="56" t="n">
        <x:f>--(AK209&gt;=0.5)</x:f>
        <x:v>0</x:v>
      </x:c>
      <x:c r="AM209" s="56" t="n">
        <x:f>--(AL209=O209)</x:f>
        <x:v>0</x:v>
      </x:c>
    </x:row>
    <x:row r="210" ht="32" customHeight="1">
      <x:c r="A210" s="56" t="str">
        <x:v>3633</x:v>
      </x:c>
      <x:c r="B210" s="56" t="str">
        <x:v>9186</x:v>
      </x:c>
      <x:c r="C210" s="56" t="str">
        <x:v>7442</x:v>
      </x:c>
      <x:c r="D210" s="56" t="str">
        <x:v>Summerville Formation (Romeroville)</x:v>
      </x:c>
      <x:c r="E210" s="56" t="str">
        <x:v>35.5</x:v>
      </x:c>
      <x:c r="F210" s="56" t="str">
        <x:v>-104.7</x:v>
      </x:c>
      <x:c r="G210" s="56" t="str"/>
      <x:c r="H210" s="56" t="str">
        <x:v>330.10001</x:v>
      </x:c>
      <x:c r="I210" s="56" t="str">
        <x:v>51.200001</x:v>
      </x:c>
      <x:c r="J210" s="56" t="str">
        <x:v>61.599998</x:v>
      </x:c>
      <x:c r="K210" s="56" t="str">
        <x:v>148.2</x:v>
      </x:c>
      <x:c r="L210" s="56" t="str">
        <x:v>D</x:v>
      </x:c>
      <x:c r="M210" s="59" t="str"/>
      <x:c r="N210" s="56" t="n">
        <x:f>--(LEN(M210)&gt;0)</x:f>
        <x:v>0</x:v>
      </x:c>
      <x:c r="O210" s="56" t="n">
        <x:v>0</x:v>
      </x:c>
      <x:c r="P210" s="56" t="n">
        <x:f>--(N210=O210)</x:f>
        <x:v>1</x:v>
      </x:c>
      <x:c r="Q210" s="56" t="str">
        <x:v>ABSTAIN_INSUFFICIENT</x:v>
      </x:c>
      <x:c r="R210" s="59" t="str"/>
      <x:c r="S210" s="59" t="str"/>
      <x:c r="T210" s="56" t="n">
        <x:f>--(Q210="PRESENT")</x:f>
        <x:v>0</x:v>
      </x:c>
      <x:c r="U210" s="56" t="n">
        <x:f>--(T210=N210)</x:f>
        <x:v>1</x:v>
      </x:c>
      <x:c r="V210" s="56" t="n">
        <x:f>--(T210=O210)</x:f>
        <x:v>1</x:v>
      </x:c>
      <x:c r="W210" s="56" t="n">
        <x:f>--(OR(Q210="PRESENT",Q210="ABSENT"))</x:f>
        <x:v>0</x:v>
      </x:c>
      <x:c r="X210" s="56" t="str">
        <x:v>LOW</x:v>
      </x:c>
      <x:c r="Y210" s="56" t="str">
        <x:v>METADATA_UNIQUE</x:v>
      </x:c>
      <x:c r="Z210" s="57" t="b">
        <x:v>1</x:v>
      </x:c>
      <x:c r="AA210" s="57" t="b">
        <x:v>1</x:v>
      </x:c>
      <x:c r="AB210" s="56" t="n">
        <x:v>0</x:v>
      </x:c>
      <x:c r="AC210" s="56" t="str"/>
      <x:c r="AD210" s="56" t="str"/>
      <x:c r="AE210" s="56" t="str"/>
      <x:c r="AF210" s="56" t="str"/>
      <x:c r="AG210" s="59" t="str"/>
      <x:c r="AH210" s="58" t="n">
        <x:v>0.07394018776139552</x:v>
      </x:c>
      <x:c r="AI210" s="56" t="n">
        <x:f>--(AH210&gt;=0.5)</x:f>
        <x:v>0</x:v>
      </x:c>
      <x:c r="AJ210" s="56" t="n">
        <x:f>--(AI210=O210)</x:f>
        <x:v>1</x:v>
      </x:c>
      <x:c r="AK210" s="58" t="n">
        <x:v>0.07394018776139552</x:v>
      </x:c>
      <x:c r="AL210" s="56" t="n">
        <x:f>--(AK210&gt;=0.5)</x:f>
        <x:v>0</x:v>
      </x:c>
      <x:c r="AM210" s="56" t="n">
        <x:f>--(AL210=O210)</x:f>
        <x:v>1</x:v>
      </x:c>
    </x:row>
    <x:row r="211" ht="32" customHeight="1">
      <x:c r="A211" s="56" t="str">
        <x:v>3695</x:v>
      </x:c>
      <x:c r="B211" s="56" t="str">
        <x:v>9291</x:v>
      </x:c>
      <x:c r="C211" s="56" t="str">
        <x:v>7542</x:v>
      </x:c>
      <x:c r="D211" s="56" t="str">
        <x:v>Tobacco Root Mountains Dykes A and C</x:v>
      </x:c>
      <x:c r="E211" s="56" t="str">
        <x:v>45.5</x:v>
      </x:c>
      <x:c r="F211" s="56" t="str">
        <x:v>-112</x:v>
      </x:c>
      <x:c r="G211" s="56" t="str">
        <x:v>A1 component</x:v>
      </x:c>
      <x:c r="H211" s="56" t="str">
        <x:v>225</x:v>
      </x:c>
      <x:c r="I211" s="56" t="str">
        <x:v>61.799999</x:v>
      </x:c>
      <x:c r="J211" s="56" t="str">
        <x:v>8.6999998</x:v>
      </x:c>
      <x:c r="K211" s="56" t="str">
        <x:v>216.10001</x:v>
      </x:c>
      <x:c r="L211" s="56" t="str">
        <x:v>V</x:v>
      </x:c>
      <x:c r="M211" s="59" t="str">
        <x:v>IRM,HYST,Js-T(MAGN)</x:v>
      </x:c>
      <x:c r="N211" s="56" t="n">
        <x:f>--(LEN(M211)&gt;0)</x:f>
        <x:v>1</x:v>
      </x:c>
      <x:c r="O211" s="56" t="n">
        <x:v>1</x:v>
      </x:c>
      <x:c r="P211" s="56" t="n">
        <x:f>--(N211=O211)</x:f>
        <x:v>1</x:v>
      </x:c>
      <x:c r="Q211" s="56" t="str">
        <x:v>PRESENT</x:v>
      </x:c>
      <x:c r="R211" s="59" t="str">
        <x:v>IRM(MAGN,TM)</x:v>
      </x:c>
      <x:c r="S211" s="59" t="str">
        <x:v>IRM(MAGN,TM)</x:v>
      </x:c>
      <x:c r="T211" s="56" t="n">
        <x:f>--(Q211="PRESENT")</x:f>
        <x:v>1</x:v>
      </x:c>
      <x:c r="U211" s="56" t="n">
        <x:f>--(T211=N211)</x:f>
        <x:v>1</x:v>
      </x:c>
      <x:c r="V211" s="56" t="n">
        <x:f>--(T211=O211)</x:f>
        <x:v>1</x:v>
      </x:c>
      <x:c r="W211" s="56" t="n">
        <x:f>--(OR(Q211="PRESENT",Q211="ABSENT"))</x:f>
        <x:v>1</x:v>
      </x:c>
      <x:c r="X211" s="56" t="str">
        <x:v>MEDIUM</x:v>
      </x:c>
      <x:c r="Y211" s="56" t="str">
        <x:v>METADATA_UNIQUE</x:v>
      </x:c>
      <x:c r="Z211" s="57" t="b">
        <x:v>1</x:v>
      </x:c>
      <x:c r="AA211" s="57" t="b">
        <x:v>1</x:v>
      </x:c>
      <x:c r="AB211" s="56" t="n">
        <x:v>0</x:v>
      </x:c>
      <x:c r="AC211" s="56" t="str">
        <x:v>IRM</x:v>
      </x:c>
      <x:c r="AD211" s="56" t="str">
        <x:v>MAGN,TM</x:v>
      </x:c>
      <x:c r="AE211" s="56" t="str"/>
      <x:c r="AF211" s="56" t="str">
        <x:v>13, 20</x:v>
      </x:c>
      <x:c r="AG211" s="59" t="str">
        <x:v>p.13: IRM | p.20: IRM | p.20: magnetite</x:v>
      </x:c>
      <x:c r="AH211" s="58" t="n">
        <x:v>0.8985468577378324</x:v>
      </x:c>
      <x:c r="AI211" s="56" t="n">
        <x:f>--(AH211&gt;=0.5)</x:f>
        <x:v>1</x:v>
      </x:c>
      <x:c r="AJ211" s="56" t="n">
        <x:f>--(AI211=O211)</x:f>
        <x:v>1</x:v>
      </x:c>
      <x:c r="AK211" s="58" t="n">
        <x:v>0.8985468577378324</x:v>
      </x:c>
      <x:c r="AL211" s="56" t="n">
        <x:f>--(AK211&gt;=0.5)</x:f>
        <x:v>1</x:v>
      </x:c>
      <x:c r="AM211" s="56" t="n">
        <x:f>--(AL211=O211)</x:f>
        <x:v>1</x:v>
      </x:c>
    </x:row>
    <x:row r="212" ht="32" customHeight="1">
      <x:c r="A212" s="56" t="str">
        <x:v>3695</x:v>
      </x:c>
      <x:c r="B212" s="56" t="str">
        <x:v>9292</x:v>
      </x:c>
      <x:c r="C212" s="56" t="str">
        <x:v>7543</x:v>
      </x:c>
      <x:c r="D212" s="56" t="str">
        <x:v>Tobacco Root Mountains Dykes B</x:v>
      </x:c>
      <x:c r="E212" s="56" t="str">
        <x:v>45.5</x:v>
      </x:c>
      <x:c r="F212" s="56" t="str">
        <x:v>-112</x:v>
      </x:c>
      <x:c r="G212" s="56" t="str">
        <x:v>B1 component</x:v>
      </x:c>
      <x:c r="H212" s="56" t="str">
        <x:v>301.5</x:v>
      </x:c>
      <x:c r="I212" s="56" t="str">
        <x:v>-17.1</x:v>
      </x:c>
      <x:c r="J212" s="56" t="str">
        <x:v>14.6</x:v>
      </x:c>
      <x:c r="K212" s="56" t="str">
        <x:v>127</x:v>
      </x:c>
      <x:c r="L212" s="56" t="str">
        <x:v>V</x:v>
      </x:c>
      <x:c r="M212" s="59" t="str">
        <x:v>IRM,HYST,Js-T(MAGN)</x:v>
      </x:c>
      <x:c r="N212" s="56" t="n">
        <x:f>--(LEN(M212)&gt;0)</x:f>
        <x:v>1</x:v>
      </x:c>
      <x:c r="O212" s="56" t="n">
        <x:v>0</x:v>
      </x:c>
      <x:c r="P212" s="56" t="n">
        <x:f>--(N212=O212)</x:f>
        <x:v>0</x:v>
      </x:c>
      <x:c r="Q212" s="56" t="str">
        <x:v>PRESENT</x:v>
      </x:c>
      <x:c r="R212" s="59" t="str">
        <x:v>IRM(MAGN,TM)</x:v>
      </x:c>
      <x:c r="S212" s="59" t="str">
        <x:v>IRM(MAGN,TM)</x:v>
      </x:c>
      <x:c r="T212" s="56" t="n">
        <x:f>--(Q212="PRESENT")</x:f>
        <x:v>1</x:v>
      </x:c>
      <x:c r="U212" s="56" t="n">
        <x:f>--(T212=N212)</x:f>
        <x:v>1</x:v>
      </x:c>
      <x:c r="V212" s="56" t="n">
        <x:f>--(T212=O212)</x:f>
        <x:v>0</x:v>
      </x:c>
      <x:c r="W212" s="56" t="n">
        <x:f>--(OR(Q212="PRESENT",Q212="ABSENT"))</x:f>
        <x:v>1</x:v>
      </x:c>
      <x:c r="X212" s="56" t="str">
        <x:v>MEDIUM</x:v>
      </x:c>
      <x:c r="Y212" s="56" t="str">
        <x:v>METADATA_UNIQUE</x:v>
      </x:c>
      <x:c r="Z212" s="57" t="b">
        <x:v>1</x:v>
      </x:c>
      <x:c r="AA212" s="57" t="b">
        <x:v>1</x:v>
      </x:c>
      <x:c r="AB212" s="56" t="n">
        <x:v>1</x:v>
      </x:c>
      <x:c r="AC212" s="56" t="str">
        <x:v>IRM</x:v>
      </x:c>
      <x:c r="AD212" s="56" t="str">
        <x:v>MAGN,TM</x:v>
      </x:c>
      <x:c r="AE212" s="56" t="str"/>
      <x:c r="AF212" s="56" t="str">
        <x:v>13, 20</x:v>
      </x:c>
      <x:c r="AG212" s="59" t="str">
        <x:v>p.13: IRM | p.20: IRM | p.20: magnetite</x:v>
      </x:c>
      <x:c r="AH212" s="58" t="n">
        <x:v>0.8818383739116598</x:v>
      </x:c>
      <x:c r="AI212" s="56" t="n">
        <x:f>--(AH212&gt;=0.5)</x:f>
        <x:v>1</x:v>
      </x:c>
      <x:c r="AJ212" s="56" t="n">
        <x:f>--(AI212=O212)</x:f>
        <x:v>0</x:v>
      </x:c>
      <x:c r="AK212" s="58" t="n">
        <x:v>0.8818383739116598</x:v>
      </x:c>
      <x:c r="AL212" s="56" t="n">
        <x:f>--(AK212&gt;=0.5)</x:f>
        <x:v>1</x:v>
      </x:c>
      <x:c r="AM212" s="56" t="n">
        <x:f>--(AL212=O212)</x:f>
        <x:v>0</x:v>
      </x:c>
    </x:row>
    <x:row r="213" ht="32" customHeight="1">
      <x:c r="A213" s="56" t="str">
        <x:v>3695</x:v>
      </x:c>
      <x:c r="B213" s="56" t="str">
        <x:v>9293</x:v>
      </x:c>
      <x:c r="C213" s="56" t="str">
        <x:v>7543</x:v>
      </x:c>
      <x:c r="D213" s="56" t="str">
        <x:v>Tobacco Root Mountains Dykes B</x:v>
      </x:c>
      <x:c r="E213" s="56" t="str">
        <x:v>45.5</x:v>
      </x:c>
      <x:c r="F213" s="56" t="str">
        <x:v>-112</x:v>
      </x:c>
      <x:c r="G213" s="56" t="str">
        <x:v>R overprint</x:v>
      </x:c>
      <x:c r="H213" s="56" t="str">
        <x:v>337.5</x:v>
      </x:c>
      <x:c r="I213" s="56" t="str">
        <x:v>62.900002</x:v>
      </x:c>
      <x:c r="J213" s="56" t="str">
        <x:v>74.599998</x:v>
      </x:c>
      <x:c r="K213" s="56" t="str">
        <x:v>164.2</x:v>
      </x:c>
      <x:c r="L213" s="56" t="str">
        <x:v>V</x:v>
      </x:c>
      <x:c r="M213" s="59" t="str">
        <x:v>Js-T(MAGN)</x:v>
      </x:c>
      <x:c r="N213" s="56" t="n">
        <x:f>--(LEN(M213)&gt;0)</x:f>
        <x:v>1</x:v>
      </x:c>
      <x:c r="O213" s="56" t="n">
        <x:v>1</x:v>
      </x:c>
      <x:c r="P213" s="56" t="n">
        <x:f>--(N213=O213)</x:f>
        <x:v>1</x:v>
      </x:c>
      <x:c r="Q213" s="56" t="str">
        <x:v>PRESENT</x:v>
      </x:c>
      <x:c r="R213" s="59" t="str">
        <x:v>IRM(MAGN,TM)</x:v>
      </x:c>
      <x:c r="S213" s="59" t="str">
        <x:v>IRM(MAGN,TM)</x:v>
      </x:c>
      <x:c r="T213" s="56" t="n">
        <x:f>--(Q213="PRESENT")</x:f>
        <x:v>1</x:v>
      </x:c>
      <x:c r="U213" s="56" t="n">
        <x:f>--(T213=N213)</x:f>
        <x:v>1</x:v>
      </x:c>
      <x:c r="V213" s="56" t="n">
        <x:f>--(T213=O213)</x:f>
        <x:v>1</x:v>
      </x:c>
      <x:c r="W213" s="56" t="n">
        <x:f>--(OR(Q213="PRESENT",Q213="ABSENT"))</x:f>
        <x:v>1</x:v>
      </x:c>
      <x:c r="X213" s="56" t="str">
        <x:v>MEDIUM</x:v>
      </x:c>
      <x:c r="Y213" s="56" t="str">
        <x:v>METADATA_UNIQUE</x:v>
      </x:c>
      <x:c r="Z213" s="57" t="b">
        <x:v>1</x:v>
      </x:c>
      <x:c r="AA213" s="57" t="b">
        <x:v>1</x:v>
      </x:c>
      <x:c r="AB213" s="56" t="n">
        <x:v>1</x:v>
      </x:c>
      <x:c r="AC213" s="56" t="str">
        <x:v>IRM</x:v>
      </x:c>
      <x:c r="AD213" s="56" t="str">
        <x:v>MAGN,TM</x:v>
      </x:c>
      <x:c r="AE213" s="56" t="str"/>
      <x:c r="AF213" s="56" t="str">
        <x:v>13, 20</x:v>
      </x:c>
      <x:c r="AG213" s="59" t="str">
        <x:v>p.13: IRM | p.20: IRM | p.20: magnetite</x:v>
      </x:c>
      <x:c r="AH213" s="58" t="n">
        <x:v>0.8818383739116598</x:v>
      </x:c>
      <x:c r="AI213" s="56" t="n">
        <x:f>--(AH213&gt;=0.5)</x:f>
        <x:v>1</x:v>
      </x:c>
      <x:c r="AJ213" s="56" t="n">
        <x:f>--(AI213=O213)</x:f>
        <x:v>1</x:v>
      </x:c>
      <x:c r="AK213" s="58" t="n">
        <x:v>0.8818383739116598</x:v>
      </x:c>
      <x:c r="AL213" s="56" t="n">
        <x:f>--(AK213&gt;=0.5)</x:f>
        <x:v>1</x:v>
      </x:c>
      <x:c r="AM213" s="56" t="n">
        <x:f>--(AL213=O213)</x:f>
        <x:v>1</x:v>
      </x:c>
    </x:row>
    <x:row r="214" ht="32" customHeight="1">
      <x:c r="A214" s="56" t="str">
        <x:v>3695</x:v>
      </x:c>
      <x:c r="B214" s="56" t="str">
        <x:v>9294</x:v>
      </x:c>
      <x:c r="C214" s="56" t="str">
        <x:v>7544</x:v>
      </x:c>
      <x:c r="D214" s="56" t="str">
        <x:v>Tobacco Root Mountains Laramide Pluton</x:v>
      </x:c>
      <x:c r="E214" s="56" t="str">
        <x:v>45.421501</x:v>
      </x:c>
      <x:c r="F214" s="56" t="str">
        <x:v>-112.0534</x:v>
      </x:c>
      <x:c r="G214" s="56" t="str"/>
      <x:c r="H214" s="56" t="str">
        <x:v>191</x:v>
      </x:c>
      <x:c r="I214" s="56" t="str">
        <x:v>-68.099998</x:v>
      </x:c>
      <x:c r="J214" s="56" t="str">
        <x:v>80.699997</x:v>
      </x:c>
      <x:c r="K214" s="56" t="str">
        <x:v>295.60001</x:v>
      </x:c>
      <x:c r="L214" s="56" t="str">
        <x:v>D</x:v>
      </x:c>
      <x:c r="M214" s="59" t="str"/>
      <x:c r="N214" s="56" t="n">
        <x:f>--(LEN(M214)&gt;0)</x:f>
        <x:v>0</x:v>
      </x:c>
      <x:c r="O214" s="56" t="n">
        <x:v>0</x:v>
      </x:c>
      <x:c r="P214" s="56" t="n">
        <x:f>--(N214=O214)</x:f>
        <x:v>1</x:v>
      </x:c>
      <x:c r="Q214" s="56" t="str">
        <x:v>PRESENT</x:v>
      </x:c>
      <x:c r="R214" s="59" t="str">
        <x:v>IRM(MAGN,HEM)</x:v>
      </x:c>
      <x:c r="S214" s="59" t="str">
        <x:v>IRM(MAGN,HEM)</x:v>
      </x:c>
      <x:c r="T214" s="56" t="n">
        <x:f>--(Q214="PRESENT")</x:f>
        <x:v>1</x:v>
      </x:c>
      <x:c r="U214" s="56" t="n">
        <x:f>--(T214=N214)</x:f>
        <x:v>0</x:v>
      </x:c>
      <x:c r="V214" s="56" t="n">
        <x:f>--(T214=O214)</x:f>
        <x:v>0</x:v>
      </x:c>
      <x:c r="W214" s="56" t="n">
        <x:f>--(OR(Q214="PRESENT",Q214="ABSENT"))</x:f>
        <x:v>1</x:v>
      </x:c>
      <x:c r="X214" s="56" t="str">
        <x:v>MEDIUM</x:v>
      </x:c>
      <x:c r="Y214" s="56" t="str">
        <x:v>METADATA_UNIQUE</x:v>
      </x:c>
      <x:c r="Z214" s="57" t="b">
        <x:v>1</x:v>
      </x:c>
      <x:c r="AA214" s="57" t="b">
        <x:v>1</x:v>
      </x:c>
      <x:c r="AB214" s="56" t="n">
        <x:v>0</x:v>
      </x:c>
      <x:c r="AC214" s="56" t="str">
        <x:v>IRM</x:v>
      </x:c>
      <x:c r="AD214" s="56" t="str">
        <x:v>MAGN,HEM</x:v>
      </x:c>
      <x:c r="AE214" s="56" t="str"/>
      <x:c r="AF214" s="56" t="str">
        <x:v>13, 20</x:v>
      </x:c>
      <x:c r="AG214" s="59" t="str">
        <x:v>p.13: IRM | p.20: IRM | p.20: magnetite</x:v>
      </x:c>
      <x:c r="AH214" s="58" t="n">
        <x:v>0.9003929524510638</x:v>
      </x:c>
      <x:c r="AI214" s="56" t="n">
        <x:f>--(AH214&gt;=0.5)</x:f>
        <x:v>1</x:v>
      </x:c>
      <x:c r="AJ214" s="56" t="n">
        <x:f>--(AI214=O214)</x:f>
        <x:v>0</x:v>
      </x:c>
      <x:c r="AK214" s="58" t="n">
        <x:v>0.9003929524510639</x:v>
      </x:c>
      <x:c r="AL214" s="56" t="n">
        <x:f>--(AK214&gt;=0.5)</x:f>
        <x:v>1</x:v>
      </x:c>
      <x:c r="AM214" s="56" t="n">
        <x:f>--(AL214=O214)</x:f>
        <x:v>0</x:v>
      </x:c>
    </x:row>
    <x:row r="215" ht="32" customHeight="1">
      <x:c r="A215" s="56" t="str">
        <x:v>3704</x:v>
      </x:c>
      <x:c r="B215" s="56" t="str">
        <x:v>9305</x:v>
      </x:c>
      <x:c r="C215" s="56" t="str">
        <x:v>7555</x:v>
      </x:c>
      <x:c r="D215" s="56" t="str">
        <x:v>Tin Serririne Intrusives, Azzaoua Area</x:v>
      </x:c>
      <x:c r="E215" s="56" t="str">
        <x:v>21.1</x:v>
      </x:c>
      <x:c r="F215" s="56" t="str">
        <x:v>7.3800001</x:v>
      </x:c>
      <x:c r="G215" s="56" t="str">
        <x:v>B component, Location 1</x:v>
      </x:c>
      <x:c r="H215" s="56" t="str">
        <x:v>154.8</x:v>
      </x:c>
      <x:c r="I215" s="56" t="str">
        <x:v>60.299999</x:v>
      </x:c>
      <x:c r="J215" s="56" t="str">
        <x:v>-23.4</x:v>
      </x:c>
      <x:c r="K215" s="56" t="str">
        <x:v>30.299999</x:v>
      </x:c>
      <x:c r="L215" s="56" t="str">
        <x:v>V</x:v>
      </x:c>
      <x:c r="M215" s="59" t="str">
        <x:v>SUSC-T,HYST(THEM,MAGN,HEM)</x:v>
      </x:c>
      <x:c r="N215" s="56" t="n">
        <x:f>--(LEN(M215)&gt;0)</x:f>
        <x:v>1</x:v>
      </x:c>
      <x:c r="O215" s="56" t="n">
        <x:v>0</x:v>
      </x:c>
      <x:c r="P215" s="56" t="n">
        <x:f>--(N215=O215)</x:f>
        <x:v>0</x:v>
      </x:c>
      <x:c r="Q215" s="56" t="str">
        <x:v>ABSTAIN_INSUFFICIENT</x:v>
      </x:c>
      <x:c r="R215" s="59" t="str"/>
      <x:c r="S215" s="59" t="str"/>
      <x:c r="T215" s="56" t="n">
        <x:f>--(Q215="PRESENT")</x:f>
        <x:v>0</x:v>
      </x:c>
      <x:c r="U215" s="56" t="n">
        <x:f>--(T215=N215)</x:f>
        <x:v>0</x:v>
      </x:c>
      <x:c r="V215" s="56" t="n">
        <x:f>--(T215=O215)</x:f>
        <x:v>1</x:v>
      </x:c>
      <x:c r="W215" s="56" t="n">
        <x:f>--(OR(Q215="PRESENT",Q215="ABSENT"))</x:f>
        <x:v>0</x:v>
      </x:c>
      <x:c r="X215" s="56" t="str">
        <x:v>LOW</x:v>
      </x:c>
      <x:c r="Y215" s="56" t="str">
        <x:v>METADATA_UNIQUE</x:v>
      </x:c>
      <x:c r="Z215" s="57" t="b">
        <x:v>1</x:v>
      </x:c>
      <x:c r="AA215" s="57" t="b">
        <x:v>1</x:v>
      </x:c>
      <x:c r="AB215" s="56" t="n">
        <x:v>0</x:v>
      </x:c>
      <x:c r="AC215" s="56" t="str"/>
      <x:c r="AD215" s="56" t="str"/>
      <x:c r="AE215" s="56" t="str"/>
      <x:c r="AF215" s="56" t="str"/>
      <x:c r="AG215" s="59" t="str"/>
      <x:c r="AH215" s="58" t="n">
        <x:v>0.9621526297507066</x:v>
      </x:c>
      <x:c r="AI215" s="56" t="n">
        <x:f>--(AH215&gt;=0.5)</x:f>
        <x:v>1</x:v>
      </x:c>
      <x:c r="AJ215" s="56" t="n">
        <x:f>--(AI215=O215)</x:f>
        <x:v>0</x:v>
      </x:c>
      <x:c r="AK215" s="58" t="n">
        <x:v>0.9621526297507067</x:v>
      </x:c>
      <x:c r="AL215" s="56" t="n">
        <x:f>--(AK215&gt;=0.5)</x:f>
        <x:v>1</x:v>
      </x:c>
      <x:c r="AM215" s="56" t="n">
        <x:f>--(AL215=O215)</x:f>
        <x:v>0</x:v>
      </x:c>
    </x:row>
    <x:row r="216" ht="32" customHeight="1">
      <x:c r="A216" s="56" t="str">
        <x:v>3704</x:v>
      </x:c>
      <x:c r="B216" s="56" t="str">
        <x:v>9306</x:v>
      </x:c>
      <x:c r="C216" s="56" t="str">
        <x:v>7556</x:v>
      </x:c>
      <x:c r="D216" s="56" t="str">
        <x:v>Tin Serririne Intrusives, Im-Meskour Area</x:v>
      </x:c>
      <x:c r="E216" s="56" t="str">
        <x:v>20.799999</x:v>
      </x:c>
      <x:c r="F216" s="56" t="str">
        <x:v>6.46</x:v>
      </x:c>
      <x:c r="G216" s="56" t="str">
        <x:v>B component, Location 2</x:v>
      </x:c>
      <x:c r="H216" s="56" t="str">
        <x:v>140.60001</x:v>
      </x:c>
      <x:c r="I216" s="56" t="str">
        <x:v>65.699997</x:v>
      </x:c>
      <x:c r="J216" s="56" t="str">
        <x:v>12.6</x:v>
      </x:c>
      <x:c r="K216" s="56" t="str">
        <x:v>212.3</x:v>
      </x:c>
      <x:c r="L216" s="56" t="str">
        <x:v>V</x:v>
      </x:c>
      <x:c r="M216" s="59" t="str">
        <x:v>SUSC-T,HYST(THEM,MAGN,HEM)</x:v>
      </x:c>
      <x:c r="N216" s="56" t="n">
        <x:f>--(LEN(M216)&gt;0)</x:f>
        <x:v>1</x:v>
      </x:c>
      <x:c r="O216" s="56" t="n">
        <x:v>0</x:v>
      </x:c>
      <x:c r="P216" s="56" t="n">
        <x:f>--(N216=O216)</x:f>
        <x:v>0</x:v>
      </x:c>
      <x:c r="Q216" s="56" t="str">
        <x:v>ABSTAIN_INSUFFICIENT</x:v>
      </x:c>
      <x:c r="R216" s="59" t="str"/>
      <x:c r="S216" s="59" t="str"/>
      <x:c r="T216" s="56" t="n">
        <x:f>--(Q216="PRESENT")</x:f>
        <x:v>0</x:v>
      </x:c>
      <x:c r="U216" s="56" t="n">
        <x:f>--(T216=N216)</x:f>
        <x:v>0</x:v>
      </x:c>
      <x:c r="V216" s="56" t="n">
        <x:f>--(T216=O216)</x:f>
        <x:v>1</x:v>
      </x:c>
      <x:c r="W216" s="56" t="n">
        <x:f>--(OR(Q216="PRESENT",Q216="ABSENT"))</x:f>
        <x:v>0</x:v>
      </x:c>
      <x:c r="X216" s="56" t="str">
        <x:v>LOW</x:v>
      </x:c>
      <x:c r="Y216" s="56" t="str">
        <x:v>METADATA_UNIQUE</x:v>
      </x:c>
      <x:c r="Z216" s="57" t="b">
        <x:v>1</x:v>
      </x:c>
      <x:c r="AA216" s="57" t="b">
        <x:v>1</x:v>
      </x:c>
      <x:c r="AB216" s="56" t="n">
        <x:v>0</x:v>
      </x:c>
      <x:c r="AC216" s="56" t="str"/>
      <x:c r="AD216" s="56" t="str"/>
      <x:c r="AE216" s="56" t="str"/>
      <x:c r="AF216" s="56" t="str"/>
      <x:c r="AG216" s="59" t="str"/>
      <x:c r="AH216" s="58" t="n">
        <x:v>0.9420150958556179</x:v>
      </x:c>
      <x:c r="AI216" s="56" t="n">
        <x:f>--(AH216&gt;=0.5)</x:f>
        <x:v>1</x:v>
      </x:c>
      <x:c r="AJ216" s="56" t="n">
        <x:f>--(AI216=O216)</x:f>
        <x:v>0</x:v>
      </x:c>
      <x:c r="AK216" s="58" t="n">
        <x:v>0.9420150958556179</x:v>
      </x:c>
      <x:c r="AL216" s="56" t="n">
        <x:f>--(AK216&gt;=0.5)</x:f>
        <x:v>1</x:v>
      </x:c>
      <x:c r="AM216" s="56" t="n">
        <x:f>--(AL216=O216)</x:f>
        <x:v>0</x:v>
      </x:c>
    </x:row>
    <x:row r="217" ht="32" customHeight="1">
      <x:c r="A217" s="56" t="str">
        <x:v>3704</x:v>
      </x:c>
      <x:c r="B217" s="56" t="str">
        <x:v>9307</x:v>
      </x:c>
      <x:c r="C217" s="56" t="str">
        <x:v>7557</x:v>
      </x:c>
      <x:c r="D217" s="56" t="str">
        <x:v>Tin Serririne Intrusives, Combined</x:v>
      </x:c>
      <x:c r="E217" s="56" t="str">
        <x:v>21</x:v>
      </x:c>
      <x:c r="F217" s="56" t="str">
        <x:v>7</x:v>
      </x:c>
      <x:c r="G217" s="56" t="str">
        <x:v>B component, Combined</x:v>
      </x:c>
      <x:c r="H217" s="56" t="str">
        <x:v>148.10001</x:v>
      </x:c>
      <x:c r="I217" s="56" t="str">
        <x:v>61.400002</x:v>
      </x:c>
      <x:c r="J217" s="56" t="str">
        <x:v>18.799999</x:v>
      </x:c>
      <x:c r="K217" s="56" t="str">
        <x:v>211.2</x:v>
      </x:c>
      <x:c r="L217" s="56" t="str">
        <x:v>V</x:v>
      </x:c>
      <x:c r="M217" s="59" t="str">
        <x:v>SUSC-T,HYST(THEM,MAGN,HEM)</x:v>
      </x:c>
      <x:c r="N217" s="56" t="n">
        <x:f>--(LEN(M217)&gt;0)</x:f>
        <x:v>1</x:v>
      </x:c>
      <x:c r="O217" s="56" t="n">
        <x:v>1</x:v>
      </x:c>
      <x:c r="P217" s="56" t="n">
        <x:f>--(N217=O217)</x:f>
        <x:v>1</x:v>
      </x:c>
      <x:c r="Q217" s="56" t="str">
        <x:v>PRESENT</x:v>
      </x:c>
      <x:c r="R217" s="59" t="str">
        <x:v>OP(ILM)</x:v>
      </x:c>
      <x:c r="S217" s="59" t="str">
        <x:v>OP(ILM)</x:v>
      </x:c>
      <x:c r="T217" s="56" t="n">
        <x:f>--(Q217="PRESENT")</x:f>
        <x:v>1</x:v>
      </x:c>
      <x:c r="U217" s="56" t="n">
        <x:f>--(T217=N217)</x:f>
        <x:v>1</x:v>
      </x:c>
      <x:c r="V217" s="56" t="n">
        <x:f>--(T217=O217)</x:f>
        <x:v>1</x:v>
      </x:c>
      <x:c r="W217" s="56" t="n">
        <x:f>--(OR(Q217="PRESENT",Q217="ABSENT"))</x:f>
        <x:v>1</x:v>
      </x:c>
      <x:c r="X217" s="56" t="str">
        <x:v>MEDIUM</x:v>
      </x:c>
      <x:c r="Y217" s="56" t="str">
        <x:v>METADATA_UNIQUE</x:v>
      </x:c>
      <x:c r="Z217" s="57" t="b">
        <x:v>1</x:v>
      </x:c>
      <x:c r="AA217" s="57" t="b">
        <x:v>1</x:v>
      </x:c>
      <x:c r="AB217" s="56" t="n">
        <x:v>1</x:v>
      </x:c>
      <x:c r="AC217" s="56" t="str">
        <x:v>OP</x:v>
      </x:c>
      <x:c r="AD217" s="56" t="str">
        <x:v>ILM</x:v>
      </x:c>
      <x:c r="AE217" s="56" t="str"/>
      <x:c r="AF217" s="56" t="str">
        <x:v>2</x:v>
      </x:c>
      <x:c r="AG217" s="59" t="str">
        <x:v>p.2: Thin section | p.2: opaque mineral | p.2: ilmenite</x:v>
      </x:c>
      <x:c r="AH217" s="58" t="n">
        <x:v>0.9012600825357056</x:v>
      </x:c>
      <x:c r="AI217" s="56" t="n">
        <x:f>--(AH217&gt;=0.5)</x:f>
        <x:v>1</x:v>
      </x:c>
      <x:c r="AJ217" s="56" t="n">
        <x:f>--(AI217=O217)</x:f>
        <x:v>1</x:v>
      </x:c>
      <x:c r="AK217" s="58" t="n">
        <x:v>0.9012600825357056</x:v>
      </x:c>
      <x:c r="AL217" s="56" t="n">
        <x:f>--(AK217&gt;=0.5)</x:f>
        <x:v>1</x:v>
      </x:c>
      <x:c r="AM217" s="56" t="n">
        <x:f>--(AL217=O217)</x:f>
        <x:v>1</x:v>
      </x:c>
    </x:row>
    <x:row r="218" ht="32" customHeight="1">
      <x:c r="A218" s="56" t="str">
        <x:v>3704</x:v>
      </x:c>
      <x:c r="B218" s="56" t="str">
        <x:v>9308</x:v>
      </x:c>
      <x:c r="C218" s="56" t="str">
        <x:v>7557</x:v>
      </x:c>
      <x:c r="D218" s="56" t="str">
        <x:v>Tin Serririne Intrusives, Combined</x:v>
      </x:c>
      <x:c r="E218" s="56" t="str">
        <x:v>21</x:v>
      </x:c>
      <x:c r="F218" s="56" t="str">
        <x:v>7</x:v>
      </x:c>
      <x:c r="G218" s="56" t="str">
        <x:v>A component, Combined</x:v>
      </x:c>
      <x:c r="H218" s="56" t="str">
        <x:v>136.7</x:v>
      </x:c>
      <x:c r="I218" s="56" t="str">
        <x:v>35.400002</x:v>
      </x:c>
      <x:c r="J218" s="56" t="str">
        <x:v>36.299999</x:v>
      </x:c>
      <x:c r="K218" s="56" t="str">
        <x:v>233.60001</x:v>
      </x:c>
      <x:c r="L218" s="56" t="str">
        <x:v>V</x:v>
      </x:c>
      <x:c r="M218" s="59" t="str">
        <x:v>SUSC-T,HYST(THEM,MAGN,HEM)</x:v>
      </x:c>
      <x:c r="N218" s="56" t="n">
        <x:f>--(LEN(M218)&gt;0)</x:f>
        <x:v>1</x:v>
      </x:c>
      <x:c r="O218" s="56" t="n">
        <x:v>1</x:v>
      </x:c>
      <x:c r="P218" s="56" t="n">
        <x:f>--(N218=O218)</x:f>
        <x:v>1</x:v>
      </x:c>
      <x:c r="Q218" s="56" t="str">
        <x:v>PRESENT</x:v>
      </x:c>
      <x:c r="R218" s="59" t="str">
        <x:v>OP(ILM)</x:v>
      </x:c>
      <x:c r="S218" s="59" t="str">
        <x:v>OP(ILM)</x:v>
      </x:c>
      <x:c r="T218" s="56" t="n">
        <x:f>--(Q218="PRESENT")</x:f>
        <x:v>1</x:v>
      </x:c>
      <x:c r="U218" s="56" t="n">
        <x:f>--(T218=N218)</x:f>
        <x:v>1</x:v>
      </x:c>
      <x:c r="V218" s="56" t="n">
        <x:f>--(T218=O218)</x:f>
        <x:v>1</x:v>
      </x:c>
      <x:c r="W218" s="56" t="n">
        <x:f>--(OR(Q218="PRESENT",Q218="ABSENT"))</x:f>
        <x:v>1</x:v>
      </x:c>
      <x:c r="X218" s="56" t="str">
        <x:v>MEDIUM</x:v>
      </x:c>
      <x:c r="Y218" s="56" t="str">
        <x:v>METADATA_UNIQUE</x:v>
      </x:c>
      <x:c r="Z218" s="57" t="b">
        <x:v>1</x:v>
      </x:c>
      <x:c r="AA218" s="57" t="b">
        <x:v>1</x:v>
      </x:c>
      <x:c r="AB218" s="56" t="n">
        <x:v>1</x:v>
      </x:c>
      <x:c r="AC218" s="56" t="str">
        <x:v>OP</x:v>
      </x:c>
      <x:c r="AD218" s="56" t="str">
        <x:v>ILM</x:v>
      </x:c>
      <x:c r="AE218" s="56" t="str"/>
      <x:c r="AF218" s="56" t="str">
        <x:v>2</x:v>
      </x:c>
      <x:c r="AG218" s="59" t="str">
        <x:v>p.2: Thin section | p.2: opaque mineral | p.2: ilmenite</x:v>
      </x:c>
      <x:c r="AH218" s="58" t="n">
        <x:v>0.9012600825357056</x:v>
      </x:c>
      <x:c r="AI218" s="56" t="n">
        <x:f>--(AH218&gt;=0.5)</x:f>
        <x:v>1</x:v>
      </x:c>
      <x:c r="AJ218" s="56" t="n">
        <x:f>--(AI218=O218)</x:f>
        <x:v>1</x:v>
      </x:c>
      <x:c r="AK218" s="58" t="n">
        <x:v>0.9012600825357056</x:v>
      </x:c>
      <x:c r="AL218" s="56" t="n">
        <x:f>--(AK218&gt;=0.5)</x:f>
        <x:v>1</x:v>
      </x:c>
      <x:c r="AM218" s="56" t="n">
        <x:f>--(AL218=O218)</x:f>
        <x:v>1</x:v>
      </x:c>
    </x:row>
    <x:row r="219" ht="32" customHeight="1">
      <x:c r="A219" s="56" t="str">
        <x:v>3709</x:v>
      </x:c>
      <x:c r="B219" s="56" t="str">
        <x:v>9318</x:v>
      </x:c>
      <x:c r="C219" s="56" t="str">
        <x:v>7566</x:v>
      </x:c>
      <x:c r="D219" s="56" t="str">
        <x:v>Olenek Intrusions</x:v>
      </x:c>
      <x:c r="E219" s="56" t="str">
        <x:v>70.699997</x:v>
      </x:c>
      <x:c r="F219" s="56" t="str">
        <x:v>124.2</x:v>
      </x:c>
      <x:c r="G219" s="56" t="str"/>
      <x:c r="H219" s="56" t="str">
        <x:v>43.799999</x:v>
      </x:c>
      <x:c r="I219" s="56" t="str">
        <x:v>36.700001</x:v>
      </x:c>
      <x:c r="J219" s="56" t="str">
        <x:v>33.599998</x:v>
      </x:c>
      <x:c r="K219" s="56" t="str">
        <x:v>253.10001</x:v>
      </x:c>
      <x:c r="L219" s="56" t="str">
        <x:v>V</x:v>
      </x:c>
      <x:c r="M219" s="59" t="str">
        <x:v>SUSC-T(MAGN)</x:v>
      </x:c>
      <x:c r="N219" s="56" t="n">
        <x:f>--(LEN(M219)&gt;0)</x:f>
        <x:v>1</x:v>
      </x:c>
      <x:c r="O219" s="56" t="n">
        <x:v>1</x:v>
      </x:c>
      <x:c r="P219" s="56" t="n">
        <x:f>--(N219=O219)</x:f>
        <x:v>1</x:v>
      </x:c>
      <x:c r="Q219" s="56" t="str">
        <x:v>ABSTAIN_INSUFFICIENT</x:v>
      </x:c>
      <x:c r="R219" s="59" t="str"/>
      <x:c r="S219" s="59" t="str"/>
      <x:c r="T219" s="56" t="n">
        <x:f>--(Q219="PRESENT")</x:f>
        <x:v>0</x:v>
      </x:c>
      <x:c r="U219" s="56" t="n">
        <x:f>--(T219=N219)</x:f>
        <x:v>0</x:v>
      </x:c>
      <x:c r="V219" s="56" t="n">
        <x:f>--(T219=O219)</x:f>
        <x:v>0</x:v>
      </x:c>
      <x:c r="W219" s="56" t="n">
        <x:f>--(OR(Q219="PRESENT",Q219="ABSENT"))</x:f>
        <x:v>0</x:v>
      </x:c>
      <x:c r="X219" s="56" t="str">
        <x:v>LOW</x:v>
      </x:c>
      <x:c r="Y219" s="56" t="str">
        <x:v>METADATA_UNIQUE</x:v>
      </x:c>
      <x:c r="Z219" s="57" t="b">
        <x:v>1</x:v>
      </x:c>
      <x:c r="AA219" s="57" t="b">
        <x:v>1</x:v>
      </x:c>
      <x:c r="AB219" s="56" t="n">
        <x:v>0</x:v>
      </x:c>
      <x:c r="AC219" s="56" t="str"/>
      <x:c r="AD219" s="56" t="str"/>
      <x:c r="AE219" s="56" t="str"/>
      <x:c r="AF219" s="56" t="str"/>
      <x:c r="AG219" s="59" t="str"/>
      <x:c r="AH219" s="58" t="n">
        <x:v>0.7092416109261378</x:v>
      </x:c>
      <x:c r="AI219" s="56" t="n">
        <x:f>--(AH219&gt;=0.5)</x:f>
        <x:v>1</x:v>
      </x:c>
      <x:c r="AJ219" s="56" t="n">
        <x:f>--(AI219=O219)</x:f>
        <x:v>1</x:v>
      </x:c>
      <x:c r="AK219" s="58" t="n">
        <x:v>0.7092416109261379</x:v>
      </x:c>
      <x:c r="AL219" s="56" t="n">
        <x:f>--(AK219&gt;=0.5)</x:f>
        <x:v>1</x:v>
      </x:c>
      <x:c r="AM219" s="56" t="n">
        <x:f>--(AL219=O219)</x:f>
        <x:v>1</x:v>
      </x:c>
    </x:row>
    <x:row r="220" ht="32" customHeight="1">
      <x:c r="A220" s="56" t="str">
        <x:v>3709</x:v>
      </x:c>
      <x:c r="B220" s="56" t="str">
        <x:v>9319</x:v>
      </x:c>
      <x:c r="C220" s="56" t="str">
        <x:v>7567</x:v>
      </x:c>
      <x:c r="D220" s="56" t="str">
        <x:v>Kyutingde Formation</x:v>
      </x:c>
      <x:c r="E220" s="56" t="str">
        <x:v>70.565903</x:v>
      </x:c>
      <x:c r="F220" s="56" t="str">
        <x:v>123.7956</x:v>
      </x:c>
      <x:c r="G220" s="56" t="str"/>
      <x:c r="H220" s="56" t="str">
        <x:v>316.20001</x:v>
      </x:c>
      <x:c r="I220" s="56" t="str">
        <x:v>2.0999999</x:v>
      </x:c>
      <x:c r="J220" s="56" t="str">
        <x:v>14.9</x:v>
      </x:c>
      <x:c r="K220" s="56" t="str">
        <x:v>349.5</x:v>
      </x:c>
      <x:c r="L220" s="56" t="str">
        <x:v>D</x:v>
      </x:c>
      <x:c r="M220" s="59" t="str"/>
      <x:c r="N220" s="56" t="n">
        <x:f>--(LEN(M220)&gt;0)</x:f>
        <x:v>0</x:v>
      </x:c>
      <x:c r="O220" s="56" t="n">
        <x:v>0</x:v>
      </x:c>
      <x:c r="P220" s="56" t="n">
        <x:f>--(N220=O220)</x:f>
        <x:v>1</x:v>
      </x:c>
      <x:c r="Q220" s="56" t="str">
        <x:v>PRESENT</x:v>
      </x:c>
      <x:c r="R220" s="59" t="str">
        <x:v>SUSC-T(TM,ILM)</x:v>
      </x:c>
      <x:c r="S220" s="59" t="str">
        <x:v>SUSC-T(TM,ILM)</x:v>
      </x:c>
      <x:c r="T220" s="56" t="n">
        <x:f>--(Q220="PRESENT")</x:f>
        <x:v>1</x:v>
      </x:c>
      <x:c r="U220" s="56" t="n">
        <x:f>--(T220=N220)</x:f>
        <x:v>0</x:v>
      </x:c>
      <x:c r="V220" s="56" t="n">
        <x:f>--(T220=O220)</x:f>
        <x:v>0</x:v>
      </x:c>
      <x:c r="W220" s="56" t="n">
        <x:f>--(OR(Q220="PRESENT",Q220="ABSENT"))</x:f>
        <x:v>1</x:v>
      </x:c>
      <x:c r="X220" s="56" t="str">
        <x:v>MEDIUM</x:v>
      </x:c>
      <x:c r="Y220" s="56" t="str">
        <x:v>METADATA_UNIQUE</x:v>
      </x:c>
      <x:c r="Z220" s="57" t="b">
        <x:v>1</x:v>
      </x:c>
      <x:c r="AA220" s="57" t="b">
        <x:v>1</x:v>
      </x:c>
      <x:c r="AB220" s="56" t="n">
        <x:v>0</x:v>
      </x:c>
      <x:c r="AC220" s="56" t="str">
        <x:v>SUSC-T</x:v>
      </x:c>
      <x:c r="AD220" s="56" t="str">
        <x:v>TM,ILM</x:v>
      </x:c>
      <x:c r="AE220" s="56" t="str">
        <x:v>SD</x:v>
      </x:c>
      <x:c r="AF220" s="56" t="str">
        <x:v>4, 6, 7</x:v>
      </x:c>
      <x:c r="AG220" s="59" t="str">
        <x:v>p.4: Analysis of Curie points using magnetic susceptibility versus temperature curves: (a) Kyutingde area; | p.6: susceptibility versus temperature | p.7: Susceptibility versus tempera- ture curves (Fig. 3) show that Curie points are distributed between 450 and 570 ◦C, indicative of low-titanium titanomagnetite as the main magnetic carrier.</x:v>
      </x:c>
      <x:c r="AH220" s="58" t="n">
        <x:v>0.8030304207309924</x:v>
      </x:c>
      <x:c r="AI220" s="56" t="n">
        <x:f>--(AH220&gt;=0.5)</x:f>
        <x:v>1</x:v>
      </x:c>
      <x:c r="AJ220" s="56" t="n">
        <x:f>--(AI220=O220)</x:f>
        <x:v>0</x:v>
      </x:c>
      <x:c r="AK220" s="58" t="n">
        <x:v>0.8030304207309924</x:v>
      </x:c>
      <x:c r="AL220" s="56" t="n">
        <x:f>--(AK220&gt;=0.5)</x:f>
        <x:v>1</x:v>
      </x:c>
      <x:c r="AM220" s="56" t="n">
        <x:f>--(AL220=O220)</x:f>
        <x:v>0</x:v>
      </x:c>
    </x:row>
    <x:row r="221" ht="32" customHeight="1">
      <x:c r="A221" s="56" t="str">
        <x:v>3713</x:v>
      </x:c>
      <x:c r="B221" s="56" t="str">
        <x:v>9325</x:v>
      </x:c>
      <x:c r="C221" s="56" t="str">
        <x:v>7573</x:v>
      </x:c>
      <x:c r="D221" s="56" t="str">
        <x:v>Upper Akitkan Group</x:v>
      </x:c>
      <x:c r="E221" s="56" t="str">
        <x:v>57.599998</x:v>
      </x:c>
      <x:c r="F221" s="56" t="str">
        <x:v>110.8</x:v>
      </x:c>
      <x:c r="G221" s="56" t="str"/>
      <x:c r="H221" s="56" t="str">
        <x:v>192.5</x:v>
      </x:c>
      <x:c r="I221" s="56" t="str">
        <x:v>18.6</x:v>
      </x:c>
      <x:c r="J221" s="56" t="str">
        <x:v>22.1</x:v>
      </x:c>
      <x:c r="K221" s="56" t="str">
        <x:v>277.5</x:v>
      </x:c>
      <x:c r="L221" s="56" t="str">
        <x:v>D</x:v>
      </x:c>
      <x:c r="M221" s="59" t="str">
        <x:v>Js-T(HEM)</x:v>
      </x:c>
      <x:c r="N221" s="56" t="n">
        <x:f>--(LEN(M221)&gt;0)</x:f>
        <x:v>1</x:v>
      </x:c>
      <x:c r="O221" s="56" t="n">
        <x:v>1</x:v>
      </x:c>
      <x:c r="P221" s="56" t="n">
        <x:f>--(N221=O221)</x:f>
        <x:v>1</x:v>
      </x:c>
      <x:c r="Q221" s="56" t="str">
        <x:v>ABSTAIN_INSUFFICIENT</x:v>
      </x:c>
      <x:c r="R221" s="59" t="str"/>
      <x:c r="S221" s="59" t="str"/>
      <x:c r="T221" s="56" t="n">
        <x:f>--(Q221="PRESENT")</x:f>
        <x:v>0</x:v>
      </x:c>
      <x:c r="U221" s="56" t="n">
        <x:f>--(T221=N221)</x:f>
        <x:v>0</x:v>
      </x:c>
      <x:c r="V221" s="56" t="n">
        <x:f>--(T221=O221)</x:f>
        <x:v>0</x:v>
      </x:c>
      <x:c r="W221" s="56" t="n">
        <x:f>--(OR(Q221="PRESENT",Q221="ABSENT"))</x:f>
        <x:v>0</x:v>
      </x:c>
      <x:c r="X221" s="56" t="str">
        <x:v>LOW</x:v>
      </x:c>
      <x:c r="Y221" s="56" t="str">
        <x:v>METADATA_UNIQUE</x:v>
      </x:c>
      <x:c r="Z221" s="57" t="b">
        <x:v>1</x:v>
      </x:c>
      <x:c r="AA221" s="57" t="b">
        <x:v>1</x:v>
      </x:c>
      <x:c r="AB221" s="56" t="n">
        <x:v>0</x:v>
      </x:c>
      <x:c r="AC221" s="56" t="str"/>
      <x:c r="AD221" s="56" t="str"/>
      <x:c r="AE221" s="56" t="str"/>
      <x:c r="AF221" s="56" t="str"/>
      <x:c r="AG221" s="59" t="str"/>
      <x:c r="AH221" s="58" t="n">
        <x:v>0.7632843179393982</x:v>
      </x:c>
      <x:c r="AI221" s="56" t="n">
        <x:f>--(AH221&gt;=0.5)</x:f>
        <x:v>1</x:v>
      </x:c>
      <x:c r="AJ221" s="56" t="n">
        <x:f>--(AI221=O221)</x:f>
        <x:v>1</x:v>
      </x:c>
      <x:c r="AK221" s="58" t="n">
        <x:v>0.7632843179393982</x:v>
      </x:c>
      <x:c r="AL221" s="56" t="n">
        <x:f>--(AK221&gt;=0.5)</x:f>
        <x:v>1</x:v>
      </x:c>
      <x:c r="AM221" s="56" t="n">
        <x:f>--(AL221=O221)</x:f>
        <x:v>1</x:v>
      </x:c>
    </x:row>
    <x:row r="222" ht="32" customHeight="1">
      <x:c r="A222" s="56" t="str">
        <x:v>3713</x:v>
      </x:c>
      <x:c r="B222" s="56" t="str">
        <x:v>9326</x:v>
      </x:c>
      <x:c r="C222" s="56" t="str">
        <x:v>7574</x:v>
      </x:c>
      <x:c r="D222" s="56" t="str">
        <x:v>Lower Akitkan Group</x:v>
      </x:c>
      <x:c r="E222" s="56" t="str">
        <x:v>54.700001</x:v>
      </x:c>
      <x:c r="F222" s="56" t="str">
        <x:v>108.8</x:v>
      </x:c>
      <x:c r="G222" s="56" t="str"/>
      <x:c r="H222" s="56" t="str">
        <x:v>188.7</x:v>
      </x:c>
      <x:c r="I222" s="56" t="str">
        <x:v>8.1000004</x:v>
      </x:c>
      <x:c r="J222" s="56" t="str">
        <x:v>30.799999</x:v>
      </x:c>
      <x:c r="K222" s="56" t="str">
        <x:v>278.70001</x:v>
      </x:c>
      <x:c r="L222" s="56" t="str">
        <x:v>D</x:v>
      </x:c>
      <x:c r="M222" s="59" t="str"/>
      <x:c r="N222" s="56" t="n">
        <x:f>--(LEN(M222)&gt;0)</x:f>
        <x:v>0</x:v>
      </x:c>
      <x:c r="O222" s="56" t="n">
        <x:v>0</x:v>
      </x:c>
      <x:c r="P222" s="56" t="n">
        <x:f>--(N222=O222)</x:f>
        <x:v>1</x:v>
      </x:c>
      <x:c r="Q222" s="56" t="str">
        <x:v>ABSTAIN_INSUFFICIENT</x:v>
      </x:c>
      <x:c r="R222" s="59" t="str"/>
      <x:c r="S222" s="59" t="str"/>
      <x:c r="T222" s="56" t="n">
        <x:f>--(Q222="PRESENT")</x:f>
        <x:v>0</x:v>
      </x:c>
      <x:c r="U222" s="56" t="n">
        <x:f>--(T222=N222)</x:f>
        <x:v>1</x:v>
      </x:c>
      <x:c r="V222" s="56" t="n">
        <x:f>--(T222=O222)</x:f>
        <x:v>1</x:v>
      </x:c>
      <x:c r="W222" s="56" t="n">
        <x:f>--(OR(Q222="PRESENT",Q222="ABSENT"))</x:f>
        <x:v>0</x:v>
      </x:c>
      <x:c r="X222" s="56" t="str">
        <x:v>LOW</x:v>
      </x:c>
      <x:c r="Y222" s="56" t="str">
        <x:v>METADATA_UNIQUE</x:v>
      </x:c>
      <x:c r="Z222" s="57" t="b">
        <x:v>1</x:v>
      </x:c>
      <x:c r="AA222" s="57" t="b">
        <x:v>1</x:v>
      </x:c>
      <x:c r="AB222" s="56" t="n">
        <x:v>0</x:v>
      </x:c>
      <x:c r="AC222" s="56" t="str"/>
      <x:c r="AD222" s="56" t="str"/>
      <x:c r="AE222" s="56" t="str"/>
      <x:c r="AF222" s="56" t="str"/>
      <x:c r="AG222" s="59" t="str"/>
      <x:c r="AH222" s="58" t="n">
        <x:v>0.7669766738337422</x:v>
      </x:c>
      <x:c r="AI222" s="56" t="n">
        <x:f>--(AH222&gt;=0.5)</x:f>
        <x:v>1</x:v>
      </x:c>
      <x:c r="AJ222" s="56" t="n">
        <x:f>--(AI222=O222)</x:f>
        <x:v>0</x:v>
      </x:c>
      <x:c r="AK222" s="58" t="n">
        <x:v>0.7669766738337422</x:v>
      </x:c>
      <x:c r="AL222" s="56" t="n">
        <x:f>--(AK222&gt;=0.5)</x:f>
        <x:v>1</x:v>
      </x:c>
      <x:c r="AM222" s="56" t="n">
        <x:f>--(AL222=O222)</x:f>
        <x:v>0</x:v>
      </x:c>
    </x:row>
    <x:row r="223" ht="32" customHeight="1">
      <x:c r="A223" s="56" t="str">
        <x:v>3742</x:v>
      </x:c>
      <x:c r="B223" s="56" t="str">
        <x:v>9368</x:v>
      </x:c>
      <x:c r="C223" s="56" t="str">
        <x:v>7610</x:v>
      </x:c>
      <x:c r="D223" s="56" t="str">
        <x:v>Bull Arm Formation, Bonavista</x:v>
      </x:c>
      <x:c r="E223" s="56" t="str">
        <x:v>48.450001</x:v>
      </x:c>
      <x:c r="F223" s="56" t="str">
        <x:v>-53.529999</x:v>
      </x:c>
      <x:c r="G223" s="56" t="str">
        <x:v>High temperature</x:v>
      </x:c>
      <x:c r="H223" s="56" t="str">
        <x:v>209.8</x:v>
      </x:c>
      <x:c r="I223" s="56" t="str">
        <x:v>34.700001</x:v>
      </x:c>
      <x:c r="J223" s="56" t="str">
        <x:v>15.1</x:v>
      </x:c>
      <x:c r="K223" s="56" t="str">
        <x:v>98.400002</x:v>
      </x:c>
      <x:c r="L223" s="56" t="str">
        <x:v>V</x:v>
      </x:c>
      <x:c r="M223" s="59" t="str">
        <x:v>SUSC-T,OP(MAGN,HEM)</x:v>
      </x:c>
      <x:c r="N223" s="56" t="n">
        <x:f>--(LEN(M223)&gt;0)</x:f>
        <x:v>1</x:v>
      </x:c>
      <x:c r="O223" s="56" t="n">
        <x:v>1</x:v>
      </x:c>
      <x:c r="P223" s="56" t="n">
        <x:f>--(N223=O223)</x:f>
        <x:v>1</x:v>
      </x:c>
      <x:c r="Q223" s="56" t="str">
        <x:v>PRESENT</x:v>
      </x:c>
      <x:c r="R223" s="59" t="str">
        <x:v>SUSC-T,OP(HEM,MAGN)</x:v>
      </x:c>
      <x:c r="S223" s="59" t="str">
        <x:v>SUSC-T,OP(HEM,MAGN)</x:v>
      </x:c>
      <x:c r="T223" s="56" t="n">
        <x:f>--(Q223="PRESENT")</x:f>
        <x:v>1</x:v>
      </x:c>
      <x:c r="U223" s="56" t="n">
        <x:f>--(T223=N223)</x:f>
        <x:v>1</x:v>
      </x:c>
      <x:c r="V223" s="56" t="n">
        <x:f>--(T223=O223)</x:f>
        <x:v>1</x:v>
      </x:c>
      <x:c r="W223" s="56" t="n">
        <x:f>--(OR(Q223="PRESENT",Q223="ABSENT"))</x:f>
        <x:v>1</x:v>
      </x:c>
      <x:c r="X223" s="56" t="str">
        <x:v>HIGH</x:v>
      </x:c>
      <x:c r="Y223" s="56" t="str">
        <x:v>PAPER_ROW_MATCH</x:v>
      </x:c>
      <x:c r="Z223" s="57" t="b">
        <x:v>1</x:v>
      </x:c>
      <x:c r="AA223" s="57" t="b">
        <x:v>1</x:v>
      </x:c>
      <x:c r="AB223" s="56" t="n">
        <x:v>0</x:v>
      </x:c>
      <x:c r="AC223" s="56" t="str">
        <x:v>SUSC-T,OP</x:v>
      </x:c>
      <x:c r="AD223" s="56" t="str">
        <x:v>HEM,MAGN</x:v>
      </x:c>
      <x:c r="AE223" s="56" t="str"/>
      <x:c r="AF223" s="56" t="str">
        <x:v>5, 6, 7, 18</x:v>
      </x:c>
      <x:c r="AG223" s="59" t="str">
        <x:v>p.6: Paleomagnetic analysis Bull Arm Formation, Bonavista locality Petrographic analysis indicates that the mafic flows of the Bull Arm Formation are variable in grain size and texture. | p.6: Opaque minerals occur as ( i) abundant, fine ragged grains homogenously distributed throughout the matrix, ( ii) inhomo- genously distributed clusters that surround clinopyroxene pseudomorphs, ( iii) fine needles within altered plagioclase, and ( iv) in localized fractures that occur at variable angles to the flow fabric. | p.6: Magnetic susceptibility ( Κ) versus temperature curves, sam- ple BA10A.</x:v>
      </x:c>
      <x:c r="AH223" s="58" t="n">
        <x:v>0.607668805745443</x:v>
      </x:c>
      <x:c r="AI223" s="56" t="n">
        <x:f>--(AH223&gt;=0.5)</x:f>
        <x:v>1</x:v>
      </x:c>
      <x:c r="AJ223" s="56" t="n">
        <x:f>--(AI223=O223)</x:f>
        <x:v>1</x:v>
      </x:c>
      <x:c r="AK223" s="58" t="n">
        <x:v>0.607668805745443</x:v>
      </x:c>
      <x:c r="AL223" s="56" t="n">
        <x:f>--(AK223&gt;=0.5)</x:f>
        <x:v>1</x:v>
      </x:c>
      <x:c r="AM223" s="56" t="n">
        <x:f>--(AL223=O223)</x:f>
        <x:v>1</x:v>
      </x:c>
    </x:row>
    <x:row r="224" ht="32" customHeight="1">
      <x:c r="A224" s="56" t="str">
        <x:v>3742</x:v>
      </x:c>
      <x:c r="B224" s="56" t="str">
        <x:v>9369</x:v>
      </x:c>
      <x:c r="C224" s="56" t="str">
        <x:v>7611</x:v>
      </x:c>
      <x:c r="D224" s="56" t="str">
        <x:v>Bull Arm Formation, Argentia</x:v>
      </x:c>
      <x:c r="E224" s="56" t="str">
        <x:v>47.27</x:v>
      </x:c>
      <x:c r="F224" s="56" t="str">
        <x:v>-53.93</x:v>
      </x:c>
      <x:c r="G224" s="56" t="str">
        <x:v>High temperature</x:v>
      </x:c>
      <x:c r="H224" s="56" t="str">
        <x:v>236.2</x:v>
      </x:c>
      <x:c r="I224" s="56" t="str">
        <x:v>41.200001</x:v>
      </x:c>
      <x:c r="J224" s="56" t="str">
        <x:v>1.7</x:v>
      </x:c>
      <x:c r="K224" s="56" t="str">
        <x:v>76.5</x:v>
      </x:c>
      <x:c r="L224" s="56" t="str">
        <x:v>V</x:v>
      </x:c>
      <x:c r="M224" s="59" t="str">
        <x:v>SUSC-T,OP(MAGN,HEM)</x:v>
      </x:c>
      <x:c r="N224" s="56" t="n">
        <x:f>--(LEN(M224)&gt;0)</x:f>
        <x:v>1</x:v>
      </x:c>
      <x:c r="O224" s="56" t="n">
        <x:v>1</x:v>
      </x:c>
      <x:c r="P224" s="56" t="n">
        <x:f>--(N224=O224)</x:f>
        <x:v>1</x:v>
      </x:c>
      <x:c r="Q224" s="56" t="str">
        <x:v>PRESENT</x:v>
      </x:c>
      <x:c r="R224" s="59" t="str">
        <x:v>SUSC-T,OP(HEM,MAGN)</x:v>
      </x:c>
      <x:c r="S224" s="59" t="str">
        <x:v>SUSC-T,OP(HEM,MAGN)</x:v>
      </x:c>
      <x:c r="T224" s="56" t="n">
        <x:f>--(Q224="PRESENT")</x:f>
        <x:v>1</x:v>
      </x:c>
      <x:c r="U224" s="56" t="n">
        <x:f>--(T224=N224)</x:f>
        <x:v>1</x:v>
      </x:c>
      <x:c r="V224" s="56" t="n">
        <x:f>--(T224=O224)</x:f>
        <x:v>1</x:v>
      </x:c>
      <x:c r="W224" s="56" t="n">
        <x:f>--(OR(Q224="PRESENT",Q224="ABSENT"))</x:f>
        <x:v>1</x:v>
      </x:c>
      <x:c r="X224" s="56" t="str">
        <x:v>HIGH</x:v>
      </x:c>
      <x:c r="Y224" s="56" t="str">
        <x:v>PAPER_ROW_MATCH</x:v>
      </x:c>
      <x:c r="Z224" s="57" t="b">
        <x:v>1</x:v>
      </x:c>
      <x:c r="AA224" s="57" t="b">
        <x:v>1</x:v>
      </x:c>
      <x:c r="AB224" s="56" t="n">
        <x:v>0</x:v>
      </x:c>
      <x:c r="AC224" s="56" t="str">
        <x:v>SUSC-T,OP</x:v>
      </x:c>
      <x:c r="AD224" s="56" t="str">
        <x:v>HEM,MAGN</x:v>
      </x:c>
      <x:c r="AE224" s="56" t="str"/>
      <x:c r="AF224" s="56" t="str">
        <x:v>5, 6, 7</x:v>
      </x:c>
      <x:c r="AG224" s="59" t="str">
        <x:v>p.6: susceptibility vs. temperature | p.6: susceptibility ( Κ) versus temperature | p.6: opaque mineral</x:v>
      </x:c>
      <x:c r="AH224" s="58" t="n">
        <x:v>0.5931733059613644</x:v>
      </x:c>
      <x:c r="AI224" s="56" t="n">
        <x:f>--(AH224&gt;=0.5)</x:f>
        <x:v>1</x:v>
      </x:c>
      <x:c r="AJ224" s="56" t="n">
        <x:f>--(AI224=O224)</x:f>
        <x:v>1</x:v>
      </x:c>
      <x:c r="AK224" s="58" t="n">
        <x:v>0.5931733059613644</x:v>
      </x:c>
      <x:c r="AL224" s="56" t="n">
        <x:f>--(AK224&gt;=0.5)</x:f>
        <x:v>1</x:v>
      </x:c>
      <x:c r="AM224" s="56" t="n">
        <x:f>--(AL224=O224)</x:f>
        <x:v>1</x:v>
      </x:c>
    </x:row>
    <x:row r="225" ht="32" customHeight="1">
      <x:c r="A225" s="56" t="str">
        <x:v>3742</x:v>
      </x:c>
      <x:c r="B225" s="56" t="str">
        <x:v>9370</x:v>
      </x:c>
      <x:c r="C225" s="56" t="str">
        <x:v>7612</x:v>
      </x:c>
      <x:c r="D225" s="56" t="str">
        <x:v>Crown Hill Formation, Bonavista</x:v>
      </x:c>
      <x:c r="E225" s="56" t="str">
        <x:v>48.59</x:v>
      </x:c>
      <x:c r="F225" s="56" t="str">
        <x:v>-53.349998</x:v>
      </x:c>
      <x:c r="G225" s="56" t="str"/>
      <x:c r="H225" s="56" t="str">
        <x:v>328.60001</x:v>
      </x:c>
      <x:c r="I225" s="56" t="str">
        <x:v>42.400002</x:v>
      </x:c>
      <x:c r="J225" s="56" t="str">
        <x:v>55.799999</x:v>
      </x:c>
      <x:c r="K225" s="56" t="str">
        <x:v>183.8</x:v>
      </x:c>
      <x:c r="L225" s="56" t="str">
        <x:v>V</x:v>
      </x:c>
      <x:c r="M225" s="59" t="str"/>
      <x:c r="N225" s="56" t="n">
        <x:f>--(LEN(M225)&gt;0)</x:f>
        <x:v>0</x:v>
      </x:c>
      <x:c r="O225" s="56" t="n">
        <x:v>0</x:v>
      </x:c>
      <x:c r="P225" s="56" t="n">
        <x:f>--(N225=O225)</x:f>
        <x:v>1</x:v>
      </x:c>
      <x:c r="Q225" s="56" t="str">
        <x:v>ABSTAIN_INSUFFICIENT</x:v>
      </x:c>
      <x:c r="R225" s="59" t="str"/>
      <x:c r="S225" s="59" t="str"/>
      <x:c r="T225" s="56" t="n">
        <x:f>--(Q225="PRESENT")</x:f>
        <x:v>0</x:v>
      </x:c>
      <x:c r="U225" s="56" t="n">
        <x:f>--(T225=N225)</x:f>
        <x:v>1</x:v>
      </x:c>
      <x:c r="V225" s="56" t="n">
        <x:f>--(T225=O225)</x:f>
        <x:v>1</x:v>
      </x:c>
      <x:c r="W225" s="56" t="n">
        <x:f>--(OR(Q225="PRESENT",Q225="ABSENT"))</x:f>
        <x:v>0</x:v>
      </x:c>
      <x:c r="X225" s="56" t="str">
        <x:v>LOW</x:v>
      </x:c>
      <x:c r="Y225" s="56" t="str">
        <x:v>METADATA_UNIQUE</x:v>
      </x:c>
      <x:c r="Z225" s="57" t="b">
        <x:v>1</x:v>
      </x:c>
      <x:c r="AA225" s="57" t="b">
        <x:v>1</x:v>
      </x:c>
      <x:c r="AB225" s="56" t="n">
        <x:v>0</x:v>
      </x:c>
      <x:c r="AC225" s="56" t="str"/>
      <x:c r="AD225" s="56" t="str"/>
      <x:c r="AE225" s="56" t="str"/>
      <x:c r="AF225" s="56" t="str"/>
      <x:c r="AG225" s="59" t="str"/>
      <x:c r="AH225" s="58" t="n">
        <x:v>0.5454009194835217</x:v>
      </x:c>
      <x:c r="AI225" s="56" t="n">
        <x:f>--(AH225&gt;=0.5)</x:f>
        <x:v>1</x:v>
      </x:c>
      <x:c r="AJ225" s="56" t="n">
        <x:f>--(AI225=O225)</x:f>
        <x:v>0</x:v>
      </x:c>
      <x:c r="AK225" s="58" t="n">
        <x:v>0.5454009194835217</x:v>
      </x:c>
      <x:c r="AL225" s="56" t="n">
        <x:f>--(AK225&gt;=0.5)</x:f>
        <x:v>1</x:v>
      </x:c>
      <x:c r="AM225" s="56" t="n">
        <x:f>--(AL225=O225)</x:f>
        <x:v>0</x:v>
      </x:c>
    </x:row>
    <x:row r="226" ht="32" customHeight="1">
      <x:c r="A226" s="56" t="str">
        <x:v>3765</x:v>
      </x:c>
      <x:c r="B226" s="56" t="str">
        <x:v>9400</x:v>
      </x:c>
      <x:c r="C226" s="56" t="str">
        <x:v>7638</x:v>
      </x:c>
      <x:c r="D226" s="56" t="str">
        <x:v>Allanbridge Formation</x:v>
      </x:c>
      <x:c r="E226" s="56" t="str">
        <x:v>-28.5</x:v>
      </x:c>
      <x:c r="F226" s="56" t="str">
        <x:v>24.4</x:v>
      </x:c>
      <x:c r="G226" s="56" t="str"/>
      <x:c r="H226" s="56" t="str">
        <x:v>188.7</x:v>
      </x:c>
      <x:c r="I226" s="56" t="str">
        <x:v>60.700001</x:v>
      </x:c>
      <x:c r="J226" s="56" t="str">
        <x:v>75</x:v>
      </x:c>
      <x:c r="K226" s="56" t="str">
        <x:v>180.10001</x:v>
      </x:c>
      <x:c r="L226" s="56" t="str">
        <x:v>V</x:v>
      </x:c>
      <x:c r="M226" s="59" t="str">
        <x:v>IRM(MAGN)</x:v>
      </x:c>
      <x:c r="N226" s="56" t="n">
        <x:f>--(LEN(M226)&gt;0)</x:f>
        <x:v>1</x:v>
      </x:c>
      <x:c r="O226" s="56" t="n">
        <x:v>1</x:v>
      </x:c>
      <x:c r="P226" s="56" t="n">
        <x:f>--(N226=O226)</x:f>
        <x:v>1</x:v>
      </x:c>
      <x:c r="Q226" s="56" t="str">
        <x:v>ABSTAIN_ANCHOR</x:v>
      </x:c>
      <x:c r="R226" s="59" t="str"/>
      <x:c r="S226" s="59" t="str"/>
      <x:c r="T226" s="56" t="n">
        <x:f>--(Q226="PRESENT")</x:f>
        <x:v>0</x:v>
      </x:c>
      <x:c r="U226" s="56" t="n">
        <x:f>--(T226=N226)</x:f>
        <x:v>0</x:v>
      </x:c>
      <x:c r="V226" s="56" t="n">
        <x:f>--(T226=O226)</x:f>
        <x:v>0</x:v>
      </x:c>
      <x:c r="W226" s="56" t="n">
        <x:f>--(OR(Q226="PRESENT",Q226="ABSENT"))</x:f>
        <x:v>0</x:v>
      </x:c>
      <x:c r="X226" s="56" t="str">
        <x:v>LOW</x:v>
      </x:c>
      <x:c r="Y226" s="56" t="str">
        <x:v>METADATA_UNIQUE</x:v>
      </x:c>
      <x:c r="Z226" s="57" t="b">
        <x:v>1</x:v>
      </x:c>
      <x:c r="AA226" s="57" t="b">
        <x:v>1</x:v>
      </x:c>
      <x:c r="AB226" s="56" t="n">
        <x:v>0</x:v>
      </x:c>
      <x:c r="AC226" s="56" t="str"/>
      <x:c r="AD226" s="56" t="str"/>
      <x:c r="AE226" s="56" t="str"/>
      <x:c r="AF226" s="56" t="str"/>
      <x:c r="AG226" s="59" t="str"/>
      <x:c r="AH226" s="58" t="n">
        <x:v>0.7403447852300694</x:v>
      </x:c>
      <x:c r="AI226" s="56" t="n">
        <x:f>--(AH226&gt;=0.5)</x:f>
        <x:v>1</x:v>
      </x:c>
      <x:c r="AJ226" s="56" t="n">
        <x:f>--(AI226=O226)</x:f>
        <x:v>1</x:v>
      </x:c>
      <x:c r="AK226" s="58" t="n">
        <x:v>0.7403447852300695</x:v>
      </x:c>
      <x:c r="AL226" s="56" t="n">
        <x:f>--(AK226&gt;=0.5)</x:f>
        <x:v>1</x:v>
      </x:c>
      <x:c r="AM226" s="56" t="n">
        <x:f>--(AL226=O226)</x:f>
        <x:v>1</x:v>
      </x:c>
    </x:row>
    <x:row r="227" ht="32" customHeight="1">
      <x:c r="A227" s="56" t="str">
        <x:v>3774</x:v>
      </x:c>
      <x:c r="B227" s="56" t="str">
        <x:v>9410</x:v>
      </x:c>
      <x:c r="C227" s="56" t="str">
        <x:v>7801</x:v>
      </x:c>
      <x:c r="D227" s="56" t="str">
        <x:v>Modipe Gabbro</x:v>
      </x:c>
      <x:c r="E227" s="56" t="str">
        <x:v>-24.700001</x:v>
      </x:c>
      <x:c r="F227" s="56" t="str">
        <x:v>26.200001</x:v>
      </x:c>
      <x:c r="G227" s="56" t="str"/>
      <x:c r="H227" s="56" t="str">
        <x:v>192</x:v>
      </x:c>
      <x:c r="I227" s="56" t="str">
        <x:v>70</x:v>
      </x:c>
      <x:c r="J227" s="56" t="str">
        <x:v>59.400002</x:v>
      </x:c>
      <x:c r="K227" s="56" t="str">
        <x:v>192.3</x:v>
      </x:c>
      <x:c r="L227" s="56" t="str">
        <x:v>D</x:v>
      </x:c>
      <x:c r="M227" s="59" t="str"/>
      <x:c r="N227" s="56" t="n">
        <x:f>--(LEN(M227)&gt;0)</x:f>
        <x:v>0</x:v>
      </x:c>
      <x:c r="O227" s="56" t="n">
        <x:v>0</x:v>
      </x:c>
      <x:c r="P227" s="56" t="n">
        <x:f>--(N227=O227)</x:f>
        <x:v>1</x:v>
      </x:c>
      <x:c r="Q227" s="56" t="str">
        <x:v>PRESENT</x:v>
      </x:c>
      <x:c r="R227" s="59" t="str">
        <x:v>HYST,FORC(PSD/SD MAGN)</x:v>
      </x:c>
      <x:c r="S227" s="59" t="str">
        <x:v>HYST,FORC(PSD/SD MAGN)</x:v>
      </x:c>
      <x:c r="T227" s="56" t="n">
        <x:f>--(Q227="PRESENT")</x:f>
        <x:v>1</x:v>
      </x:c>
      <x:c r="U227" s="56" t="n">
        <x:f>--(T227=N227)</x:f>
        <x:v>0</x:v>
      </x:c>
      <x:c r="V227" s="56" t="n">
        <x:f>--(T227=O227)</x:f>
        <x:v>0</x:v>
      </x:c>
      <x:c r="W227" s="56" t="n">
        <x:f>--(OR(Q227="PRESENT",Q227="ABSENT"))</x:f>
        <x:v>1</x:v>
      </x:c>
      <x:c r="X227" s="56" t="str">
        <x:v>HIGH</x:v>
      </x:c>
      <x:c r="Y227" s="56" t="str">
        <x:v>PAPER_ROW_MATCH</x:v>
      </x:c>
      <x:c r="Z227" s="57" t="b">
        <x:v>1</x:v>
      </x:c>
      <x:c r="AA227" s="57" t="b">
        <x:v>1</x:v>
      </x:c>
      <x:c r="AB227" s="56" t="n">
        <x:v>1</x:v>
      </x:c>
      <x:c r="AC227" s="56" t="str">
        <x:v>HYST,FORC</x:v>
      </x:c>
      <x:c r="AD227" s="56" t="str">
        <x:v>MAGN</x:v>
      </x:c>
      <x:c r="AE227" s="56" t="str">
        <x:v>PSD,SD</x:v>
      </x:c>
      <x:c r="AF227" s="56" t="str">
        <x:v>1, 2, 3, 4, 8</x:v>
      </x:c>
      <x:c r="AG227" s="59" t="str">
        <x:v>p.3: hysteresis | p.8: Hysteresis | p.1: FORC</x:v>
      </x:c>
      <x:c r="AH227" s="58" t="n">
        <x:v>0.9373376335632969</x:v>
      </x:c>
      <x:c r="AI227" s="56" t="n">
        <x:f>--(AH227&gt;=0.5)</x:f>
        <x:v>1</x:v>
      </x:c>
      <x:c r="AJ227" s="56" t="n">
        <x:f>--(AI227=O227)</x:f>
        <x:v>0</x:v>
      </x:c>
      <x:c r="AK227" s="58" t="n">
        <x:v>0.9373376335632969</x:v>
      </x:c>
      <x:c r="AL227" s="56" t="n">
        <x:f>--(AK227&gt;=0.5)</x:f>
        <x:v>1</x:v>
      </x:c>
      <x:c r="AM227" s="56" t="n">
        <x:f>--(AL227=O227)</x:f>
        <x:v>0</x:v>
      </x:c>
    </x:row>
    <x:row r="228" ht="32" customHeight="1">
      <x:c r="A228" s="56" t="str">
        <x:v>3774</x:v>
      </x:c>
      <x:c r="B228" s="56" t="str">
        <x:v>9411</x:v>
      </x:c>
      <x:c r="C228" s="56" t="str">
        <x:v>7801</x:v>
      </x:c>
      <x:c r="D228" s="56" t="str">
        <x:v>Modipe Gabbro</x:v>
      </x:c>
      <x:c r="E228" s="56" t="str">
        <x:v>-24.700001</x:v>
      </x:c>
      <x:c r="F228" s="56" t="str">
        <x:v>26.200001</x:v>
      </x:c>
      <x:c r="G228" s="56" t="str">
        <x:v>Combined result</x:v>
      </x:c>
      <x:c r="H228" s="56" t="str">
        <x:v>165.10001</x:v>
      </x:c>
      <x:c r="I228" s="56" t="str">
        <x:v>84.099998</x:v>
      </x:c>
      <x:c r="J228" s="56" t="str">
        <x:v>35.400002</x:v>
      </x:c>
      <x:c r="K228" s="56" t="str">
        <x:v>209.8</x:v>
      </x:c>
      <x:c r="L228" s="56" t="str">
        <x:v>V</x:v>
      </x:c>
      <x:c r="M228" s="59" t="str">
        <x:v>IRM(sat.0.3T),OP(fine MAGN - see REFNO 605),Hc(45mT)</x:v>
      </x:c>
      <x:c r="N228" s="56" t="n">
        <x:f>--(LEN(M228)&gt;0)</x:f>
        <x:v>1</x:v>
      </x:c>
      <x:c r="O228" s="56" t="n">
        <x:v>1</x:v>
      </x:c>
      <x:c r="P228" s="56" t="n">
        <x:f>--(N228=O228)</x:f>
        <x:v>1</x:v>
      </x:c>
      <x:c r="Q228" s="56" t="str">
        <x:v>PRESENT</x:v>
      </x:c>
      <x:c r="R228" s="59" t="str">
        <x:v>HYST,FORC(PSD/SD MAGN)</x:v>
      </x:c>
      <x:c r="S228" s="59" t="str">
        <x:v>HYST,FORC(PSD/SD MAGN)</x:v>
      </x:c>
      <x:c r="T228" s="56" t="n">
        <x:f>--(Q228="PRESENT")</x:f>
        <x:v>1</x:v>
      </x:c>
      <x:c r="U228" s="56" t="n">
        <x:f>--(T228=N228)</x:f>
        <x:v>1</x:v>
      </x:c>
      <x:c r="V228" s="56" t="n">
        <x:f>--(T228=O228)</x:f>
        <x:v>1</x:v>
      </x:c>
      <x:c r="W228" s="56" t="n">
        <x:f>--(OR(Q228="PRESENT",Q228="ABSENT"))</x:f>
        <x:v>1</x:v>
      </x:c>
      <x:c r="X228" s="56" t="str">
        <x:v>MEDIUM</x:v>
      </x:c>
      <x:c r="Y228" s="56" t="str">
        <x:v>METADATA_UNIQUE</x:v>
      </x:c>
      <x:c r="Z228" s="57" t="b">
        <x:v>1</x:v>
      </x:c>
      <x:c r="AA228" s="57" t="b">
        <x:v>1</x:v>
      </x:c>
      <x:c r="AB228" s="56" t="n">
        <x:v>1</x:v>
      </x:c>
      <x:c r="AC228" s="56" t="str">
        <x:v>HYST,FORC</x:v>
      </x:c>
      <x:c r="AD228" s="56" t="str">
        <x:v>MAGN</x:v>
      </x:c>
      <x:c r="AE228" s="56" t="str">
        <x:v>PSD,SD</x:v>
      </x:c>
      <x:c r="AF228" s="56" t="str">
        <x:v>1, 3, 4, 8</x:v>
      </x:c>
      <x:c r="AG228" s="59" t="str">
        <x:v>p.3: hysteresis | p.8: Hysteresis | p.1: FORC</x:v>
      </x:c>
      <x:c r="AH228" s="58" t="n">
        <x:v>0.9373376335632969</x:v>
      </x:c>
      <x:c r="AI228" s="56" t="n">
        <x:f>--(AH228&gt;=0.5)</x:f>
        <x:v>1</x:v>
      </x:c>
      <x:c r="AJ228" s="56" t="n">
        <x:f>--(AI228=O228)</x:f>
        <x:v>1</x:v>
      </x:c>
      <x:c r="AK228" s="58" t="n">
        <x:v>0.9373376335632969</x:v>
      </x:c>
      <x:c r="AL228" s="56" t="n">
        <x:f>--(AK228&gt;=0.5)</x:f>
        <x:v>1</x:v>
      </x:c>
      <x:c r="AM228" s="56" t="n">
        <x:f>--(AL228=O228)</x:f>
        <x:v>1</x:v>
      </x:c>
    </x:row>
    <x:row r="229" ht="32" customHeight="1">
      <x:c r="A229" s="56" t="str">
        <x:v>3792</x:v>
      </x:c>
      <x:c r="B229" s="56" t="str">
        <x:v>9430</x:v>
      </x:c>
      <x:c r="C229" s="56" t="str">
        <x:v>7666</x:v>
      </x:c>
      <x:c r="D229" s="56" t="str">
        <x:v>Y1 Dyke</x:v>
      </x:c>
      <x:c r="E229" s="56" t="str">
        <x:v>58.580002</x:v>
      </x:c>
      <x:c r="F229" s="56" t="str">
        <x:v>16.33</x:v>
      </x:c>
      <x:c r="G229" s="56" t="str"/>
      <x:c r="H229" s="56" t="str">
        <x:v>311.29999</x:v>
      </x:c>
      <x:c r="I229" s="56" t="str">
        <x:v>-43.900002</x:v>
      </x:c>
      <x:c r="J229" s="56" t="str">
        <x:v>-3.4000001</x:v>
      </x:c>
      <x:c r="K229" s="56" t="str">
        <x:v>239</x:v>
      </x:c>
      <x:c r="L229" s="56" t="str">
        <x:v>V</x:v>
      </x:c>
      <x:c r="M229" s="59" t="str">
        <x:v>SUSC-T(MAGN)</x:v>
      </x:c>
      <x:c r="N229" s="56" t="n">
        <x:f>--(LEN(M229)&gt;0)</x:f>
        <x:v>1</x:v>
      </x:c>
      <x:c r="O229" s="56" t="n">
        <x:v>1</x:v>
      </x:c>
      <x:c r="P229" s="56" t="n">
        <x:f>--(N229=O229)</x:f>
        <x:v>1</x:v>
      </x:c>
      <x:c r="Q229" s="56" t="str">
        <x:v>ABSTAIN_ANCHOR</x:v>
      </x:c>
      <x:c r="R229" s="59" t="str"/>
      <x:c r="S229" s="59" t="str"/>
      <x:c r="T229" s="56" t="n">
        <x:f>--(Q229="PRESENT")</x:f>
        <x:v>0</x:v>
      </x:c>
      <x:c r="U229" s="56" t="n">
        <x:f>--(T229=N229)</x:f>
        <x:v>0</x:v>
      </x:c>
      <x:c r="V229" s="56" t="n">
        <x:f>--(T229=O229)</x:f>
        <x:v>0</x:v>
      </x:c>
      <x:c r="W229" s="56" t="n">
        <x:f>--(OR(Q229="PRESENT",Q229="ABSENT"))</x:f>
        <x:v>0</x:v>
      </x:c>
      <x:c r="X229" s="56" t="str">
        <x:v>LOW</x:v>
      </x:c>
      <x:c r="Y229" s="56" t="str">
        <x:v>METADATA_UNIQUE</x:v>
      </x:c>
      <x:c r="Z229" s="57" t="b">
        <x:v>1</x:v>
      </x:c>
      <x:c r="AA229" s="57" t="b">
        <x:v>1</x:v>
      </x:c>
      <x:c r="AB229" s="56" t="n">
        <x:v>0</x:v>
      </x:c>
      <x:c r="AC229" s="56" t="str"/>
      <x:c r="AD229" s="56" t="str"/>
      <x:c r="AE229" s="56" t="str"/>
      <x:c r="AF229" s="56" t="str"/>
      <x:c r="AG229" s="59" t="str"/>
      <x:c r="AH229" s="58" t="n">
        <x:v>0.8510857473906452</x:v>
      </x:c>
      <x:c r="AI229" s="56" t="n">
        <x:f>--(AH229&gt;=0.5)</x:f>
        <x:v>1</x:v>
      </x:c>
      <x:c r="AJ229" s="56" t="n">
        <x:f>--(AI229=O229)</x:f>
        <x:v>1</x:v>
      </x:c>
      <x:c r="AK229" s="58" t="n">
        <x:v>0.8510857473906452</x:v>
      </x:c>
      <x:c r="AL229" s="56" t="n">
        <x:f>--(AK229&gt;=0.5)</x:f>
        <x:v>1</x:v>
      </x:c>
      <x:c r="AM229" s="56" t="n">
        <x:f>--(AL229=O229)</x:f>
        <x:v>1</x:v>
      </x:c>
    </x:row>
    <x:row r="230" ht="32" customHeight="1">
      <x:c r="A230" s="56" t="str">
        <x:v>3792</x:v>
      </x:c>
      <x:c r="B230" s="56" t="str">
        <x:v>9431</x:v>
      </x:c>
      <x:c r="C230" s="56" t="str">
        <x:v>7667</x:v>
      </x:c>
      <x:c r="D230" s="56" t="str">
        <x:v>Y2 Dyke</x:v>
      </x:c>
      <x:c r="E230" s="56" t="str">
        <x:v>58.580002</x:v>
      </x:c>
      <x:c r="F230" s="56" t="str">
        <x:v>16.33</x:v>
      </x:c>
      <x:c r="G230" s="56" t="str"/>
      <x:c r="H230" s="56" t="str">
        <x:v>313.29999</x:v>
      </x:c>
      <x:c r="I230" s="56" t="str">
        <x:v>-40.700001</x:v>
      </x:c>
      <x:c r="J230" s="56" t="str">
        <x:v>-0.5</x:v>
      </x:c>
      <x:c r="K230" s="56" t="str">
        <x:v>238.3</x:v>
      </x:c>
      <x:c r="L230" s="56" t="str">
        <x:v>V</x:v>
      </x:c>
      <x:c r="M230" s="59" t="str">
        <x:v>SUSC-T(MAGN)</x:v>
      </x:c>
      <x:c r="N230" s="56" t="n">
        <x:f>--(LEN(M230)&gt;0)</x:f>
        <x:v>1</x:v>
      </x:c>
      <x:c r="O230" s="56" t="n">
        <x:v>1</x:v>
      </x:c>
      <x:c r="P230" s="56" t="n">
        <x:f>--(N230=O230)</x:f>
        <x:v>1</x:v>
      </x:c>
      <x:c r="Q230" s="56" t="str">
        <x:v>ABSTAIN_ANCHOR</x:v>
      </x:c>
      <x:c r="R230" s="59" t="str"/>
      <x:c r="S230" s="59" t="str"/>
      <x:c r="T230" s="56" t="n">
        <x:f>--(Q230="PRESENT")</x:f>
        <x:v>0</x:v>
      </x:c>
      <x:c r="U230" s="56" t="n">
        <x:f>--(T230=N230)</x:f>
        <x:v>0</x:v>
      </x:c>
      <x:c r="V230" s="56" t="n">
        <x:f>--(T230=O230)</x:f>
        <x:v>0</x:v>
      </x:c>
      <x:c r="W230" s="56" t="n">
        <x:f>--(OR(Q230="PRESENT",Q230="ABSENT"))</x:f>
        <x:v>0</x:v>
      </x:c>
      <x:c r="X230" s="56" t="str">
        <x:v>LOW</x:v>
      </x:c>
      <x:c r="Y230" s="56" t="str">
        <x:v>METADATA_UNIQUE</x:v>
      </x:c>
      <x:c r="Z230" s="57" t="b">
        <x:v>1</x:v>
      </x:c>
      <x:c r="AA230" s="57" t="b">
        <x:v>1</x:v>
      </x:c>
      <x:c r="AB230" s="56" t="n">
        <x:v>0</x:v>
      </x:c>
      <x:c r="AC230" s="56" t="str"/>
      <x:c r="AD230" s="56" t="str"/>
      <x:c r="AE230" s="56" t="str"/>
      <x:c r="AF230" s="56" t="str"/>
      <x:c r="AG230" s="59" t="str"/>
      <x:c r="AH230" s="58" t="n">
        <x:v>0.836045077167809</x:v>
      </x:c>
      <x:c r="AI230" s="56" t="n">
        <x:f>--(AH230&gt;=0.5)</x:f>
        <x:v>1</x:v>
      </x:c>
      <x:c r="AJ230" s="56" t="n">
        <x:f>--(AI230=O230)</x:f>
        <x:v>1</x:v>
      </x:c>
      <x:c r="AK230" s="58" t="n">
        <x:v>0.836045077167809</x:v>
      </x:c>
      <x:c r="AL230" s="56" t="n">
        <x:f>--(AK230&gt;=0.5)</x:f>
        <x:v>1</x:v>
      </x:c>
      <x:c r="AM230" s="56" t="n">
        <x:f>--(AL230=O230)</x:f>
        <x:v>1</x:v>
      </x:c>
    </x:row>
    <x:row r="231" ht="32" customHeight="1">
      <x:c r="A231" s="56" t="str">
        <x:v>3792</x:v>
      </x:c>
      <x:c r="B231" s="56" t="str">
        <x:v>9432</x:v>
      </x:c>
      <x:c r="C231" s="56" t="str">
        <x:v>7668</x:v>
      </x:c>
      <x:c r="D231" s="56" t="str">
        <x:v>Falun Dyke</x:v>
      </x:c>
      <x:c r="E231" s="56" t="str">
        <x:v>60.59</x:v>
      </x:c>
      <x:c r="F231" s="56" t="str">
        <x:v>15.58</x:v>
      </x:c>
      <x:c r="G231" s="56" t="str"/>
      <x:c r="H231" s="56" t="str">
        <x:v>128.7</x:v>
      </x:c>
      <x:c r="I231" s="56" t="str">
        <x:v>37.900002</x:v>
      </x:c>
      <x:c r="J231" s="56" t="str">
        <x:v>1.7</x:v>
      </x:c>
      <x:c r="K231" s="56" t="str">
        <x:v>242.3</x:v>
      </x:c>
      <x:c r="L231" s="56" t="str">
        <x:v>V</x:v>
      </x:c>
      <x:c r="M231" s="59" t="str">
        <x:v>SUSC-T(MAGN)</x:v>
      </x:c>
      <x:c r="N231" s="56" t="n">
        <x:f>--(LEN(M231)&gt;0)</x:f>
        <x:v>1</x:v>
      </x:c>
      <x:c r="O231" s="56" t="n">
        <x:v>1</x:v>
      </x:c>
      <x:c r="P231" s="56" t="n">
        <x:f>--(N231=O231)</x:f>
        <x:v>1</x:v>
      </x:c>
      <x:c r="Q231" s="56" t="str">
        <x:v>ABSTAIN_INSUFFICIENT</x:v>
      </x:c>
      <x:c r="R231" s="59" t="str"/>
      <x:c r="S231" s="59" t="str"/>
      <x:c r="T231" s="56" t="n">
        <x:f>--(Q231="PRESENT")</x:f>
        <x:v>0</x:v>
      </x:c>
      <x:c r="U231" s="56" t="n">
        <x:f>--(T231=N231)</x:f>
        <x:v>0</x:v>
      </x:c>
      <x:c r="V231" s="56" t="n">
        <x:f>--(T231=O231)</x:f>
        <x:v>0</x:v>
      </x:c>
      <x:c r="W231" s="56" t="n">
        <x:f>--(OR(Q231="PRESENT",Q231="ABSENT"))</x:f>
        <x:v>0</x:v>
      </x:c>
      <x:c r="X231" s="56" t="str">
        <x:v>LOW</x:v>
      </x:c>
      <x:c r="Y231" s="56" t="str">
        <x:v>METADATA_UNIQUE</x:v>
      </x:c>
      <x:c r="Z231" s="57" t="b">
        <x:v>1</x:v>
      </x:c>
      <x:c r="AA231" s="57" t="b">
        <x:v>1</x:v>
      </x:c>
      <x:c r="AB231" s="56" t="n">
        <x:v>0</x:v>
      </x:c>
      <x:c r="AC231" s="56" t="str"/>
      <x:c r="AD231" s="56" t="str"/>
      <x:c r="AE231" s="56" t="str"/>
      <x:c r="AF231" s="56" t="str"/>
      <x:c r="AG231" s="59" t="str"/>
      <x:c r="AH231" s="58" t="n">
        <x:v>0.8540415119420048</x:v>
      </x:c>
      <x:c r="AI231" s="56" t="n">
        <x:f>--(AH231&gt;=0.5)</x:f>
        <x:v>1</x:v>
      </x:c>
      <x:c r="AJ231" s="56" t="n">
        <x:f>--(AI231=O231)</x:f>
        <x:v>1</x:v>
      </x:c>
      <x:c r="AK231" s="58" t="n">
        <x:v>0.8540415119420047</x:v>
      </x:c>
      <x:c r="AL231" s="56" t="n">
        <x:f>--(AK231&gt;=0.5)</x:f>
        <x:v>1</x:v>
      </x:c>
      <x:c r="AM231" s="56" t="n">
        <x:f>--(AL231=O231)</x:f>
        <x:v>1</x:v>
      </x:c>
    </x:row>
    <x:row r="232" ht="32" customHeight="1">
      <x:c r="A232" s="56" t="str">
        <x:v>3792</x:v>
      </x:c>
      <x:c r="B232" s="56" t="str">
        <x:v>9433</x:v>
      </x:c>
      <x:c r="C232" s="56" t="str">
        <x:v>7669</x:v>
      </x:c>
      <x:c r="D232" s="56" t="str">
        <x:v>MEAN 946-935 Ma Swedish Dolerites</x:v>
      </x:c>
      <x:c r="E232" s="56" t="str">
        <x:v>60.5</x:v>
      </x:c>
      <x:c r="F232" s="56" t="str">
        <x:v>16</x:v>
      </x:c>
      <x:c r="G232" s="56" t="str">
        <x:v>Combined result</x:v>
      </x:c>
      <x:c r="H232" s="56" t="str"/>
      <x:c r="I232" s="56" t="str"/>
      <x:c r="J232" s="56" t="str">
        <x:v>-0.89999998</x:v>
      </x:c>
      <x:c r="K232" s="56" t="str">
        <x:v>240.7</x:v>
      </x:c>
      <x:c r="L232" s="56" t="str">
        <x:v>V</x:v>
      </x:c>
      <x:c r="M232" s="59" t="str"/>
      <x:c r="N232" s="56" t="n">
        <x:f>--(LEN(M232)&gt;0)</x:f>
        <x:v>0</x:v>
      </x:c>
      <x:c r="O232" s="56" t="n">
        <x:v>0</x:v>
      </x:c>
      <x:c r="P232" s="56" t="n">
        <x:f>--(N232=O232)</x:f>
        <x:v>1</x:v>
      </x:c>
      <x:c r="Q232" s="56" t="str">
        <x:v>ABSTAIN_INSUFFICIENT</x:v>
      </x:c>
      <x:c r="R232" s="59" t="str"/>
      <x:c r="S232" s="59" t="str"/>
      <x:c r="T232" s="56" t="n">
        <x:f>--(Q232="PRESENT")</x:f>
        <x:v>0</x:v>
      </x:c>
      <x:c r="U232" s="56" t="n">
        <x:f>--(T232=N232)</x:f>
        <x:v>1</x:v>
      </x:c>
      <x:c r="V232" s="56" t="n">
        <x:f>--(T232=O232)</x:f>
        <x:v>1</x:v>
      </x:c>
      <x:c r="W232" s="56" t="n">
        <x:f>--(OR(Q232="PRESENT",Q232="ABSENT"))</x:f>
        <x:v>0</x:v>
      </x:c>
      <x:c r="X232" s="56" t="str">
        <x:v>LOW</x:v>
      </x:c>
      <x:c r="Y232" s="56" t="str">
        <x:v>METADATA_UNIQUE</x:v>
      </x:c>
      <x:c r="Z232" s="57" t="b">
        <x:v>1</x:v>
      </x:c>
      <x:c r="AA232" s="57" t="b">
        <x:v>1</x:v>
      </x:c>
      <x:c r="AB232" s="56" t="n">
        <x:v>0</x:v>
      </x:c>
      <x:c r="AC232" s="56" t="str"/>
      <x:c r="AD232" s="56" t="str"/>
      <x:c r="AE232" s="56" t="str"/>
      <x:c r="AF232" s="56" t="str"/>
      <x:c r="AG232" s="59" t="str"/>
      <x:c r="AH232" s="58" t="n">
        <x:v>0.8290781712546625</x:v>
      </x:c>
      <x:c r="AI232" s="56" t="n">
        <x:f>--(AH232&gt;=0.5)</x:f>
        <x:v>1</x:v>
      </x:c>
      <x:c r="AJ232" s="56" t="n">
        <x:f>--(AI232=O232)</x:f>
        <x:v>0</x:v>
      </x:c>
      <x:c r="AK232" s="58" t="n">
        <x:v>0.8290781712546624</x:v>
      </x:c>
      <x:c r="AL232" s="56" t="n">
        <x:f>--(AK232&gt;=0.5)</x:f>
        <x:v>1</x:v>
      </x:c>
      <x:c r="AM232" s="56" t="n">
        <x:f>--(AL232=O232)</x:f>
        <x:v>0</x:v>
      </x:c>
    </x:row>
    <x:row r="233" ht="32" customHeight="1">
      <x:c r="A233" s="56" t="str">
        <x:v>3792</x:v>
      </x:c>
      <x:c r="B233" s="56" t="str">
        <x:v>9434</x:v>
      </x:c>
      <x:c r="C233" s="56" t="str">
        <x:v>7670</x:v>
      </x:c>
      <x:c r="D233" s="56" t="str">
        <x:v>Norrkoping Dykes</x:v>
      </x:c>
      <x:c r="E233" s="56" t="str">
        <x:v>58.580002</x:v>
      </x:c>
      <x:c r="F233" s="56" t="str">
        <x:v>16.200001</x:v>
      </x:c>
      <x:c r="G233" s="56" t="str"/>
      <x:c r="H233" s="56" t="str">
        <x:v>175.5</x:v>
      </x:c>
      <x:c r="I233" s="56" t="str">
        <x:v>23.9</x:v>
      </x:c>
      <x:c r="J233" s="56" t="str">
        <x:v>18.799999</x:v>
      </x:c>
      <x:c r="K233" s="56" t="str">
        <x:v>200.89999</x:v>
      </x:c>
      <x:c r="L233" s="56" t="str">
        <x:v>V</x:v>
      </x:c>
      <x:c r="M233" s="59" t="str">
        <x:v>SUSC-T(MAGN)</x:v>
      </x:c>
      <x:c r="N233" s="56" t="n">
        <x:f>--(LEN(M233)&gt;0)</x:f>
        <x:v>1</x:v>
      </x:c>
      <x:c r="O233" s="56" t="n">
        <x:v>1</x:v>
      </x:c>
      <x:c r="P233" s="56" t="n">
        <x:f>--(N233=O233)</x:f>
        <x:v>1</x:v>
      </x:c>
      <x:c r="Q233" s="56" t="str">
        <x:v>ABSTAIN_INSUFFICIENT</x:v>
      </x:c>
      <x:c r="R233" s="59" t="str"/>
      <x:c r="S233" s="59" t="str"/>
      <x:c r="T233" s="56" t="n">
        <x:f>--(Q233="PRESENT")</x:f>
        <x:v>0</x:v>
      </x:c>
      <x:c r="U233" s="56" t="n">
        <x:f>--(T233=N233)</x:f>
        <x:v>0</x:v>
      </x:c>
      <x:c r="V233" s="56" t="n">
        <x:f>--(T233=O233)</x:f>
        <x:v>0</x:v>
      </x:c>
      <x:c r="W233" s="56" t="n">
        <x:f>--(OR(Q233="PRESENT",Q233="ABSENT"))</x:f>
        <x:v>0</x:v>
      </x:c>
      <x:c r="X233" s="56" t="str">
        <x:v>LOW</x:v>
      </x:c>
      <x:c r="Y233" s="56" t="str">
        <x:v>METADATA_UNIQUE</x:v>
      </x:c>
      <x:c r="Z233" s="57" t="b">
        <x:v>1</x:v>
      </x:c>
      <x:c r="AA233" s="57" t="b">
        <x:v>1</x:v>
      </x:c>
      <x:c r="AB233" s="56" t="n">
        <x:v>0</x:v>
      </x:c>
      <x:c r="AC233" s="56" t="str"/>
      <x:c r="AD233" s="56" t="str"/>
      <x:c r="AE233" s="56" t="str"/>
      <x:c r="AF233" s="56" t="str"/>
      <x:c r="AG233" s="59" t="str"/>
      <x:c r="AH233" s="58" t="n">
        <x:v>0.8780152581777672</x:v>
      </x:c>
      <x:c r="AI233" s="56" t="n">
        <x:f>--(AH233&gt;=0.5)</x:f>
        <x:v>1</x:v>
      </x:c>
      <x:c r="AJ233" s="56" t="n">
        <x:f>--(AI233=O233)</x:f>
        <x:v>1</x:v>
      </x:c>
      <x:c r="AK233" s="58" t="n">
        <x:v>0.8780152581777672</x:v>
      </x:c>
      <x:c r="AL233" s="56" t="n">
        <x:f>--(AK233&gt;=0.5)</x:f>
        <x:v>1</x:v>
      </x:c>
      <x:c r="AM233" s="56" t="n">
        <x:f>--(AL233=O233)</x:f>
        <x:v>1</x:v>
      </x:c>
    </x:row>
    <x:row r="234" ht="32" customHeight="1">
      <x:c r="A234" s="56" t="str">
        <x:v>3792</x:v>
      </x:c>
      <x:c r="B234" s="56" t="str">
        <x:v>9435</x:v>
      </x:c>
      <x:c r="C234" s="56" t="str">
        <x:v>7671</x:v>
      </x:c>
      <x:c r="D234" s="56" t="str">
        <x:v>Rejmyre Dyke</x:v>
      </x:c>
      <x:c r="E234" s="56" t="str">
        <x:v>58.830002</x:v>
      </x:c>
      <x:c r="F234" s="56" t="str">
        <x:v>16.08</x:v>
      </x:c>
      <x:c r="G234" s="56" t="str"/>
      <x:c r="H234" s="56" t="str">
        <x:v>184</x:v>
      </x:c>
      <x:c r="I234" s="56" t="str">
        <x:v>16.299999</x:v>
      </x:c>
      <x:c r="J234" s="56" t="str">
        <x:v>22.799999</x:v>
      </x:c>
      <x:c r="K234" s="56" t="str">
        <x:v>191.8</x:v>
      </x:c>
      <x:c r="L234" s="56" t="str">
        <x:v>V</x:v>
      </x:c>
      <x:c r="M234" s="59" t="str"/>
      <x:c r="N234" s="56" t="n">
        <x:f>--(LEN(M234)&gt;0)</x:f>
        <x:v>0</x:v>
      </x:c>
      <x:c r="O234" s="56" t="n">
        <x:v>0</x:v>
      </x:c>
      <x:c r="P234" s="56" t="n">
        <x:f>--(N234=O234)</x:f>
        <x:v>1</x:v>
      </x:c>
      <x:c r="Q234" s="56" t="str">
        <x:v>ABSTAIN_INSUFFICIENT</x:v>
      </x:c>
      <x:c r="R234" s="59" t="str"/>
      <x:c r="S234" s="59" t="str"/>
      <x:c r="T234" s="56" t="n">
        <x:f>--(Q234="PRESENT")</x:f>
        <x:v>0</x:v>
      </x:c>
      <x:c r="U234" s="56" t="n">
        <x:f>--(T234=N234)</x:f>
        <x:v>1</x:v>
      </x:c>
      <x:c r="V234" s="56" t="n">
        <x:f>--(T234=O234)</x:f>
        <x:v>1</x:v>
      </x:c>
      <x:c r="W234" s="56" t="n">
        <x:f>--(OR(Q234="PRESENT",Q234="ABSENT"))</x:f>
        <x:v>0</x:v>
      </x:c>
      <x:c r="X234" s="56" t="str">
        <x:v>LOW</x:v>
      </x:c>
      <x:c r="Y234" s="56" t="str">
        <x:v>METADATA_UNIQUE</x:v>
      </x:c>
      <x:c r="Z234" s="57" t="b">
        <x:v>1</x:v>
      </x:c>
      <x:c r="AA234" s="57" t="b">
        <x:v>1</x:v>
      </x:c>
      <x:c r="AB234" s="56" t="n">
        <x:v>0</x:v>
      </x:c>
      <x:c r="AC234" s="56" t="str"/>
      <x:c r="AD234" s="56" t="str"/>
      <x:c r="AE234" s="56" t="str"/>
      <x:c r="AF234" s="56" t="str"/>
      <x:c r="AG234" s="59" t="str"/>
      <x:c r="AH234" s="58" t="n">
        <x:v>0.8357607541318886</x:v>
      </x:c>
      <x:c r="AI234" s="56" t="n">
        <x:f>--(AH234&gt;=0.5)</x:f>
        <x:v>1</x:v>
      </x:c>
      <x:c r="AJ234" s="56" t="n">
        <x:f>--(AI234=O234)</x:f>
        <x:v>0</x:v>
      </x:c>
      <x:c r="AK234" s="58" t="n">
        <x:v>0.8357607541318886</x:v>
      </x:c>
      <x:c r="AL234" s="56" t="n">
        <x:f>--(AK234&gt;=0.5)</x:f>
        <x:v>1</x:v>
      </x:c>
      <x:c r="AM234" s="56" t="n">
        <x:f>--(AL234=O234)</x:f>
        <x:v>0</x:v>
      </x:c>
    </x:row>
    <x:row r="235" ht="32" customHeight="1">
      <x:c r="A235" s="56" t="str">
        <x:v>3834</x:v>
      </x:c>
      <x:c r="B235" s="56" t="str">
        <x:v>9490</x:v>
      </x:c>
      <x:c r="C235" s="56" t="str">
        <x:v>7725</x:v>
      </x:c>
      <x:c r="D235" s="56" t="str">
        <x:v>Guperas Formation</x:v>
      </x:c>
      <x:c r="E235" s="56" t="str">
        <x:v>-25.700001</x:v>
      </x:c>
      <x:c r="F235" s="56" t="str">
        <x:v>16.6</x:v>
      </x:c>
      <x:c r="G235" s="56" t="str"/>
      <x:c r="H235" s="56" t="str">
        <x:v>354.5</x:v>
      </x:c>
      <x:c r="I235" s="56" t="str">
        <x:v>-17.799999</x:v>
      </x:c>
      <x:c r="J235" s="56" t="str">
        <x:v>73.300003</x:v>
      </x:c>
      <x:c r="K235" s="56" t="str">
        <x:v>356.70001</x:v>
      </x:c>
      <x:c r="L235" s="56" t="str">
        <x:v>V</x:v>
      </x:c>
      <x:c r="M235" s="59" t="str"/>
      <x:c r="N235" s="56" t="n">
        <x:f>--(LEN(M235)&gt;0)</x:f>
        <x:v>0</x:v>
      </x:c>
      <x:c r="O235" s="56" t="n">
        <x:v>0</x:v>
      </x:c>
      <x:c r="P235" s="56" t="n">
        <x:f>--(N235=O235)</x:f>
        <x:v>1</x:v>
      </x:c>
      <x:c r="Q235" s="56" t="str">
        <x:v>PRESENT</x:v>
      </x:c>
      <x:c r="R235" s="59" t="str">
        <x:v>OP(HEM,MAGN)</x:v>
      </x:c>
      <x:c r="S235" s="59" t="str">
        <x:v>OP(HEM,MAGN)</x:v>
      </x:c>
      <x:c r="T235" s="56" t="n">
        <x:f>--(Q235="PRESENT")</x:f>
        <x:v>1</x:v>
      </x:c>
      <x:c r="U235" s="56" t="n">
        <x:f>--(T235=N235)</x:f>
        <x:v>0</x:v>
      </x:c>
      <x:c r="V235" s="56" t="n">
        <x:f>--(T235=O235)</x:f>
        <x:v>0</x:v>
      </x:c>
      <x:c r="W235" s="56" t="n">
        <x:f>--(OR(Q235="PRESENT",Q235="ABSENT"))</x:f>
        <x:v>1</x:v>
      </x:c>
      <x:c r="X235" s="56" t="str">
        <x:v>MEDIUM</x:v>
      </x:c>
      <x:c r="Y235" s="56" t="str">
        <x:v>METADATA_UNIQUE</x:v>
      </x:c>
      <x:c r="Z235" s="57" t="b">
        <x:v>1</x:v>
      </x:c>
      <x:c r="AA235" s="57" t="b">
        <x:v>1</x:v>
      </x:c>
      <x:c r="AB235" s="56" t="n">
        <x:v>0</x:v>
      </x:c>
      <x:c r="AC235" s="56" t="str">
        <x:v>OP</x:v>
      </x:c>
      <x:c r="AD235" s="56" t="str">
        <x:v>HEM,MAGN</x:v>
      </x:c>
      <x:c r="AE235" s="56" t="str"/>
      <x:c r="AF235" s="56" t="str">
        <x:v>7, 8</x:v>
      </x:c>
      <x:c r="AG235" s="59" t="str">
        <x:v>p.7: opaque mineral | p.7: hematite | p.8: magnetite</x:v>
      </x:c>
      <x:c r="AH235" s="58" t="n">
        <x:v>0.0493774191727645</x:v>
      </x:c>
      <x:c r="AI235" s="56" t="n">
        <x:f>--(AH235&gt;=0.5)</x:f>
        <x:v>0</x:v>
      </x:c>
      <x:c r="AJ235" s="56" t="n">
        <x:f>--(AI235=O235)</x:f>
        <x:v>1</x:v>
      </x:c>
      <x:c r="AK235" s="58" t="n">
        <x:v>0.049377419172764496</x:v>
      </x:c>
      <x:c r="AL235" s="56" t="n">
        <x:f>--(AK235&gt;=0.5)</x:f>
        <x:v>0</x:v>
      </x:c>
      <x:c r="AM235" s="56" t="n">
        <x:f>--(AL235=O235)</x:f>
        <x:v>1</x:v>
      </x:c>
    </x:row>
    <x:row r="236" ht="32" customHeight="1">
      <x:c r="A236" s="56" t="str">
        <x:v>3834</x:v>
      </x:c>
      <x:c r="B236" s="56" t="str">
        <x:v>9491</x:v>
      </x:c>
      <x:c r="C236" s="56" t="str">
        <x:v>7726</x:v>
      </x:c>
      <x:c r="D236" s="56" t="str">
        <x:v>Post-Guperas Dykes</x:v>
      </x:c>
      <x:c r="E236" s="56" t="str">
        <x:v>-25.6</x:v>
      </x:c>
      <x:c r="F236" s="56" t="str">
        <x:v>16.6</x:v>
      </x:c>
      <x:c r="G236" s="56" t="str"/>
      <x:c r="H236" s="56" t="str">
        <x:v>7.4000001</x:v>
      </x:c>
      <x:c r="I236" s="56" t="str">
        <x:v>1.8</x:v>
      </x:c>
      <x:c r="J236" s="56" t="str">
        <x:v>62.299999</x:v>
      </x:c>
      <x:c r="K236" s="56" t="str">
        <x:v>31.9</x:v>
      </x:c>
      <x:c r="L236" s="56" t="str">
        <x:v>V</x:v>
      </x:c>
      <x:c r="M236" s="59" t="str"/>
      <x:c r="N236" s="56" t="n">
        <x:f>--(LEN(M236)&gt;0)</x:f>
        <x:v>0</x:v>
      </x:c>
      <x:c r="O236" s="56" t="n">
        <x:v>1</x:v>
      </x:c>
      <x:c r="P236" s="56" t="n">
        <x:f>--(N236=O236)</x:f>
        <x:v>0</x:v>
      </x:c>
      <x:c r="Q236" s="56" t="str">
        <x:v>PRESENT</x:v>
      </x:c>
      <x:c r="R236" s="59" t="str">
        <x:v>OP(HEM)</x:v>
      </x:c>
      <x:c r="S236" s="59" t="str">
        <x:v>OP(HEM)</x:v>
      </x:c>
      <x:c r="T236" s="56" t="n">
        <x:f>--(Q236="PRESENT")</x:f>
        <x:v>1</x:v>
      </x:c>
      <x:c r="U236" s="56" t="n">
        <x:f>--(T236=N236)</x:f>
        <x:v>0</x:v>
      </x:c>
      <x:c r="V236" s="56" t="n">
        <x:f>--(T236=O236)</x:f>
        <x:v>1</x:v>
      </x:c>
      <x:c r="W236" s="56" t="n">
        <x:f>--(OR(Q236="PRESENT",Q236="ABSENT"))</x:f>
        <x:v>1</x:v>
      </x:c>
      <x:c r="X236" s="56" t="str">
        <x:v>HIGH</x:v>
      </x:c>
      <x:c r="Y236" s="56" t="str">
        <x:v>PAPER_ROW_MATCH</x:v>
      </x:c>
      <x:c r="Z236" s="57" t="b">
        <x:v>1</x:v>
      </x:c>
      <x:c r="AA236" s="57" t="b">
        <x:v>1</x:v>
      </x:c>
      <x:c r="AB236" s="56" t="n">
        <x:v>0</x:v>
      </x:c>
      <x:c r="AC236" s="56" t="str">
        <x:v>OP</x:v>
      </x:c>
      <x:c r="AD236" s="56" t="str">
        <x:v>HEM</x:v>
      </x:c>
      <x:c r="AE236" s="56" t="str"/>
      <x:c r="AF236" s="56" t="str">
        <x:v>7, 17</x:v>
      </x:c>
      <x:c r="AG236" s="59" t="str">
        <x:v>p.7: opaque mineral | p.7: hematite | p.7: coercivity</x:v>
      </x:c>
      <x:c r="AH236" s="58" t="n">
        <x:v>0.0425081497121743</x:v>
      </x:c>
      <x:c r="AI236" s="56" t="n">
        <x:f>--(AH236&gt;=0.5)</x:f>
        <x:v>0</x:v>
      </x:c>
      <x:c r="AJ236" s="56" t="n">
        <x:f>--(AI236=O236)</x:f>
        <x:v>0</x:v>
      </x:c>
      <x:c r="AK236" s="58" t="n">
        <x:v>0.0425081497121743</x:v>
      </x:c>
      <x:c r="AL236" s="56" t="n">
        <x:f>--(AK236&gt;=0.5)</x:f>
        <x:v>0</x:v>
      </x:c>
      <x:c r="AM236" s="56" t="n">
        <x:f>--(AL236=O236)</x:f>
        <x:v>0</x:v>
      </x:c>
    </x:row>
    <x:row r="237" ht="32" customHeight="1">
      <x:c r="A237" s="56" t="str">
        <x:v>3875</x:v>
      </x:c>
      <x:c r="B237" s="56" t="str">
        <x:v>9550</x:v>
      </x:c>
      <x:c r="C237" s="56" t="str">
        <x:v>7785</x:v>
      </x:c>
      <x:c r="D237" s="56" t="str">
        <x:v>Il'ya and Burdur Formations</x:v>
      </x:c>
      <x:c r="E237" s="56" t="str">
        <x:v>70.699997</x:v>
      </x:c>
      <x:c r="F237" s="56" t="str">
        <x:v>106</x:v>
      </x:c>
      <x:c r="G237" s="56" t="str"/>
      <x:c r="H237" s="56" t="str">
        <x:v>165.60001</x:v>
      </x:c>
      <x:c r="I237" s="56" t="str">
        <x:v>27.700001</x:v>
      </x:c>
      <x:c r="J237" s="56" t="str">
        <x:v>-4.0999999</x:v>
      </x:c>
      <x:c r="K237" s="56" t="str">
        <x:v>119.9</x:v>
      </x:c>
      <x:c r="L237" s="56" t="str">
        <x:v>V</x:v>
      </x:c>
      <x:c r="M237" s="59" t="str"/>
      <x:c r="N237" s="56" t="n">
        <x:f>--(LEN(M237)&gt;0)</x:f>
        <x:v>0</x:v>
      </x:c>
      <x:c r="O237" s="56" t="n">
        <x:v>0</x:v>
      </x:c>
      <x:c r="P237" s="56" t="n">
        <x:f>--(N237=O237)</x:f>
        <x:v>1</x:v>
      </x:c>
      <x:c r="Q237" s="56" t="str">
        <x:v>ABSENT</x:v>
      </x:c>
      <x:c r="R237" s="59" t="str"/>
      <x:c r="S237" s="59" t="str"/>
      <x:c r="T237" s="56" t="n">
        <x:f>--(Q237="PRESENT")</x:f>
        <x:v>0</x:v>
      </x:c>
      <x:c r="U237" s="56" t="n">
        <x:f>--(T237=N237)</x:f>
        <x:v>1</x:v>
      </x:c>
      <x:c r="V237" s="56" t="n">
        <x:f>--(T237=O237)</x:f>
        <x:v>1</x:v>
      </x:c>
      <x:c r="W237" s="56" t="n">
        <x:f>--(OR(Q237="PRESENT",Q237="ABSENT"))</x:f>
        <x:v>1</x:v>
      </x:c>
      <x:c r="X237" s="56" t="str">
        <x:v>MEDIUM</x:v>
      </x:c>
      <x:c r="Y237" s="56" t="str">
        <x:v>PAPER_ROW_MATCH</x:v>
      </x:c>
      <x:c r="Z237" s="57" t="b">
        <x:v>1</x:v>
      </x:c>
      <x:c r="AA237" s="57" t="b">
        <x:v>1</x:v>
      </x:c>
      <x:c r="AB237" s="56" t="n">
        <x:v>0</x:v>
      </x:c>
      <x:c r="AC237" s="56" t="str"/>
      <x:c r="AD237" s="56" t="str"/>
      <x:c r="AE237" s="56" t="str"/>
      <x:c r="AF237" s="56" t="str">
        <x:v>6</x:v>
      </x:c>
      <x:c r="AG237" s="59" t="str">
        <x:v>p.6: m wide dolerite dyke, trending 290 1 70.4206 105.5630 11/12 232.8 /C0 17.1 36.4 7.7 /C0 20.1 048.6 37-07(C) Ilya Baked contact rocks to 37–07(D) 0(scat) 70.4206 105.5630 4/7 231.4 /C0 21.8 25.0 18.7 /C0 22.9 049.2 37-07(H) Ilya Host rocks to 37–07(D), lower Burdur Fm. 0(few) 70.4206 105.5630 (1 + 3c)/9 230.5 /C0 25.6 194.3 9.0 /C0 25.3 049.5 10-00 Magan Maﬁc intrusion 1 70.2358 104.6681 7/15 227.8 /C0 18.8 17.0 15.1 /C0 22.4 052.5 1-07 Dzhogdzho Dolerite sill, at least 10 m thick 1 70.1847 104.1</x:v>
      </x:c>
      <x:c r="AH237" s="58" t="n">
        <x:v>0.9487131037460114</x:v>
      </x:c>
      <x:c r="AI237" s="56" t="n">
        <x:f>--(AH237&gt;=0.5)</x:f>
        <x:v>1</x:v>
      </x:c>
      <x:c r="AJ237" s="56" t="n">
        <x:f>--(AI237=O237)</x:f>
        <x:v>0</x:v>
      </x:c>
      <x:c r="AK237" s="58" t="n">
        <x:v>0.9487131037460113</x:v>
      </x:c>
      <x:c r="AL237" s="56" t="n">
        <x:f>--(AK237&gt;=0.5)</x:f>
        <x:v>1</x:v>
      </x:c>
      <x:c r="AM237" s="56" t="n">
        <x:f>--(AL237=O237)</x:f>
        <x:v>0</x:v>
      </x:c>
    </x:row>
    <x:row r="238" ht="32" customHeight="1">
      <x:c r="A238" s="56" t="str">
        <x:v>3875</x:v>
      </x:c>
      <x:c r="B238" s="56" t="str">
        <x:v>9551</x:v>
      </x:c>
      <x:c r="C238" s="56" t="str">
        <x:v>7786</x:v>
      </x:c>
      <x:c r="D238" s="56" t="str">
        <x:v>Labaztakh and Kotuykan Formations</x:v>
      </x:c>
      <x:c r="E238" s="56" t="str">
        <x:v>71.5</x:v>
      </x:c>
      <x:c r="F238" s="56" t="str">
        <x:v>107.7</x:v>
      </x:c>
      <x:c r="G238" s="56" t="str"/>
      <x:c r="H238" s="56" t="str">
        <x:v>194.7</x:v>
      </x:c>
      <x:c r="I238" s="56" t="str">
        <x:v>32.200001</x:v>
      </x:c>
      <x:c r="J238" s="56" t="str">
        <x:v>-0.30000001</x:v>
      </x:c>
      <x:c r="K238" s="56" t="str">
        <x:v>93.599998</x:v>
      </x:c>
      <x:c r="L238" s="56" t="str">
        <x:v>V</x:v>
      </x:c>
      <x:c r="M238" s="59" t="str"/>
      <x:c r="N238" s="56" t="n">
        <x:f>--(LEN(M238)&gt;0)</x:f>
        <x:v>0</x:v>
      </x:c>
      <x:c r="O238" s="56" t="n">
        <x:v>0</x:v>
      </x:c>
      <x:c r="P238" s="56" t="n">
        <x:f>--(N238=O238)</x:f>
        <x:v>1</x:v>
      </x:c>
      <x:c r="Q238" s="56" t="str">
        <x:v>ABSTAIN_INSUFFICIENT</x:v>
      </x:c>
      <x:c r="R238" s="59" t="str"/>
      <x:c r="S238" s="59" t="str"/>
      <x:c r="T238" s="56" t="n">
        <x:f>--(Q238="PRESENT")</x:f>
        <x:v>0</x:v>
      </x:c>
      <x:c r="U238" s="56" t="n">
        <x:f>--(T238=N238)</x:f>
        <x:v>1</x:v>
      </x:c>
      <x:c r="V238" s="56" t="n">
        <x:f>--(T238=O238)</x:f>
        <x:v>1</x:v>
      </x:c>
      <x:c r="W238" s="56" t="n">
        <x:f>--(OR(Q238="PRESENT",Q238="ABSENT"))</x:f>
        <x:v>0</x:v>
      </x:c>
      <x:c r="X238" s="56" t="str">
        <x:v>LOW</x:v>
      </x:c>
      <x:c r="Y238" s="56" t="str">
        <x:v>METADATA_UNIQUE</x:v>
      </x:c>
      <x:c r="Z238" s="57" t="b">
        <x:v>1</x:v>
      </x:c>
      <x:c r="AA238" s="57" t="b">
        <x:v>1</x:v>
      </x:c>
      <x:c r="AB238" s="56" t="n">
        <x:v>0</x:v>
      </x:c>
      <x:c r="AC238" s="56" t="str"/>
      <x:c r="AD238" s="56" t="str"/>
      <x:c r="AE238" s="56" t="str"/>
      <x:c r="AF238" s="56" t="str"/>
      <x:c r="AG238" s="59" t="str"/>
      <x:c r="AH238" s="58" t="n">
        <x:v>0.9578072776402232</x:v>
      </x:c>
      <x:c r="AI238" s="56" t="n">
        <x:f>--(AH238&gt;=0.5)</x:f>
        <x:v>1</x:v>
      </x:c>
      <x:c r="AJ238" s="56" t="n">
        <x:f>--(AI238=O238)</x:f>
        <x:v>0</x:v>
      </x:c>
      <x:c r="AK238" s="58" t="n">
        <x:v>0.9578072776402233</x:v>
      </x:c>
      <x:c r="AL238" s="56" t="n">
        <x:f>--(AK238&gt;=0.5)</x:f>
        <x:v>1</x:v>
      </x:c>
      <x:c r="AM238" s="56" t="n">
        <x:f>--(AL238=O238)</x:f>
        <x:v>0</x:v>
      </x:c>
    </x:row>
    <x:row r="239" ht="32" customHeight="1">
      <x:c r="A239" s="56" t="str">
        <x:v>3875</x:v>
      </x:c>
      <x:c r="B239" s="56" t="str">
        <x:v>9552</x:v>
      </x:c>
      <x:c r="C239" s="56" t="str">
        <x:v>7787</x:v>
      </x:c>
      <x:c r="D239" s="56" t="str">
        <x:v>West Anabar Intrusions</x:v>
      </x:c>
      <x:c r="E239" s="56" t="str">
        <x:v>70.599998</x:v>
      </x:c>
      <x:c r="F239" s="56" t="str">
        <x:v>104.5</x:v>
      </x:c>
      <x:c r="G239" s="56" t="str">
        <x:v>Group 4</x:v>
      </x:c>
      <x:c r="H239" s="56" t="str">
        <x:v>218.7</x:v>
      </x:c>
      <x:c r="I239" s="56" t="str">
        <x:v>-20</x:v>
      </x:c>
      <x:c r="J239" s="56" t="str">
        <x:v>25.299999</x:v>
      </x:c>
      <x:c r="K239" s="56" t="str">
        <x:v>241.39999</x:v>
      </x:c>
      <x:c r="L239" s="56" t="str">
        <x:v>V</x:v>
      </x:c>
      <x:c r="M239" s="59" t="str">
        <x:v>SEM,HYST,SUSC-T(SD/PSD MAGN)</x:v>
      </x:c>
      <x:c r="N239" s="56" t="n">
        <x:f>--(LEN(M239)&gt;0)</x:f>
        <x:v>1</x:v>
      </x:c>
      <x:c r="O239" s="56" t="n">
        <x:v>1</x:v>
      </x:c>
      <x:c r="P239" s="56" t="n">
        <x:f>--(N239=O239)</x:f>
        <x:v>1</x:v>
      </x:c>
      <x:c r="Q239" s="56" t="str">
        <x:v>PRESENT</x:v>
      </x:c>
      <x:c r="R239" s="59" t="str">
        <x:v>SUSC-T,HYST,SEM(PSD/SD MAGN)</x:v>
      </x:c>
      <x:c r="S239" s="59" t="str">
        <x:v>SUSC-T,HYST,SEM(PSD/SD MAGN)</x:v>
      </x:c>
      <x:c r="T239" s="56" t="n">
        <x:f>--(Q239="PRESENT")</x:f>
        <x:v>1</x:v>
      </x:c>
      <x:c r="U239" s="56" t="n">
        <x:f>--(T239=N239)</x:f>
        <x:v>1</x:v>
      </x:c>
      <x:c r="V239" s="56" t="n">
        <x:f>--(T239=O239)</x:f>
        <x:v>1</x:v>
      </x:c>
      <x:c r="W239" s="56" t="n">
        <x:f>--(OR(Q239="PRESENT",Q239="ABSENT"))</x:f>
        <x:v>1</x:v>
      </x:c>
      <x:c r="X239" s="56" t="str">
        <x:v>HIGH</x:v>
      </x:c>
      <x:c r="Y239" s="56" t="str">
        <x:v>PAPER_ROW_MATCH</x:v>
      </x:c>
      <x:c r="Z239" s="57" t="b">
        <x:v>1</x:v>
      </x:c>
      <x:c r="AA239" s="57" t="b">
        <x:v>1</x:v>
      </x:c>
      <x:c r="AB239" s="56" t="n">
        <x:v>0</x:v>
      </x:c>
      <x:c r="AC239" s="56" t="str">
        <x:v>SUSC-T,HYST,SEM</x:v>
      </x:c>
      <x:c r="AD239" s="56" t="str">
        <x:v>MAGN</x:v>
      </x:c>
      <x:c r="AE239" s="56" t="str">
        <x:v>PSD,SD</x:v>
      </x:c>
      <x:c r="AF239" s="56" t="str">
        <x:v>5, 6, 7, 9, 12</x:v>
      </x:c>
      <x:c r="AG239" s="59" t="str">
        <x:v>p.12: hysteresis | p.12: susceptibility versus temperature | p.12: SEM</x:v>
      </x:c>
      <x:c r="AH239" s="58" t="n">
        <x:v>0.9787090971767105</x:v>
      </x:c>
      <x:c r="AI239" s="56" t="n">
        <x:f>--(AH239&gt;=0.5)</x:f>
        <x:v>1</x:v>
      </x:c>
      <x:c r="AJ239" s="56" t="n">
        <x:f>--(AI239=O239)</x:f>
        <x:v>1</x:v>
      </x:c>
      <x:c r="AK239" s="58" t="n">
        <x:v>0.9787090971767106</x:v>
      </x:c>
      <x:c r="AL239" s="56" t="n">
        <x:f>--(AK239&gt;=0.5)</x:f>
        <x:v>1</x:v>
      </x:c>
      <x:c r="AM239" s="56" t="n">
        <x:f>--(AL239=O239)</x:f>
        <x:v>1</x:v>
      </x:c>
    </x:row>
    <x:row r="240" ht="32" customHeight="1">
      <x:c r="A240" s="56" t="str">
        <x:v>3875</x:v>
      </x:c>
      <x:c r="B240" s="56" t="str">
        <x:v>9553</x:v>
      </x:c>
      <x:c r="C240" s="56" t="str">
        <x:v>7788</x:v>
      </x:c>
      <x:c r="D240" s="56" t="str">
        <x:v>North Anabar Intrusions</x:v>
      </x:c>
      <x:c r="E240" s="56" t="str">
        <x:v>71.699997</x:v>
      </x:c>
      <x:c r="F240" s="56" t="str">
        <x:v>106.8</x:v>
      </x:c>
      <x:c r="G240" s="56" t="str">
        <x:v>Group 3</x:v>
      </x:c>
      <x:c r="H240" s="56" t="str">
        <x:v>28.299999</x:v>
      </x:c>
      <x:c r="I240" s="56" t="str">
        <x:v>14.1</x:v>
      </x:c>
      <x:c r="J240" s="56" t="str">
        <x:v>23.9</x:v>
      </x:c>
      <x:c r="K240" s="56" t="str">
        <x:v>255.3</x:v>
      </x:c>
      <x:c r="L240" s="56" t="str">
        <x:v>V</x:v>
      </x:c>
      <x:c r="M240" s="59" t="str">
        <x:v>SEM,HYST,SUSC-T(SD/PSD MAGN)</x:v>
      </x:c>
      <x:c r="N240" s="56" t="n">
        <x:f>--(LEN(M240)&gt;0)</x:f>
        <x:v>1</x:v>
      </x:c>
      <x:c r="O240" s="56" t="n">
        <x:v>1</x:v>
      </x:c>
      <x:c r="P240" s="56" t="n">
        <x:f>--(N240=O240)</x:f>
        <x:v>1</x:v>
      </x:c>
      <x:c r="Q240" s="56" t="str">
        <x:v>PRESENT</x:v>
      </x:c>
      <x:c r="R240" s="59" t="str">
        <x:v>SUSC-T,HYST,SEM(PSD/SD MAGN)</x:v>
      </x:c>
      <x:c r="S240" s="59" t="str">
        <x:v>SUSC-T,HYST,SEM(PSD/SD MAGN)</x:v>
      </x:c>
      <x:c r="T240" s="56" t="n">
        <x:f>--(Q240="PRESENT")</x:f>
        <x:v>1</x:v>
      </x:c>
      <x:c r="U240" s="56" t="n">
        <x:f>--(T240=N240)</x:f>
        <x:v>1</x:v>
      </x:c>
      <x:c r="V240" s="56" t="n">
        <x:f>--(T240=O240)</x:f>
        <x:v>1</x:v>
      </x:c>
      <x:c r="W240" s="56" t="n">
        <x:f>--(OR(Q240="PRESENT",Q240="ABSENT"))</x:f>
        <x:v>1</x:v>
      </x:c>
      <x:c r="X240" s="56" t="str">
        <x:v>HIGH</x:v>
      </x:c>
      <x:c r="Y240" s="56" t="str">
        <x:v>PAPER_ROW_MATCH</x:v>
      </x:c>
      <x:c r="Z240" s="57" t="b">
        <x:v>1</x:v>
      </x:c>
      <x:c r="AA240" s="57" t="b">
        <x:v>1</x:v>
      </x:c>
      <x:c r="AB240" s="56" t="n">
        <x:v>0</x:v>
      </x:c>
      <x:c r="AC240" s="56" t="str">
        <x:v>SUSC-T,HYST,SEM</x:v>
      </x:c>
      <x:c r="AD240" s="56" t="str">
        <x:v>MAGN</x:v>
      </x:c>
      <x:c r="AE240" s="56" t="str">
        <x:v>PSD,SD</x:v>
      </x:c>
      <x:c r="AF240" s="56" t="str">
        <x:v>5, 7, 8, 9, 12</x:v>
      </x:c>
      <x:c r="AG240" s="59" t="str">
        <x:v>p.12: hysteresis | p.12: susceptibility versus temperature | p.12: SEM</x:v>
      </x:c>
      <x:c r="AH240" s="58" t="n">
        <x:v>0.9787686357721013</x:v>
      </x:c>
      <x:c r="AI240" s="56" t="n">
        <x:f>--(AH240&gt;=0.5)</x:f>
        <x:v>1</x:v>
      </x:c>
      <x:c r="AJ240" s="56" t="n">
        <x:f>--(AI240=O240)</x:f>
        <x:v>1</x:v>
      </x:c>
      <x:c r="AK240" s="58" t="n">
        <x:v>0.9787686357721013</x:v>
      </x:c>
      <x:c r="AL240" s="56" t="n">
        <x:f>--(AK240&gt;=0.5)</x:f>
        <x:v>1</x:v>
      </x:c>
      <x:c r="AM240" s="56" t="n">
        <x:f>--(AL240=O240)</x:f>
        <x:v>1</x:v>
      </x:c>
    </x:row>
    <x:row r="241" ht="32" customHeight="1">
      <x:c r="A241" s="56" t="str">
        <x:v>3935</x:v>
      </x:c>
      <x:c r="B241" s="56" t="str">
        <x:v>9650</x:v>
      </x:c>
      <x:c r="C241" s="56" t="str">
        <x:v>7884</x:v>
      </x:c>
      <x:c r="D241" s="56" t="str">
        <x:v>Tergen Formation</x:v>
      </x:c>
      <x:c r="E241" s="56" t="str">
        <x:v>51.700001</x:v>
      </x:c>
      <x:c r="F241" s="56" t="str">
        <x:v>117.4</x:v>
      </x:c>
      <x:c r="G241" s="56" t="str"/>
      <x:c r="H241" s="56" t="str">
        <x:v>343.70001</x:v>
      </x:c>
      <x:c r="I241" s="56" t="str">
        <x:v>40.599998</x:v>
      </x:c>
      <x:c r="J241" s="56" t="str">
        <x:v>58.900002</x:v>
      </x:c>
      <x:c r="K241" s="56" t="str">
        <x:v>327.29999</x:v>
      </x:c>
      <x:c r="L241" s="56" t="str">
        <x:v>D</x:v>
      </x:c>
      <x:c r="M241" s="59" t="str"/>
      <x:c r="N241" s="56" t="n">
        <x:f>--(LEN(M241)&gt;0)</x:f>
        <x:v>0</x:v>
      </x:c>
      <x:c r="O241" s="56" t="n">
        <x:v>0</x:v>
      </x:c>
      <x:c r="P241" s="56" t="n">
        <x:f>--(N241=O241)</x:f>
        <x:v>1</x:v>
      </x:c>
      <x:c r="Q241" s="56" t="str">
        <x:v>PRESENT</x:v>
      </x:c>
      <x:c r="R241" s="59" t="str">
        <x:v>IRM(MAGN,HEM)</x:v>
      </x:c>
      <x:c r="S241" s="59" t="str">
        <x:v>IRM(MAGN,HEM)</x:v>
      </x:c>
      <x:c r="T241" s="56" t="n">
        <x:f>--(Q241="PRESENT")</x:f>
        <x:v>1</x:v>
      </x:c>
      <x:c r="U241" s="56" t="n">
        <x:f>--(T241=N241)</x:f>
        <x:v>0</x:v>
      </x:c>
      <x:c r="V241" s="56" t="n">
        <x:f>--(T241=O241)</x:f>
        <x:v>0</x:v>
      </x:c>
      <x:c r="W241" s="56" t="n">
        <x:f>--(OR(Q241="PRESENT",Q241="ABSENT"))</x:f>
        <x:v>1</x:v>
      </x:c>
      <x:c r="X241" s="56" t="str">
        <x:v>MEDIUM</x:v>
      </x:c>
      <x:c r="Y241" s="56" t="str">
        <x:v>METADATA_UNIQUE</x:v>
      </x:c>
      <x:c r="Z241" s="57" t="b">
        <x:v>1</x:v>
      </x:c>
      <x:c r="AA241" s="57" t="b">
        <x:v>1</x:v>
      </x:c>
      <x:c r="AB241" s="56" t="n">
        <x:v>0</x:v>
      </x:c>
      <x:c r="AC241" s="56" t="str">
        <x:v>IRM</x:v>
      </x:c>
      <x:c r="AD241" s="56" t="str">
        <x:v>MAGN,HEM</x:v>
      </x:c>
      <x:c r="AE241" s="56" t="str"/>
      <x:c r="AF241" s="56" t="str">
        <x:v>3, 4, 6</x:v>
      </x:c>
      <x:c r="AG241" s="59" t="str">
        <x:v>p.3: IRM | p.6: IRM | p.4: magnetite</x:v>
      </x:c>
      <x:c r="AH241" s="58" t="n">
        <x:v>0.7784638659163117</x:v>
      </x:c>
      <x:c r="AI241" s="56" t="n">
        <x:f>--(AH241&gt;=0.5)</x:f>
        <x:v>1</x:v>
      </x:c>
      <x:c r="AJ241" s="56" t="n">
        <x:f>--(AI241=O241)</x:f>
        <x:v>0</x:v>
      </x:c>
      <x:c r="AK241" s="58" t="n">
        <x:v>0.7784638659163117</x:v>
      </x:c>
      <x:c r="AL241" s="56" t="n">
        <x:f>--(AK241&gt;=0.5)</x:f>
        <x:v>1</x:v>
      </x:c>
      <x:c r="AM241" s="56" t="n">
        <x:f>--(AL241=O241)</x:f>
        <x:v>0</x:v>
      </x:c>
    </x:row>
    <x:row r="242" ht="32" customHeight="1">
      <x:c r="A242" s="56" t="str">
        <x:v>3935</x:v>
      </x:c>
      <x:c r="B242" s="56" t="str">
        <x:v>9651</x:v>
      </x:c>
      <x:c r="C242" s="56" t="str">
        <x:v>7885</x:v>
      </x:c>
      <x:c r="D242" s="56" t="str">
        <x:v>Kremljevka Formation</x:v>
      </x:c>
      <x:c r="E242" s="56" t="str">
        <x:v>51.799999</x:v>
      </x:c>
      <x:c r="F242" s="56" t="str">
        <x:v>117.5</x:v>
      </x:c>
      <x:c r="G242" s="56" t="str"/>
      <x:c r="H242" s="56" t="str">
        <x:v>355.60001</x:v>
      </x:c>
      <x:c r="I242" s="56" t="str">
        <x:v>69.699997</x:v>
      </x:c>
      <x:c r="J242" s="56" t="str">
        <x:v>86.800003</x:v>
      </x:c>
      <x:c r="K242" s="56" t="str">
        <x:v>61.799999</x:v>
      </x:c>
      <x:c r="L242" s="56" t="str">
        <x:v>D</x:v>
      </x:c>
      <x:c r="M242" s="59" t="str">
        <x:v>IRM(MAGN)</x:v>
      </x:c>
      <x:c r="N242" s="56" t="n">
        <x:f>--(LEN(M242)&gt;0)</x:f>
        <x:v>1</x:v>
      </x:c>
      <x:c r="O242" s="56" t="n">
        <x:v>1</x:v>
      </x:c>
      <x:c r="P242" s="56" t="n">
        <x:f>--(N242=O242)</x:f>
        <x:v>1</x:v>
      </x:c>
      <x:c r="Q242" s="56" t="str">
        <x:v>PRESENT</x:v>
      </x:c>
      <x:c r="R242" s="59" t="str">
        <x:v>IRM</x:v>
      </x:c>
      <x:c r="S242" s="59" t="str">
        <x:v>IRM</x:v>
      </x:c>
      <x:c r="T242" s="56" t="n">
        <x:f>--(Q242="PRESENT")</x:f>
        <x:v>1</x:v>
      </x:c>
      <x:c r="U242" s="56" t="n">
        <x:f>--(T242=N242)</x:f>
        <x:v>1</x:v>
      </x:c>
      <x:c r="V242" s="56" t="n">
        <x:f>--(T242=O242)</x:f>
        <x:v>1</x:v>
      </x:c>
      <x:c r="W242" s="56" t="n">
        <x:f>--(OR(Q242="PRESENT",Q242="ABSENT"))</x:f>
        <x:v>1</x:v>
      </x:c>
      <x:c r="X242" s="56" t="str">
        <x:v>MEDIUM</x:v>
      </x:c>
      <x:c r="Y242" s="56" t="str">
        <x:v>PAPER_ROW_MATCH</x:v>
      </x:c>
      <x:c r="Z242" s="57" t="b">
        <x:v>1</x:v>
      </x:c>
      <x:c r="AA242" s="57" t="b">
        <x:v>1</x:v>
      </x:c>
      <x:c r="AB242" s="56" t="n">
        <x:v>0</x:v>
      </x:c>
      <x:c r="AC242" s="56" t="str">
        <x:v>IRM</x:v>
      </x:c>
      <x:c r="AD242" s="56" t="str"/>
      <x:c r="AE242" s="56" t="str"/>
      <x:c r="AF242" s="56" t="str">
        <x:v>5, 6, 7, 13</x:v>
      </x:c>
      <x:c r="AG242" s="59" t="str">
        <x:v>p.6: 3.1.2 Kremljevka Formation Early Cretaceous basalts Although IRM acquisition curves (Fig. 3a) provide evidence for a single low-coercivity magnetic carrier, thermal decay of magne- tization (Fig. 3b, specimen 07–51) clearly shows two unblocking temperature ranges, one at 350 ◦–400◦C, followed by a higher one around 580◦C. | p.6: 3.1.2 Kremljevka Formation Early Cretaceous basalts Although IRM acquisition curves (Fig. 3a) provide evidence for a single low-coercivity magnetic carrier, thermal decay of magne- tization (Fig. 3b, specimen 07–51) clearly shows two unblocking temperature ranges, one at 350 ◦–400◦C, followed by a higher one around 580◦C. | p.13: In the Kremljevka peak basalts, the low coercivity/intermediate temperature LTC resolved by composite AF+thermal demagnetizations appeared to have anomalously high intensities, scattered shallow inclinations, and was interpreted as an IRM overprint due to lightning strikes.</x:v>
      </x:c>
      <x:c r="AH242" s="58" t="n">
        <x:v>0.8080078196477424</x:v>
      </x:c>
      <x:c r="AI242" s="56" t="n">
        <x:f>--(AH242&gt;=0.5)</x:f>
        <x:v>1</x:v>
      </x:c>
      <x:c r="AJ242" s="56" t="n">
        <x:f>--(AI242=O242)</x:f>
        <x:v>1</x:v>
      </x:c>
      <x:c r="AK242" s="58" t="n">
        <x:v>0.8080078196477423</x:v>
      </x:c>
      <x:c r="AL242" s="56" t="n">
        <x:f>--(AK242&gt;=0.5)</x:f>
        <x:v>1</x:v>
      </x:c>
      <x:c r="AM242" s="56" t="n">
        <x:f>--(AL242=O242)</x:f>
        <x:v>1</x:v>
      </x:c>
    </x:row>
    <x:row r="243" ht="32" customHeight="1">
      <x:c r="A243" s="56" t="str">
        <x:v>3935</x:v>
      </x:c>
      <x:c r="B243" s="56" t="str">
        <x:v>9652</x:v>
      </x:c>
      <x:c r="C243" s="56" t="str">
        <x:v>7886</x:v>
      </x:c>
      <x:c r="D243" s="56" t="str">
        <x:v>Monostoy Basalts</x:v>
      </x:c>
      <x:c r="E243" s="56" t="str">
        <x:v>51.099998</x:v>
      </x:c>
      <x:c r="F243" s="56" t="str">
        <x:v>106.8</x:v>
      </x:c>
      <x:c r="G243" s="56" t="str"/>
      <x:c r="H243" s="56" t="str">
        <x:v>105.6</x:v>
      </x:c>
      <x:c r="I243" s="56" t="str">
        <x:v>80.599998</x:v>
      </x:c>
      <x:c r="J243" s="56" t="str">
        <x:v>43.299999</x:v>
      </x:c>
      <x:c r="K243" s="56" t="str">
        <x:v>131.39999</x:v>
      </x:c>
      <x:c r="L243" s="56" t="str">
        <x:v>D</x:v>
      </x:c>
      <x:c r="M243" s="59" t="str"/>
      <x:c r="N243" s="56" t="n">
        <x:f>--(LEN(M243)&gt;0)</x:f>
        <x:v>0</x:v>
      </x:c>
      <x:c r="O243" s="56" t="n">
        <x:v>0</x:v>
      </x:c>
      <x:c r="P243" s="56" t="n">
        <x:f>--(N243=O243)</x:f>
        <x:v>1</x:v>
      </x:c>
      <x:c r="Q243" s="56" t="str">
        <x:v>PRESENT</x:v>
      </x:c>
      <x:c r="R243" s="59" t="str">
        <x:v>IRM(MAGN,HEM)</x:v>
      </x:c>
      <x:c r="S243" s="59" t="str">
        <x:v>IRM(MAGN,HEM)</x:v>
      </x:c>
      <x:c r="T243" s="56" t="n">
        <x:f>--(Q243="PRESENT")</x:f>
        <x:v>1</x:v>
      </x:c>
      <x:c r="U243" s="56" t="n">
        <x:f>--(T243=N243)</x:f>
        <x:v>0</x:v>
      </x:c>
      <x:c r="V243" s="56" t="n">
        <x:f>--(T243=O243)</x:f>
        <x:v>0</x:v>
      </x:c>
      <x:c r="W243" s="56" t="n">
        <x:f>--(OR(Q243="PRESENT",Q243="ABSENT"))</x:f>
        <x:v>1</x:v>
      </x:c>
      <x:c r="X243" s="56" t="str">
        <x:v>MEDIUM</x:v>
      </x:c>
      <x:c r="Y243" s="56" t="str">
        <x:v>METADATA_UNIQUE</x:v>
      </x:c>
      <x:c r="Z243" s="57" t="b">
        <x:v>1</x:v>
      </x:c>
      <x:c r="AA243" s="57" t="b">
        <x:v>1</x:v>
      </x:c>
      <x:c r="AB243" s="56" t="n">
        <x:v>0</x:v>
      </x:c>
      <x:c r="AC243" s="56" t="str">
        <x:v>IRM</x:v>
      </x:c>
      <x:c r="AD243" s="56" t="str">
        <x:v>MAGN,HEM</x:v>
      </x:c>
      <x:c r="AE243" s="56" t="str"/>
      <x:c r="AF243" s="56" t="str">
        <x:v>6, 9, 10, 13</x:v>
      </x:c>
      <x:c r="AG243" s="59" t="str">
        <x:v>p.10: IRM | p.13: IRM | p.6: IRM</x:v>
      </x:c>
      <x:c r="AH243" s="58" t="n">
        <x:v>0.8386953253978477</x:v>
      </x:c>
      <x:c r="AI243" s="56" t="n">
        <x:f>--(AH243&gt;=0.5)</x:f>
        <x:v>1</x:v>
      </x:c>
      <x:c r="AJ243" s="56" t="n">
        <x:f>--(AI243=O243)</x:f>
        <x:v>0</x:v>
      </x:c>
      <x:c r="AK243" s="58" t="n">
        <x:v>0.8386953253978477</x:v>
      </x:c>
      <x:c r="AL243" s="56" t="n">
        <x:f>--(AK243&gt;=0.5)</x:f>
        <x:v>1</x:v>
      </x:c>
      <x:c r="AM243" s="56" t="n">
        <x:f>--(AL243=O243)</x:f>
        <x:v>0</x:v>
      </x:c>
    </x:row>
    <x:row r="244" ht="32" customHeight="1">
      <x:c r="A244" s="56" t="str">
        <x:v>3935</x:v>
      </x:c>
      <x:c r="B244" s="56" t="str">
        <x:v>9653</x:v>
      </x:c>
      <x:c r="C244" s="56" t="str">
        <x:v>7887</x:v>
      </x:c>
      <x:c r="D244" s="56" t="str">
        <x:v>Ingoda Basalts</x:v>
      </x:c>
      <x:c r="E244" s="56" t="str">
        <x:v>51.200001</x:v>
      </x:c>
      <x:c r="F244" s="56" t="str">
        <x:v>112.3</x:v>
      </x:c>
      <x:c r="G244" s="56" t="str"/>
      <x:c r="H244" s="56" t="str">
        <x:v>52.799999</x:v>
      </x:c>
      <x:c r="I244" s="56" t="str">
        <x:v>69.800003</x:v>
      </x:c>
      <x:c r="J244" s="56" t="str">
        <x:v>58.5</x:v>
      </x:c>
      <x:c r="K244" s="56" t="str">
        <x:v>176.8</x:v>
      </x:c>
      <x:c r="L244" s="56" t="str">
        <x:v>D</x:v>
      </x:c>
      <x:c r="M244" s="59" t="str">
        <x:v>IRM(MAGN)</x:v>
      </x:c>
      <x:c r="N244" s="56" t="n">
        <x:f>--(LEN(M244)&gt;0)</x:f>
        <x:v>1</x:v>
      </x:c>
      <x:c r="O244" s="56" t="n">
        <x:v>1</x:v>
      </x:c>
      <x:c r="P244" s="56" t="n">
        <x:f>--(N244=O244)</x:f>
        <x:v>1</x:v>
      </x:c>
      <x:c r="Q244" s="56" t="str">
        <x:v>PRESENT</x:v>
      </x:c>
      <x:c r="R244" s="59" t="str">
        <x:v>IRM(MAGN,HEM)</x:v>
      </x:c>
      <x:c r="S244" s="59" t="str">
        <x:v>IRM(MAGN,HEM)</x:v>
      </x:c>
      <x:c r="T244" s="56" t="n">
        <x:f>--(Q244="PRESENT")</x:f>
        <x:v>1</x:v>
      </x:c>
      <x:c r="U244" s="56" t="n">
        <x:f>--(T244=N244)</x:f>
        <x:v>1</x:v>
      </x:c>
      <x:c r="V244" s="56" t="n">
        <x:f>--(T244=O244)</x:f>
        <x:v>1</x:v>
      </x:c>
      <x:c r="W244" s="56" t="n">
        <x:f>--(OR(Q244="PRESENT",Q244="ABSENT"))</x:f>
        <x:v>1</x:v>
      </x:c>
      <x:c r="X244" s="56" t="str">
        <x:v>MEDIUM</x:v>
      </x:c>
      <x:c r="Y244" s="56" t="str">
        <x:v>METADATA_UNIQUE</x:v>
      </x:c>
      <x:c r="Z244" s="57" t="b">
        <x:v>1</x:v>
      </x:c>
      <x:c r="AA244" s="57" t="b">
        <x:v>1</x:v>
      </x:c>
      <x:c r="AB244" s="56" t="n">
        <x:v>0</x:v>
      </x:c>
      <x:c r="AC244" s="56" t="str">
        <x:v>IRM</x:v>
      </x:c>
      <x:c r="AD244" s="56" t="str">
        <x:v>MAGN,HEM</x:v>
      </x:c>
      <x:c r="AE244" s="56" t="str"/>
      <x:c r="AF244" s="56" t="str">
        <x:v>6, 10, 11, 13</x:v>
      </x:c>
      <x:c r="AG244" s="59" t="str">
        <x:v>p.10: 3.2.2 Early Cretaceous Ingoda river basalts An IRM acquisition example is presented in Fig. 6(a). | p.11: IRM | p.13: IRM</x:v>
      </x:c>
      <x:c r="AH244" s="58" t="n">
        <x:v>0.8033484655309521</x:v>
      </x:c>
      <x:c r="AI244" s="56" t="n">
        <x:f>--(AH244&gt;=0.5)</x:f>
        <x:v>1</x:v>
      </x:c>
      <x:c r="AJ244" s="56" t="n">
        <x:f>--(AI244=O244)</x:f>
        <x:v>1</x:v>
      </x:c>
      <x:c r="AK244" s="58" t="n">
        <x:v>0.8033484655309521</x:v>
      </x:c>
      <x:c r="AL244" s="56" t="n">
        <x:f>--(AK244&gt;=0.5)</x:f>
        <x:v>1</x:v>
      </x:c>
      <x:c r="AM244" s="56" t="n">
        <x:f>--(AL244=O244)</x:f>
        <x:v>1</x:v>
      </x:c>
    </x:row>
    <x:row r="245" ht="32" customHeight="1">
      <x:c r="A245" s="56" t="str">
        <x:v>3935</x:v>
      </x:c>
      <x:c r="B245" s="56" t="str">
        <x:v>9654</x:v>
      </x:c>
      <x:c r="C245" s="56" t="str">
        <x:v>7888</x:v>
      </x:c>
      <x:c r="D245" s="56" t="str">
        <x:v>Bichura Basalts</x:v>
      </x:c>
      <x:c r="E245" s="56" t="str">
        <x:v>50.599998</x:v>
      </x:c>
      <x:c r="F245" s="56" t="str">
        <x:v>107.6</x:v>
      </x:c>
      <x:c r="G245" s="56" t="str"/>
      <x:c r="H245" s="56" t="str">
        <x:v>257.39999</x:v>
      </x:c>
      <x:c r="I245" s="56" t="str">
        <x:v>74.099998</x:v>
      </x:c>
      <x:c r="J245" s="56" t="str">
        <x:v>37</x:v>
      </x:c>
      <x:c r="K245" s="56" t="str">
        <x:v>70.400002</x:v>
      </x:c>
      <x:c r="L245" s="56" t="str">
        <x:v>D</x:v>
      </x:c>
      <x:c r="M245" s="59" t="str"/>
      <x:c r="N245" s="56" t="n">
        <x:f>--(LEN(M245)&gt;0)</x:f>
        <x:v>0</x:v>
      </x:c>
      <x:c r="O245" s="56" t="n">
        <x:v>0</x:v>
      </x:c>
      <x:c r="P245" s="56" t="n">
        <x:f>--(N245=O245)</x:f>
        <x:v>1</x:v>
      </x:c>
      <x:c r="Q245" s="56" t="str">
        <x:v>PRESENT</x:v>
      </x:c>
      <x:c r="R245" s="59" t="str">
        <x:v>IRM</x:v>
      </x:c>
      <x:c r="S245" s="59" t="str">
        <x:v>IRM</x:v>
      </x:c>
      <x:c r="T245" s="56" t="n">
        <x:f>--(Q245="PRESENT")</x:f>
        <x:v>1</x:v>
      </x:c>
      <x:c r="U245" s="56" t="n">
        <x:f>--(T245=N245)</x:f>
        <x:v>0</x:v>
      </x:c>
      <x:c r="V245" s="56" t="n">
        <x:f>--(T245=O245)</x:f>
        <x:v>0</x:v>
      </x:c>
      <x:c r="W245" s="56" t="n">
        <x:f>--(OR(Q245="PRESENT",Q245="ABSENT"))</x:f>
        <x:v>1</x:v>
      </x:c>
      <x:c r="X245" s="56" t="str">
        <x:v>MEDIUM</x:v>
      </x:c>
      <x:c r="Y245" s="56" t="str">
        <x:v>METADATA_UNIQUE</x:v>
      </x:c>
      <x:c r="Z245" s="57" t="b">
        <x:v>1</x:v>
      </x:c>
      <x:c r="AA245" s="57" t="b">
        <x:v>1</x:v>
      </x:c>
      <x:c r="AB245" s="56" t="n">
        <x:v>0</x:v>
      </x:c>
      <x:c r="AC245" s="56" t="str">
        <x:v>IRM</x:v>
      </x:c>
      <x:c r="AD245" s="56" t="str"/>
      <x:c r="AE245" s="56" t="str"/>
      <x:c r="AF245" s="56" t="str">
        <x:v>6, 13</x:v>
      </x:c>
      <x:c r="AG245" s="59" t="str">
        <x:v>p.13: IRM | p.6: IRM | p.13: coercivity</x:v>
      </x:c>
      <x:c r="AH245" s="58" t="n">
        <x:v>0.8216623277388022</x:v>
      </x:c>
      <x:c r="AI245" s="56" t="n">
        <x:f>--(AH245&gt;=0.5)</x:f>
        <x:v>1</x:v>
      </x:c>
      <x:c r="AJ245" s="56" t="n">
        <x:f>--(AI245=O245)</x:f>
        <x:v>0</x:v>
      </x:c>
      <x:c r="AK245" s="58" t="n">
        <x:v>0.8216623277388022</x:v>
      </x:c>
      <x:c r="AL245" s="56" t="n">
        <x:f>--(AK245&gt;=0.5)</x:f>
        <x:v>1</x:v>
      </x:c>
      <x:c r="AM245" s="56" t="n">
        <x:f>--(AL245=O245)</x:f>
        <x:v>0</x:v>
      </x:c>
    </x:row>
    <x:row r="246" ht="32" customHeight="1">
      <x:c r="A246" s="56" t="str">
        <x:v>3985</x:v>
      </x:c>
      <x:c r="B246" s="56" t="str">
        <x:v>9741</x:v>
      </x:c>
      <x:c r="C246" s="56" t="str">
        <x:v>7975</x:v>
      </x:c>
      <x:c r="D246" s="56" t="str">
        <x:v>Ithetuy Formation</x:v>
      </x:c>
      <x:c r="E246" s="56" t="str">
        <x:v>51</x:v>
      </x:c>
      <x:c r="F246" s="56" t="str">
        <x:v>107</x:v>
      </x:c>
      <x:c r="G246" s="56" t="str"/>
      <x:c r="H246" s="56" t="str"/>
      <x:c r="I246" s="56" t="str"/>
      <x:c r="J246" s="56" t="str">
        <x:v>63.599998</x:v>
      </x:c>
      <x:c r="K246" s="56" t="str">
        <x:v>166.8</x:v>
      </x:c>
      <x:c r="L246" s="56" t="str">
        <x:v>V</x:v>
      </x:c>
      <x:c r="M246" s="59" t="str">
        <x:v>SUSC-T(MAGN)</x:v>
      </x:c>
      <x:c r="N246" s="56" t="n">
        <x:f>--(LEN(M246)&gt;0)</x:f>
        <x:v>1</x:v>
      </x:c>
      <x:c r="O246" s="56" t="n">
        <x:v>1</x:v>
      </x:c>
      <x:c r="P246" s="56" t="n">
        <x:f>--(N246=O246)</x:f>
        <x:v>1</x:v>
      </x:c>
      <x:c r="Q246" s="56" t="str">
        <x:v>ABSENT</x:v>
      </x:c>
      <x:c r="R246" s="59" t="str"/>
      <x:c r="S246" s="59" t="str"/>
      <x:c r="T246" s="56" t="n">
        <x:f>--(Q246="PRESENT")</x:f>
        <x:v>0</x:v>
      </x:c>
      <x:c r="U246" s="56" t="n">
        <x:f>--(T246=N246)</x:f>
        <x:v>0</x:v>
      </x:c>
      <x:c r="V246" s="56" t="n">
        <x:f>--(T246=O246)</x:f>
        <x:v>0</x:v>
      </x:c>
      <x:c r="W246" s="56" t="n">
        <x:f>--(OR(Q246="PRESENT",Q246="ABSENT"))</x:f>
        <x:v>1</x:v>
      </x:c>
      <x:c r="X246" s="56" t="str">
        <x:v>MEDIUM</x:v>
      </x:c>
      <x:c r="Y246" s="56" t="str">
        <x:v>METADATA_UNIQUE</x:v>
      </x:c>
      <x:c r="Z246" s="57" t="b">
        <x:v>1</x:v>
      </x:c>
      <x:c r="AA246" s="57" t="b">
        <x:v>1</x:v>
      </x:c>
      <x:c r="AB246" s="56" t="n">
        <x:v>0</x:v>
      </x:c>
      <x:c r="AC246" s="56" t="str"/>
      <x:c r="AD246" s="56" t="str"/>
      <x:c r="AE246" s="56" t="str"/>
      <x:c r="AF246" s="56" t="str"/>
      <x:c r="AG246" s="59" t="str"/>
      <x:c r="AH246" s="58" t="n">
        <x:v>0.5894013378300722</x:v>
      </x:c>
      <x:c r="AI246" s="56" t="n">
        <x:f>--(AH246&gt;=0.5)</x:f>
        <x:v>1</x:v>
      </x:c>
      <x:c r="AJ246" s="56" t="n">
        <x:f>--(AI246=O246)</x:f>
        <x:v>1</x:v>
      </x:c>
      <x:c r="AK246" s="58" t="n">
        <x:v>0.5894013378300722</x:v>
      </x:c>
      <x:c r="AL246" s="56" t="n">
        <x:f>--(AK246&gt;=0.5)</x:f>
        <x:v>1</x:v>
      </x:c>
      <x:c r="AM246" s="56" t="n">
        <x:f>--(AL246=O246)</x:f>
        <x:v>1</x:v>
      </x:c>
    </x:row>
    <x:row r="247" ht="32" customHeight="1">
      <x:c r="A247" s="56" t="str">
        <x:v>3985</x:v>
      </x:c>
      <x:c r="B247" s="56" t="str">
        <x:v>9742</x:v>
      </x:c>
      <x:c r="C247" s="56" t="str">
        <x:v>7976</x:v>
      </x:c>
      <x:c r="D247" s="56" t="str">
        <x:v>Minusa Trough Late Cretaceous Rocks</x:v>
      </x:c>
      <x:c r="E247" s="56" t="str">
        <x:v>54.900002</x:v>
      </x:c>
      <x:c r="F247" s="56" t="str">
        <x:v>90.400002</x:v>
      </x:c>
      <x:c r="G247" s="56" t="str"/>
      <x:c r="H247" s="56" t="str">
        <x:v>16.1</x:v>
      </x:c>
      <x:c r="I247" s="56" t="str">
        <x:v>70.099998</x:v>
      </x:c>
      <x:c r="J247" s="56" t="str">
        <x:v>82.800003</x:v>
      </x:c>
      <x:c r="K247" s="56" t="str">
        <x:v>188.5</x:v>
      </x:c>
      <x:c r="L247" s="56" t="str">
        <x:v>V</x:v>
      </x:c>
      <x:c r="M247" s="59" t="str">
        <x:v>OP,Js-T,SIRM-T,SUSC-T(MAGN)</x:v>
      </x:c>
      <x:c r="N247" s="56" t="n">
        <x:f>--(LEN(M247)&gt;0)</x:f>
        <x:v>1</x:v>
      </x:c>
      <x:c r="O247" s="56" t="n">
        <x:v>1</x:v>
      </x:c>
      <x:c r="P247" s="56" t="n">
        <x:f>--(N247=O247)</x:f>
        <x:v>1</x:v>
      </x:c>
      <x:c r="Q247" s="56" t="str">
        <x:v>PRESENT</x:v>
      </x:c>
      <x:c r="R247" s="59" t="str">
        <x:v>IRM,MICROPROBE(TM,MAGN,MAGH)</x:v>
      </x:c>
      <x:c r="S247" s="59" t="str">
        <x:v>IRM,MICROPROBE(TM,MAGN,MAGH)</x:v>
      </x:c>
      <x:c r="T247" s="56" t="n">
        <x:f>--(Q247="PRESENT")</x:f>
        <x:v>1</x:v>
      </x:c>
      <x:c r="U247" s="56" t="n">
        <x:f>--(T247=N247)</x:f>
        <x:v>1</x:v>
      </x:c>
      <x:c r="V247" s="56" t="n">
        <x:f>--(T247=O247)</x:f>
        <x:v>1</x:v>
      </x:c>
      <x:c r="W247" s="56" t="n">
        <x:f>--(OR(Q247="PRESENT",Q247="ABSENT"))</x:f>
        <x:v>1</x:v>
      </x:c>
      <x:c r="X247" s="56" t="str">
        <x:v>MEDIUM</x:v>
      </x:c>
      <x:c r="Y247" s="56" t="str">
        <x:v>METADATA_UNIQUE</x:v>
      </x:c>
      <x:c r="Z247" s="57" t="b">
        <x:v>1</x:v>
      </x:c>
      <x:c r="AA247" s="57" t="b">
        <x:v>1</x:v>
      </x:c>
      <x:c r="AB247" s="56" t="n">
        <x:v>0</x:v>
      </x:c>
      <x:c r="AC247" s="56" t="str">
        <x:v>IRM,MICROPROBE</x:v>
      </x:c>
      <x:c r="AD247" s="56" t="str">
        <x:v>TM,MAGN,MAGH</x:v>
      </x:c>
      <x:c r="AE247" s="56" t="str"/>
      <x:c r="AF247" s="56" t="str">
        <x:v>11</x:v>
      </x:c>
      <x:c r="AG247" s="59" t="str">
        <x:v>p.11: SIRM | p.11: electron microprobe | p.11: titanomagnetite</x:v>
      </x:c>
      <x:c r="AH247" s="58" t="n">
        <x:v>0.5400058871353393</x:v>
      </x:c>
      <x:c r="AI247" s="56" t="n">
        <x:f>--(AH247&gt;=0.5)</x:f>
        <x:v>1</x:v>
      </x:c>
      <x:c r="AJ247" s="56" t="n">
        <x:f>--(AI247=O247)</x:f>
        <x:v>1</x:v>
      </x:c>
      <x:c r="AK247" s="58" t="n">
        <x:v>0.5400058871353393</x:v>
      </x:c>
      <x:c r="AL247" s="56" t="n">
        <x:f>--(AK247&gt;=0.5)</x:f>
        <x:v>1</x:v>
      </x:c>
      <x:c r="AM247" s="56" t="n">
        <x:f>--(AL247=O247)</x:f>
        <x:v>1</x:v>
      </x:c>
    </x:row>
    <x:row r="248" ht="32" customHeight="1">
      <x:c r="A248" s="56" t="str">
        <x:v>3985</x:v>
      </x:c>
      <x:c r="B248" s="56" t="str">
        <x:v>9743</x:v>
      </x:c>
      <x:c r="C248" s="56" t="str">
        <x:v>7977</x:v>
      </x:c>
      <x:c r="D248" s="56" t="str">
        <x:v>Verkhoyansk Middle Jurassic Sediments</x:v>
      </x:c>
      <x:c r="E248" s="56" t="str">
        <x:v>69.900002</x:v>
      </x:c>
      <x:c r="F248" s="56" t="str">
        <x:v>125.4</x:v>
      </x:c>
      <x:c r="G248" s="56" t="str"/>
      <x:c r="H248" s="56" t="str">
        <x:v>141.39999</x:v>
      </x:c>
      <x:c r="I248" s="56" t="str">
        <x:v>84.199997</x:v>
      </x:c>
      <x:c r="J248" s="56" t="str">
        <x:v>59.299999</x:v>
      </x:c>
      <x:c r="K248" s="56" t="str">
        <x:v>139.2</x:v>
      </x:c>
      <x:c r="L248" s="56" t="str">
        <x:v>V</x:v>
      </x:c>
      <x:c r="M248" s="59" t="str"/>
      <x:c r="N248" s="56" t="n">
        <x:f>--(LEN(M248)&gt;0)</x:f>
        <x:v>0</x:v>
      </x:c>
      <x:c r="O248" s="56" t="n">
        <x:v>0</x:v>
      </x:c>
      <x:c r="P248" s="56" t="n">
        <x:f>--(N248=O248)</x:f>
        <x:v>1</x:v>
      </x:c>
      <x:c r="Q248" s="56" t="str">
        <x:v>ABSTAIN_INSUFFICIENT</x:v>
      </x:c>
      <x:c r="R248" s="59" t="str"/>
      <x:c r="S248" s="59" t="str"/>
      <x:c r="T248" s="56" t="n">
        <x:f>--(Q248="PRESENT")</x:f>
        <x:v>0</x:v>
      </x:c>
      <x:c r="U248" s="56" t="n">
        <x:f>--(T248=N248)</x:f>
        <x:v>1</x:v>
      </x:c>
      <x:c r="V248" s="56" t="n">
        <x:f>--(T248=O248)</x:f>
        <x:v>1</x:v>
      </x:c>
      <x:c r="W248" s="56" t="n">
        <x:f>--(OR(Q248="PRESENT",Q248="ABSENT"))</x:f>
        <x:v>0</x:v>
      </x:c>
      <x:c r="X248" s="56" t="str">
        <x:v>LOW</x:v>
      </x:c>
      <x:c r="Y248" s="56" t="str">
        <x:v>METADATA_UNIQUE</x:v>
      </x:c>
      <x:c r="Z248" s="57" t="b">
        <x:v>1</x:v>
      </x:c>
      <x:c r="AA248" s="57" t="b">
        <x:v>1</x:v>
      </x:c>
      <x:c r="AB248" s="56" t="n">
        <x:v>0</x:v>
      </x:c>
      <x:c r="AC248" s="56" t="str"/>
      <x:c r="AD248" s="56" t="str"/>
      <x:c r="AE248" s="56" t="str"/>
      <x:c r="AF248" s="56" t="str"/>
      <x:c r="AG248" s="59" t="str"/>
      <x:c r="AH248" s="58" t="n">
        <x:v>0.49168936943917296</x:v>
      </x:c>
      <x:c r="AI248" s="56" t="n">
        <x:f>--(AH248&gt;=0.5)</x:f>
        <x:v>0</x:v>
      </x:c>
      <x:c r="AJ248" s="56" t="n">
        <x:f>--(AI248=O248)</x:f>
        <x:v>1</x:v>
      </x:c>
      <x:c r="AK248" s="58" t="n">
        <x:v>0.49168936943917296</x:v>
      </x:c>
      <x:c r="AL248" s="56" t="n">
        <x:f>--(AK248&gt;=0.5)</x:f>
        <x:v>0</x:v>
      </x:c>
      <x:c r="AM248" s="56" t="n">
        <x:f>--(AL248=O248)</x:f>
        <x:v>1</x:v>
      </x:c>
    </x:row>
    <x:row r="249" ht="32" customHeight="1">
      <x:c r="A249" s="56" t="str">
        <x:v>3985</x:v>
      </x:c>
      <x:c r="B249" s="56" t="str">
        <x:v>9744</x:v>
      </x:c>
      <x:c r="C249" s="56" t="str">
        <x:v>7978</x:v>
      </x:c>
      <x:c r="D249" s="56" t="str">
        <x:v>Verkhoyansk Early Cretaceous Sediments</x:v>
      </x:c>
      <x:c r="E249" s="56" t="str">
        <x:v>69.900002</x:v>
      </x:c>
      <x:c r="F249" s="56" t="str">
        <x:v>125.4</x:v>
      </x:c>
      <x:c r="G249" s="56" t="str"/>
      <x:c r="H249" s="56" t="str">
        <x:v>70.199997</x:v>
      </x:c>
      <x:c r="I249" s="56" t="str">
        <x:v>79.199997</x:v>
      </x:c>
      <x:c r="J249" s="56" t="str">
        <x:v>67.199997</x:v>
      </x:c>
      <x:c r="K249" s="56" t="str">
        <x:v>183.8</x:v>
      </x:c>
      <x:c r="L249" s="56" t="str">
        <x:v>V</x:v>
      </x:c>
      <x:c r="M249" s="59" t="str"/>
      <x:c r="N249" s="56" t="n">
        <x:f>--(LEN(M249)&gt;0)</x:f>
        <x:v>0</x:v>
      </x:c>
      <x:c r="O249" s="56" t="n">
        <x:v>0</x:v>
      </x:c>
      <x:c r="P249" s="56" t="n">
        <x:f>--(N249=O249)</x:f>
        <x:v>1</x:v>
      </x:c>
      <x:c r="Q249" s="56" t="str">
        <x:v>PRESENT</x:v>
      </x:c>
      <x:c r="R249" s="59" t="str">
        <x:v>IRM,MICROPROBE(MAGN,MAGH,TM)</x:v>
      </x:c>
      <x:c r="S249" s="59" t="str">
        <x:v>IRM,MICROPROBE(MAGN,MAGH,TM)</x:v>
      </x:c>
      <x:c r="T249" s="56" t="n">
        <x:f>--(Q249="PRESENT")</x:f>
        <x:v>1</x:v>
      </x:c>
      <x:c r="U249" s="56" t="n">
        <x:f>--(T249=N249)</x:f>
        <x:v>0</x:v>
      </x:c>
      <x:c r="V249" s="56" t="n">
        <x:f>--(T249=O249)</x:f>
        <x:v>0</x:v>
      </x:c>
      <x:c r="W249" s="56" t="n">
        <x:f>--(OR(Q249="PRESENT",Q249="ABSENT"))</x:f>
        <x:v>1</x:v>
      </x:c>
      <x:c r="X249" s="56" t="str">
        <x:v>MEDIUM</x:v>
      </x:c>
      <x:c r="Y249" s="56" t="str">
        <x:v>METADATA_UNIQUE</x:v>
      </x:c>
      <x:c r="Z249" s="57" t="b">
        <x:v>1</x:v>
      </x:c>
      <x:c r="AA249" s="57" t="b">
        <x:v>1</x:v>
      </x:c>
      <x:c r="AB249" s="56" t="n">
        <x:v>0</x:v>
      </x:c>
      <x:c r="AC249" s="56" t="str">
        <x:v>IRM,MICROPROBE</x:v>
      </x:c>
      <x:c r="AD249" s="56" t="str">
        <x:v>MAGN,MAGH,TM</x:v>
      </x:c>
      <x:c r="AE249" s="56" t="str"/>
      <x:c r="AF249" s="56" t="str">
        <x:v>11</x:v>
      </x:c>
      <x:c r="AG249" s="59" t="str">
        <x:v>p.11: SIRM | p.11: electron microprobe | p.11: magnetite</x:v>
      </x:c>
      <x:c r="AH249" s="58" t="n">
        <x:v>0.48197213495249813</x:v>
      </x:c>
      <x:c r="AI249" s="56" t="n">
        <x:f>--(AH249&gt;=0.5)</x:f>
        <x:v>0</x:v>
      </x:c>
      <x:c r="AJ249" s="56" t="n">
        <x:f>--(AI249=O249)</x:f>
        <x:v>1</x:v>
      </x:c>
      <x:c r="AK249" s="58" t="n">
        <x:v>0.48197213495249813</x:v>
      </x:c>
      <x:c r="AL249" s="56" t="n">
        <x:f>--(AK249&gt;=0.5)</x:f>
        <x:v>0</x:v>
      </x:c>
      <x:c r="AM249" s="56" t="n">
        <x:f>--(AL249=O249)</x:f>
        <x:v>1</x:v>
      </x:c>
    </x:row>
    <x:row r="250" ht="32" customHeight="1">
      <x:c r="A250" s="56" t="str">
        <x:v>4025</x:v>
      </x:c>
      <x:c r="B250" s="56" t="str">
        <x:v>9809</x:v>
      </x:c>
      <x:c r="C250" s="56" t="str">
        <x:v>8039</x:v>
      </x:c>
      <x:c r="D250" s="56" t="str">
        <x:v>Halaqiaola Basalts</x:v>
      </x:c>
      <x:c r="E250" s="56" t="str">
        <x:v>46.91</x:v>
      </x:c>
      <x:c r="F250" s="56" t="str">
        <x:v>90.019997</x:v>
      </x:c>
      <x:c r="G250" s="56" t="str"/>
      <x:c r="H250" s="56" t="str">
        <x:v>201</x:v>
      </x:c>
      <x:c r="I250" s="56" t="str">
        <x:v>-64.599998</x:v>
      </x:c>
      <x:c r="J250" s="56" t="str">
        <x:v>75.599998</x:v>
      </x:c>
      <x:c r="K250" s="56" t="str">
        <x:v>174</x:v>
      </x:c>
      <x:c r="L250" s="56" t="str">
        <x:v>D</x:v>
      </x:c>
      <x:c r="M250" s="59" t="str">
        <x:v>SIRM,HYST,Js-T(PSD TM)</x:v>
      </x:c>
      <x:c r="N250" s="56" t="n">
        <x:f>--(LEN(M250)&gt;0)</x:f>
        <x:v>1</x:v>
      </x:c>
      <x:c r="O250" s="56" t="n">
        <x:v>1</x:v>
      </x:c>
      <x:c r="P250" s="56" t="n">
        <x:f>--(N250=O250)</x:f>
        <x:v>1</x:v>
      </x:c>
      <x:c r="Q250" s="56" t="str">
        <x:v>PRESENT</x:v>
      </x:c>
      <x:c r="R250" s="59" t="str">
        <x:v>SUSC-T(TM,MAGN)</x:v>
      </x:c>
      <x:c r="S250" s="59" t="str">
        <x:v>SUSC-T(TM,MAGN)</x:v>
      </x:c>
      <x:c r="T250" s="56" t="n">
        <x:f>--(Q250="PRESENT")</x:f>
        <x:v>1</x:v>
      </x:c>
      <x:c r="U250" s="56" t="n">
        <x:f>--(T250=N250)</x:f>
        <x:v>1</x:v>
      </x:c>
      <x:c r="V250" s="56" t="n">
        <x:f>--(T250=O250)</x:f>
        <x:v>1</x:v>
      </x:c>
      <x:c r="W250" s="56" t="n">
        <x:f>--(OR(Q250="PRESENT",Q250="ABSENT"))</x:f>
        <x:v>1</x:v>
      </x:c>
      <x:c r="X250" s="56" t="str">
        <x:v>MEDIUM</x:v>
      </x:c>
      <x:c r="Y250" s="56" t="str">
        <x:v>METADATA_UNIQUE</x:v>
      </x:c>
      <x:c r="Z250" s="57" t="b">
        <x:v>1</x:v>
      </x:c>
      <x:c r="AA250" s="57" t="b">
        <x:v>1</x:v>
      </x:c>
      <x:c r="AB250" s="56" t="n">
        <x:v>0</x:v>
      </x:c>
      <x:c r="AC250" s="56" t="str">
        <x:v>SUSC-T</x:v>
      </x:c>
      <x:c r="AD250" s="56" t="str">
        <x:v>TM,MAGN</x:v>
      </x:c>
      <x:c r="AE250" s="56" t="str">
        <x:v>SD</x:v>
      </x:c>
      <x:c r="AF250" s="56" t="str">
        <x:v>8</x:v>
      </x:c>
      <x:c r="AG250" s="59" t="str">
        <x:v>p.8: The Halaqiaola Basalts [16] Thermomagnetic curves ( J-T) of powdered samples from each site show a common feature with the cooling curve far above the heating curve up to a temperature of 600 C (Figure 3a), indicative of a formation of new ferromagnets with high magnetization during the heating. | p.8: (a) Representative results of thermomagnetic analysis of remanence (J-T curves) of samples from several Halaqiaola basalt flows. | p.8: chemical changes occur at heating to temperatures higher than the Curie temperature and suggest that titanomagnetite or titanomaghemite</x:v>
      </x:c>
      <x:c r="AH250" s="58" t="n">
        <x:v>0.9810995086726938</x:v>
      </x:c>
      <x:c r="AI250" s="56" t="n">
        <x:f>--(AH250&gt;=0.5)</x:f>
        <x:v>1</x:v>
      </x:c>
      <x:c r="AJ250" s="56" t="n">
        <x:f>--(AI250=O250)</x:f>
        <x:v>1</x:v>
      </x:c>
      <x:c r="AK250" s="58" t="n">
        <x:v>0.9810995086726937</x:v>
      </x:c>
      <x:c r="AL250" s="56" t="n">
        <x:f>--(AK250&gt;=0.5)</x:f>
        <x:v>1</x:v>
      </x:c>
      <x:c r="AM250" s="56" t="n">
        <x:f>--(AL250=O250)</x:f>
        <x:v>1</x:v>
      </x:c>
    </x:row>
    <x:row r="251" ht="32" customHeight="1">
      <x:c r="A251" s="56" t="str">
        <x:v>4025</x:v>
      </x:c>
      <x:c r="B251" s="56" t="str">
        <x:v>9810</x:v>
      </x:c>
      <x:c r="C251" s="56" t="str">
        <x:v>8040</x:v>
      </x:c>
      <x:c r="D251" s="56" t="str">
        <x:v>Fuyun Redbeds</x:v>
      </x:c>
      <x:c r="E251" s="56" t="str">
        <x:v>46.959999</x:v>
      </x:c>
      <x:c r="F251" s="56" t="str">
        <x:v>89.529999</x:v>
      </x:c>
      <x:c r="G251" s="56" t="str"/>
      <x:c r="H251" s="56" t="str">
        <x:v>219.7</x:v>
      </x:c>
      <x:c r="I251" s="56" t="str">
        <x:v>-35.200001</x:v>
      </x:c>
      <x:c r="J251" s="56" t="str">
        <x:v>47.599998</x:v>
      </x:c>
      <x:c r="K251" s="56" t="str">
        <x:v>206.3</x:v>
      </x:c>
      <x:c r="L251" s="56" t="str">
        <x:v>D</x:v>
      </x:c>
      <x:c r="M251" s="59" t="str"/>
      <x:c r="N251" s="56" t="n">
        <x:f>--(LEN(M251)&gt;0)</x:f>
        <x:v>0</x:v>
      </x:c>
      <x:c r="O251" s="56" t="n">
        <x:v>0</x:v>
      </x:c>
      <x:c r="P251" s="56" t="n">
        <x:f>--(N251=O251)</x:f>
        <x:v>1</x:v>
      </x:c>
      <x:c r="Q251" s="56" t="str">
        <x:v>ABSTAIN_ANCHOR</x:v>
      </x:c>
      <x:c r="R251" s="59" t="str"/>
      <x:c r="S251" s="59" t="str"/>
      <x:c r="T251" s="56" t="n">
        <x:f>--(Q251="PRESENT")</x:f>
        <x:v>0</x:v>
      </x:c>
      <x:c r="U251" s="56" t="n">
        <x:f>--(T251=N251)</x:f>
        <x:v>1</x:v>
      </x:c>
      <x:c r="V251" s="56" t="n">
        <x:f>--(T251=O251)</x:f>
        <x:v>1</x:v>
      </x:c>
      <x:c r="W251" s="56" t="n">
        <x:f>--(OR(Q251="PRESENT",Q251="ABSENT"))</x:f>
        <x:v>0</x:v>
      </x:c>
      <x:c r="X251" s="56" t="str">
        <x:v>LOW</x:v>
      </x:c>
      <x:c r="Y251" s="56" t="str">
        <x:v>METADATA_UNIQUE</x:v>
      </x:c>
      <x:c r="Z251" s="57" t="b">
        <x:v>1</x:v>
      </x:c>
      <x:c r="AA251" s="57" t="b">
        <x:v>1</x:v>
      </x:c>
      <x:c r="AB251" s="56" t="n">
        <x:v>0</x:v>
      </x:c>
      <x:c r="AC251" s="56" t="str"/>
      <x:c r="AD251" s="56" t="str"/>
      <x:c r="AE251" s="56" t="str"/>
      <x:c r="AF251" s="56" t="str"/>
      <x:c r="AG251" s="59" t="str"/>
      <x:c r="AH251" s="58" t="n">
        <x:v>0.9267786899462491</x:v>
      </x:c>
      <x:c r="AI251" s="56" t="n">
        <x:f>--(AH251&gt;=0.5)</x:f>
        <x:v>1</x:v>
      </x:c>
      <x:c r="AJ251" s="56" t="n">
        <x:f>--(AI251=O251)</x:f>
        <x:v>0</x:v>
      </x:c>
      <x:c r="AK251" s="58" t="n">
        <x:v>0.9267786899462491</x:v>
      </x:c>
      <x:c r="AL251" s="56" t="n">
        <x:f>--(AK251&gt;=0.5)</x:f>
        <x:v>1</x:v>
      </x:c>
      <x:c r="AM251" s="56" t="n">
        <x:f>--(AL251=O251)</x:f>
        <x:v>0</x:v>
      </x:c>
    </x:row>
    <x:row r="252" ht="32" customHeight="1">
      <x:c r="A252" s="56" t="str">
        <x:v>4036</x:v>
      </x:c>
      <x:c r="B252" s="56" t="str">
        <x:v>9824</x:v>
      </x:c>
      <x:c r="C252" s="56" t="str">
        <x:v>8054</x:v>
      </x:c>
      <x:c r="D252" s="56" t="str">
        <x:v>Daliyaoer Formation</x:v>
      </x:c>
      <x:c r="E252" s="56" t="str">
        <x:v>38.400002</x:v>
      </x:c>
      <x:c r="F252" s="56" t="str">
        <x:v>76.400002</x:v>
      </x:c>
      <x:c r="G252" s="56" t="str"/>
      <x:c r="H252" s="56" t="str">
        <x:v>185.3</x:v>
      </x:c>
      <x:c r="I252" s="56" t="str">
        <x:v>-54.599998</x:v>
      </x:c>
      <x:c r="J252" s="56" t="str">
        <x:v>85</x:v>
      </x:c>
      <x:c r="K252" s="56" t="str">
        <x:v>199.39999</x:v>
      </x:c>
      <x:c r="L252" s="56" t="str">
        <x:v>V</x:v>
      </x:c>
      <x:c r="M252" s="59" t="str"/>
      <x:c r="N252" s="56" t="n">
        <x:f>--(LEN(M252)&gt;0)</x:f>
        <x:v>0</x:v>
      </x:c>
      <x:c r="O252" s="56" t="n">
        <x:v>0</x:v>
      </x:c>
      <x:c r="P252" s="56" t="n">
        <x:f>--(N252=O252)</x:f>
        <x:v>1</x:v>
      </x:c>
      <x:c r="Q252" s="56" t="str">
        <x:v>ABSTAIN_INSUFFICIENT</x:v>
      </x:c>
      <x:c r="R252" s="59" t="str"/>
      <x:c r="S252" s="59" t="str"/>
      <x:c r="T252" s="56" t="n">
        <x:f>--(Q252="PRESENT")</x:f>
        <x:v>0</x:v>
      </x:c>
      <x:c r="U252" s="56" t="n">
        <x:f>--(T252=N252)</x:f>
        <x:v>1</x:v>
      </x:c>
      <x:c r="V252" s="56" t="n">
        <x:f>--(T252=O252)</x:f>
        <x:v>1</x:v>
      </x:c>
      <x:c r="W252" s="56" t="n">
        <x:f>--(OR(Q252="PRESENT",Q252="ABSENT"))</x:f>
        <x:v>0</x:v>
      </x:c>
      <x:c r="X252" s="56" t="str">
        <x:v>LOW</x:v>
      </x:c>
      <x:c r="Y252" s="56" t="str">
        <x:v>METADATA_UNIQUE</x:v>
      </x:c>
      <x:c r="Z252" s="57" t="b">
        <x:v>1</x:v>
      </x:c>
      <x:c r="AA252" s="57" t="b">
        <x:v>1</x:v>
      </x:c>
      <x:c r="AB252" s="56" t="n">
        <x:v>0</x:v>
      </x:c>
      <x:c r="AC252" s="56" t="str"/>
      <x:c r="AD252" s="56" t="str"/>
      <x:c r="AE252" s="56" t="str"/>
      <x:c r="AF252" s="56" t="str"/>
      <x:c r="AG252" s="59" t="str"/>
      <x:c r="AH252" s="58" t="n">
        <x:v>0.7819628978218054</x:v>
      </x:c>
      <x:c r="AI252" s="56" t="n">
        <x:f>--(AH252&gt;=0.5)</x:f>
        <x:v>1</x:v>
      </x:c>
      <x:c r="AJ252" s="56" t="n">
        <x:f>--(AI252=O252)</x:f>
        <x:v>0</x:v>
      </x:c>
      <x:c r="AK252" s="58" t="n">
        <x:v>0.7819628978218054</x:v>
      </x:c>
      <x:c r="AL252" s="56" t="n">
        <x:f>--(AK252&gt;=0.5)</x:f>
        <x:v>1</x:v>
      </x:c>
      <x:c r="AM252" s="56" t="n">
        <x:f>--(AL252=O252)</x:f>
        <x:v>0</x:v>
      </x:c>
    </x:row>
    <x:row r="253" ht="32" customHeight="1">
      <x:c r="A253" s="56" t="str">
        <x:v>4036</x:v>
      </x:c>
      <x:c r="B253" s="56" t="str">
        <x:v>9825</x:v>
      </x:c>
      <x:c r="C253" s="56" t="str">
        <x:v>8055</x:v>
      </x:c>
      <x:c r="D253" s="56" t="str">
        <x:v>Qiakemake Formation</x:v>
      </x:c>
      <x:c r="E253" s="56" t="str">
        <x:v>42.099998</x:v>
      </x:c>
      <x:c r="F253" s="56" t="str">
        <x:v>83.199997</x:v>
      </x:c>
      <x:c r="G253" s="56" t="str"/>
      <x:c r="H253" s="56" t="str">
        <x:v>196</x:v>
      </x:c>
      <x:c r="I253" s="56" t="str">
        <x:v>-53.400002</x:v>
      </x:c>
      <x:c r="J253" s="56" t="str">
        <x:v>75.699997</x:v>
      </x:c>
      <x:c r="K253" s="56" t="str">
        <x:v>198</x:v>
      </x:c>
      <x:c r="L253" s="56" t="str">
        <x:v>V</x:v>
      </x:c>
      <x:c r="M253" s="59" t="str">
        <x:v>OP,SUSC-T(MAGN)</x:v>
      </x:c>
      <x:c r="N253" s="56" t="n">
        <x:f>--(LEN(M253)&gt;0)</x:f>
        <x:v>1</x:v>
      </x:c>
      <x:c r="O253" s="56" t="n">
        <x:v>1</x:v>
      </x:c>
      <x:c r="P253" s="56" t="n">
        <x:f>--(N253=O253)</x:f>
        <x:v>1</x:v>
      </x:c>
      <x:c r="Q253" s="56" t="str">
        <x:v>PRESENT</x:v>
      </x:c>
      <x:c r="R253" s="59" t="str">
        <x:v>SUSC-T,OP,MICROPROBE(MAGN,TM)</x:v>
      </x:c>
      <x:c r="S253" s="59" t="str">
        <x:v>SUSC-T,OP,MICROPROBE(MAGN,TM)</x:v>
      </x:c>
      <x:c r="T253" s="56" t="n">
        <x:f>--(Q253="PRESENT")</x:f>
        <x:v>1</x:v>
      </x:c>
      <x:c r="U253" s="56" t="n">
        <x:f>--(T253=N253)</x:f>
        <x:v>1</x:v>
      </x:c>
      <x:c r="V253" s="56" t="n">
        <x:f>--(T253=O253)</x:f>
        <x:v>1</x:v>
      </x:c>
      <x:c r="W253" s="56" t="n">
        <x:f>--(OR(Q253="PRESENT",Q253="ABSENT"))</x:f>
        <x:v>1</x:v>
      </x:c>
      <x:c r="X253" s="56" t="str">
        <x:v>MEDIUM</x:v>
      </x:c>
      <x:c r="Y253" s="56" t="str">
        <x:v>METADATA_UNIQUE</x:v>
      </x:c>
      <x:c r="Z253" s="57" t="b">
        <x:v>1</x:v>
      </x:c>
      <x:c r="AA253" s="57" t="b">
        <x:v>1</x:v>
      </x:c>
      <x:c r="AB253" s="56" t="n">
        <x:v>0</x:v>
      </x:c>
      <x:c r="AC253" s="56" t="str">
        <x:v>SUSC-T,OP,MICROPROBE</x:v>
      </x:c>
      <x:c r="AD253" s="56" t="str">
        <x:v>MAGN,TM</x:v>
      </x:c>
      <x:c r="AE253" s="56" t="str"/>
      <x:c r="AF253" s="56" t="str">
        <x:v>11, 12</x:v>
      </x:c>
      <x:c r="AG253" s="59" t="str">
        <x:v>p.12: Energy dispersive spectroscopy (EDS) of C0963B-01 has the following weight percentages expressed as oxides: Fe (86.43%), Mn (2.81%), Ca (0.94%), S (0.95%), Si (6.48%) and Mg (2.40%); | p.11: thin section | p.11: Assuming that the Curie points are the same for magnetite with substituted cations other than Ti, then these temperatures roughly coincide with Curie point experiments on the Qiakemake carbonates that commonly show progressive drops in susceptibility between 400 C and 550 C (Figure 13).</x:v>
      </x:c>
      <x:c r="AH253" s="58" t="n">
        <x:v>0.8528259724615228</x:v>
      </x:c>
      <x:c r="AI253" s="56" t="n">
        <x:f>--(AH253&gt;=0.5)</x:f>
        <x:v>1</x:v>
      </x:c>
      <x:c r="AJ253" s="56" t="n">
        <x:f>--(AI253=O253)</x:f>
        <x:v>1</x:v>
      </x:c>
      <x:c r="AK253" s="58" t="n">
        <x:v>0.8528259724615227</x:v>
      </x:c>
      <x:c r="AL253" s="56" t="n">
        <x:f>--(AK253&gt;=0.5)</x:f>
        <x:v>1</x:v>
      </x:c>
      <x:c r="AM253" s="56" t="n">
        <x:f>--(AL253=O253)</x:f>
        <x:v>1</x:v>
      </x:c>
    </x:row>
    <x:row r="254" ht="32" customHeight="1">
      <x:c r="A254" s="56" t="str">
        <x:v>4079</x:v>
      </x:c>
      <x:c r="B254" s="56" t="str">
        <x:v>9879</x:v>
      </x:c>
      <x:c r="C254" s="56" t="str">
        <x:v>8107</x:v>
      </x:c>
      <x:c r="D254" s="56" t="str">
        <x:v>Ordovician Glauconite Limestones</x:v>
      </x:c>
      <x:c r="E254" s="56" t="str">
        <x:v>59.900002</x:v>
      </x:c>
      <x:c r="F254" s="56" t="str">
        <x:v>31.5</x:v>
      </x:c>
      <x:c r="G254" s="56" t="str">
        <x:v>-P component</x:v>
      </x:c>
      <x:c r="H254" s="56" t="str">
        <x:v>140.60001</x:v>
      </x:c>
      <x:c r="I254" s="56" t="str">
        <x:v>67.400002</x:v>
      </x:c>
      <x:c r="J254" s="56" t="str">
        <x:v>-24.700001</x:v>
      </x:c>
      <x:c r="K254" s="56" t="str">
        <x:v>237.60001</x:v>
      </x:c>
      <x:c r="L254" s="56" t="str">
        <x:v>D</x:v>
      </x:c>
      <x:c r="M254" s="59" t="str"/>
      <x:c r="N254" s="56" t="n">
        <x:f>--(LEN(M254)&gt;0)</x:f>
        <x:v>0</x:v>
      </x:c>
      <x:c r="O254" s="56" t="n">
        <x:v>0</x:v>
      </x:c>
      <x:c r="P254" s="56" t="n">
        <x:f>--(N254=O254)</x:f>
        <x:v>1</x:v>
      </x:c>
      <x:c r="Q254" s="56" t="str">
        <x:v>ABSENT</x:v>
      </x:c>
      <x:c r="R254" s="59" t="str"/>
      <x:c r="S254" s="59" t="str"/>
      <x:c r="T254" s="56" t="n">
        <x:f>--(Q254="PRESENT")</x:f>
        <x:v>0</x:v>
      </x:c>
      <x:c r="U254" s="56" t="n">
        <x:f>--(T254=N254)</x:f>
        <x:v>1</x:v>
      </x:c>
      <x:c r="V254" s="56" t="n">
        <x:f>--(T254=O254)</x:f>
        <x:v>1</x:v>
      </x:c>
      <x:c r="W254" s="56" t="n">
        <x:f>--(OR(Q254="PRESENT",Q254="ABSENT"))</x:f>
        <x:v>1</x:v>
      </x:c>
      <x:c r="X254" s="56" t="str">
        <x:v>MEDIUM</x:v>
      </x:c>
      <x:c r="Y254" s="56" t="str">
        <x:v>METADATA_UNIQUE</x:v>
      </x:c>
      <x:c r="Z254" s="57" t="b">
        <x:v>1</x:v>
      </x:c>
      <x:c r="AA254" s="57" t="b">
        <x:v>1</x:v>
      </x:c>
      <x:c r="AB254" s="56" t="n">
        <x:v>0</x:v>
      </x:c>
      <x:c r="AC254" s="56" t="str"/>
      <x:c r="AD254" s="56" t="str"/>
      <x:c r="AE254" s="56" t="str"/>
      <x:c r="AF254" s="56" t="str"/>
      <x:c r="AG254" s="59" t="str"/>
      <x:c r="AH254" s="58" t="n">
        <x:v>0.27088661236651174</x:v>
      </x:c>
      <x:c r="AI254" s="56" t="n">
        <x:f>--(AH254&gt;=0.5)</x:f>
        <x:v>0</x:v>
      </x:c>
      <x:c r="AJ254" s="56" t="n">
        <x:f>--(AI254=O254)</x:f>
        <x:v>1</x:v>
      </x:c>
      <x:c r="AK254" s="58" t="n">
        <x:v>0.27088661236651174</x:v>
      </x:c>
      <x:c r="AL254" s="56" t="n">
        <x:f>--(AK254&gt;=0.5)</x:f>
        <x:v>0</x:v>
      </x:c>
      <x:c r="AM254" s="56" t="n">
        <x:f>--(AL254=O254)</x:f>
        <x:v>1</x:v>
      </x:c>
    </x:row>
    <x:row r="255" ht="32" customHeight="1">
      <x:c r="A255" s="56" t="str">
        <x:v>4079</x:v>
      </x:c>
      <x:c r="B255" s="56" t="str">
        <x:v>9880</x:v>
      </x:c>
      <x:c r="C255" s="56" t="str">
        <x:v>8108</x:v>
      </x:c>
      <x:c r="D255" s="56" t="str">
        <x:v>Ordovician Limestones</x:v>
      </x:c>
      <x:c r="E255" s="56" t="str">
        <x:v>59.900002</x:v>
      </x:c>
      <x:c r="F255" s="56" t="str">
        <x:v>31.5</x:v>
      </x:c>
      <x:c r="G255" s="56" t="str">
        <x:v>-P component</x:v>
      </x:c>
      <x:c r="H255" s="56" t="str">
        <x:v>151.39999</x:v>
      </x:c>
      <x:c r="I255" s="56" t="str">
        <x:v>72</x:v>
      </x:c>
      <x:c r="J255" s="56" t="str">
        <x:v>-29.1</x:v>
      </x:c>
      <x:c r="K255" s="56" t="str">
        <x:v>228.39999</x:v>
      </x:c>
      <x:c r="L255" s="56" t="str">
        <x:v>D</x:v>
      </x:c>
      <x:c r="M255" s="59" t="str"/>
      <x:c r="N255" s="56" t="n">
        <x:f>--(LEN(M255)&gt;0)</x:f>
        <x:v>0</x:v>
      </x:c>
      <x:c r="O255" s="56" t="n">
        <x:v>0</x:v>
      </x:c>
      <x:c r="P255" s="56" t="n">
        <x:f>--(N255=O255)</x:f>
        <x:v>1</x:v>
      </x:c>
      <x:c r="Q255" s="56" t="str">
        <x:v>ABSENT</x:v>
      </x:c>
      <x:c r="R255" s="59" t="str"/>
      <x:c r="S255" s="59" t="str"/>
      <x:c r="T255" s="56" t="n">
        <x:f>--(Q255="PRESENT")</x:f>
        <x:v>0</x:v>
      </x:c>
      <x:c r="U255" s="56" t="n">
        <x:f>--(T255=N255)</x:f>
        <x:v>1</x:v>
      </x:c>
      <x:c r="V255" s="56" t="n">
        <x:f>--(T255=O255)</x:f>
        <x:v>1</x:v>
      </x:c>
      <x:c r="W255" s="56" t="n">
        <x:f>--(OR(Q255="PRESENT",Q255="ABSENT"))</x:f>
        <x:v>1</x:v>
      </x:c>
      <x:c r="X255" s="56" t="str">
        <x:v>MEDIUM</x:v>
      </x:c>
      <x:c r="Y255" s="56" t="str">
        <x:v>METADATA_UNIQUE</x:v>
      </x:c>
      <x:c r="Z255" s="57" t="b">
        <x:v>1</x:v>
      </x:c>
      <x:c r="AA255" s="57" t="b">
        <x:v>1</x:v>
      </x:c>
      <x:c r="AB255" s="56" t="n">
        <x:v>0</x:v>
      </x:c>
      <x:c r="AC255" s="56" t="str"/>
      <x:c r="AD255" s="56" t="str"/>
      <x:c r="AE255" s="56" t="str"/>
      <x:c r="AF255" s="56" t="str"/>
      <x:c r="AG255" s="59" t="str"/>
      <x:c r="AH255" s="58" t="n">
        <x:v>0.26931514527254824</x:v>
      </x:c>
      <x:c r="AI255" s="56" t="n">
        <x:f>--(AH255&gt;=0.5)</x:f>
        <x:v>0</x:v>
      </x:c>
      <x:c r="AJ255" s="56" t="n">
        <x:f>--(AI255=O255)</x:f>
        <x:v>1</x:v>
      </x:c>
      <x:c r="AK255" s="58" t="n">
        <x:v>0.26931514527254824</x:v>
      </x:c>
      <x:c r="AL255" s="56" t="n">
        <x:f>--(AK255&gt;=0.5)</x:f>
        <x:v>0</x:v>
      </x:c>
      <x:c r="AM255" s="56" t="n">
        <x:f>--(AL255=O255)</x:f>
        <x:v>1</x:v>
      </x:c>
    </x:row>
    <x:row r="256" ht="32" customHeight="1">
      <x:c r="A256" s="56" t="str">
        <x:v>4079</x:v>
      </x:c>
      <x:c r="B256" s="56" t="str">
        <x:v>9881</x:v>
      </x:c>
      <x:c r="C256" s="56" t="str">
        <x:v>8109</x:v>
      </x:c>
      <x:c r="D256" s="56" t="str">
        <x:v>Devonian Redbeds</x:v>
      </x:c>
      <x:c r="E256" s="56" t="str">
        <x:v>59.900002</x:v>
      </x:c>
      <x:c r="F256" s="56" t="str">
        <x:v>32.700001</x:v>
      </x:c>
      <x:c r="G256" s="56" t="str">
        <x:v>+PD component</x:v>
      </x:c>
      <x:c r="H256" s="56" t="str">
        <x:v>72.900002</x:v>
      </x:c>
      <x:c r="I256" s="56" t="str">
        <x:v>5.3000002</x:v>
      </x:c>
      <x:c r="J256" s="56" t="str">
        <x:v>10.8</x:v>
      </x:c>
      <x:c r="K256" s="56" t="str">
        <x:v>136.3</x:v>
      </x:c>
      <x:c r="L256" s="56" t="str">
        <x:v>D</x:v>
      </x:c>
      <x:c r="M256" s="59" t="str"/>
      <x:c r="N256" s="56" t="n">
        <x:f>--(LEN(M256)&gt;0)</x:f>
        <x:v>0</x:v>
      </x:c>
      <x:c r="O256" s="56" t="n">
        <x:v>1</x:v>
      </x:c>
      <x:c r="P256" s="56" t="n">
        <x:f>--(N256=O256)</x:f>
        <x:v>0</x:v>
      </x:c>
      <x:c r="Q256" s="56" t="str">
        <x:v>ABSTAIN_INSUFFICIENT</x:v>
      </x:c>
      <x:c r="R256" s="59" t="str"/>
      <x:c r="S256" s="59" t="str"/>
      <x:c r="T256" s="56" t="n">
        <x:f>--(Q256="PRESENT")</x:f>
        <x:v>0</x:v>
      </x:c>
      <x:c r="U256" s="56" t="n">
        <x:f>--(T256=N256)</x:f>
        <x:v>1</x:v>
      </x:c>
      <x:c r="V256" s="56" t="n">
        <x:f>--(T256=O256)</x:f>
        <x:v>0</x:v>
      </x:c>
      <x:c r="W256" s="56" t="n">
        <x:f>--(OR(Q256="PRESENT",Q256="ABSENT"))</x:f>
        <x:v>0</x:v>
      </x:c>
      <x:c r="X256" s="56" t="str">
        <x:v>LOW</x:v>
      </x:c>
      <x:c r="Y256" s="56" t="str">
        <x:v>PAPER_ROW_MATCH</x:v>
      </x:c>
      <x:c r="Z256" s="57" t="b">
        <x:v>1</x:v>
      </x:c>
      <x:c r="AA256" s="57" t="b">
        <x:v>1</x:v>
      </x:c>
      <x:c r="AB256" s="56" t="n">
        <x:v>0</x:v>
      </x:c>
      <x:c r="AC256" s="56" t="str"/>
      <x:c r="AD256" s="56" t="str"/>
      <x:c r="AE256" s="56" t="str"/>
      <x:c r="AF256" s="56" t="str">
        <x:v>1</x:v>
      </x:c>
      <x:c r="AG256" s="59" t="str">
        <x:v>p.1: ИКЕ БАЛТИКИ В ПАЛЕОЗОЕ И О ПЕРМО-ТРИАСОВОМ ПЕРЕМАГНИЧИВАНИИ © 2005 г. Е. Л. Гуревич1, А. Н. Храмов1, В. П. Родионов1, М. Деккерс2, П. В. Федоров3 1 Всероссийский нефтяной научно-исследовательский геологоразведочный институт (ВНИГРИ), г. Санкт-Петербург 2Утрехтский университет, г. Утрехт, Нидерланды 3Санкт-Петербургский государственный университет Поступила в редакцию 16.02.2004 г. Детальное палеомагнитное изучение разрезов ордовикских (арениг — лланвирн) и верхнедевонских (франский ярус) карбона</x:v>
      </x:c>
      <x:c r="AH256" s="58" t="n">
        <x:v>0.3143193835484152</x:v>
      </x:c>
      <x:c r="AI256" s="56" t="n">
        <x:f>--(AH256&gt;=0.5)</x:f>
        <x:v>0</x:v>
      </x:c>
      <x:c r="AJ256" s="56" t="n">
        <x:f>--(AI256=O256)</x:f>
        <x:v>0</x:v>
      </x:c>
      <x:c r="AK256" s="58" t="n">
        <x:v>0.31431938354841527</x:v>
      </x:c>
      <x:c r="AL256" s="56" t="n">
        <x:f>--(AK256&gt;=0.5)</x:f>
        <x:v>0</x:v>
      </x:c>
      <x:c r="AM256" s="56" t="n">
        <x:f>--(AL256=O256)</x:f>
        <x:v>0</x:v>
      </x:c>
    </x:row>
    <x:row r="257" ht="32" customHeight="1">
      <x:c r="A257" s="56" t="str">
        <x:v>4109</x:v>
      </x:c>
      <x:c r="B257" s="56" t="str">
        <x:v>9921</x:v>
      </x:c>
      <x:c r="C257" s="56" t="str">
        <x:v>8148</x:v>
      </x:c>
      <x:c r="D257" s="56" t="str">
        <x:v>Turinge Gabbro-Diabase</x:v>
      </x:c>
      <x:c r="E257" s="56" t="str">
        <x:v>62.459999</x:v>
      </x:c>
      <x:c r="F257" s="56" t="str">
        <x:v>14.84</x:v>
      </x:c>
      <x:c r="G257" s="56" t="str"/>
      <x:c r="H257" s="56" t="str">
        <x:v>342.79999</x:v>
      </x:c>
      <x:c r="I257" s="56" t="str">
        <x:v>44.099998</x:v>
      </x:c>
      <x:c r="J257" s="56" t="str">
        <x:v>51.599998</x:v>
      </x:c>
      <x:c r="K257" s="56" t="str">
        <x:v>220.2</x:v>
      </x:c>
      <x:c r="L257" s="56" t="str">
        <x:v>V</x:v>
      </x:c>
      <x:c r="M257" s="59" t="str"/>
      <x:c r="N257" s="56" t="n">
        <x:f>--(LEN(M257)&gt;0)</x:f>
        <x:v>0</x:v>
      </x:c>
      <x:c r="O257" s="56" t="n">
        <x:v>0</x:v>
      </x:c>
      <x:c r="P257" s="56" t="n">
        <x:f>--(N257=O257)</x:f>
        <x:v>1</x:v>
      </x:c>
      <x:c r="Q257" s="56" t="str">
        <x:v>PRESENT</x:v>
      </x:c>
      <x:c r="R257" s="59" t="str">
        <x:v>SEM(MAGN,TM)</x:v>
      </x:c>
      <x:c r="S257" s="59" t="str">
        <x:v>SEM(MAGN,TM)</x:v>
      </x:c>
      <x:c r="T257" s="56" t="n">
        <x:f>--(Q257="PRESENT")</x:f>
        <x:v>1</x:v>
      </x:c>
      <x:c r="U257" s="56" t="n">
        <x:f>--(T257=N257)</x:f>
        <x:v>0</x:v>
      </x:c>
      <x:c r="V257" s="56" t="n">
        <x:f>--(T257=O257)</x:f>
        <x:v>0</x:v>
      </x:c>
      <x:c r="W257" s="56" t="n">
        <x:f>--(OR(Q257="PRESENT",Q257="ABSENT"))</x:f>
        <x:v>1</x:v>
      </x:c>
      <x:c r="X257" s="56" t="str">
        <x:v>HIGH</x:v>
      </x:c>
      <x:c r="Y257" s="56" t="str">
        <x:v>PAPER_ROW_MATCH</x:v>
      </x:c>
      <x:c r="Z257" s="57" t="b">
        <x:v>1</x:v>
      </x:c>
      <x:c r="AA257" s="57" t="b">
        <x:v>1</x:v>
      </x:c>
      <x:c r="AB257" s="56" t="n">
        <x:v>0</x:v>
      </x:c>
      <x:c r="AC257" s="56" t="str">
        <x:v>SEM</x:v>
      </x:c>
      <x:c r="AD257" s="56" t="str">
        <x:v>MAGN,TM</x:v>
      </x:c>
      <x:c r="AE257" s="56" t="str"/>
      <x:c r="AF257" s="56" t="str">
        <x:v>6, 7, 11</x:v>
      </x:c>
      <x:c r="AG257" s="59" t="str">
        <x:v>p.6: SEM | p.7: magnetite | p.6: magnetite</x:v>
      </x:c>
      <x:c r="AH257" s="58" t="n">
        <x:v>0.11978839867152534</x:v>
      </x:c>
      <x:c r="AI257" s="56" t="n">
        <x:f>--(AH257&gt;=0.5)</x:f>
        <x:v>0</x:v>
      </x:c>
      <x:c r="AJ257" s="56" t="n">
        <x:f>--(AI257=O257)</x:f>
        <x:v>1</x:v>
      </x:c>
      <x:c r="AK257" s="58" t="n">
        <x:v>0.0766107744241001</x:v>
      </x:c>
      <x:c r="AL257" s="56" t="n">
        <x:f>--(AK257&gt;=0.5)</x:f>
        <x:v>0</x:v>
      </x:c>
      <x:c r="AM257" s="56" t="n">
        <x:f>--(AL257=O257)</x:f>
        <x:v>1</x:v>
      </x:c>
    </x:row>
    <x:row r="258" ht="32" customHeight="1">
      <x:c r="A258" s="56" t="str">
        <x:v>4109</x:v>
      </x:c>
      <x:c r="B258" s="56" t="str">
        <x:v>9922</x:v>
      </x:c>
      <x:c r="C258" s="56" t="str">
        <x:v>8149</x:v>
      </x:c>
      <x:c r="D258" s="56" t="str">
        <x:v>Turinge Basic Dyke</x:v>
      </x:c>
      <x:c r="E258" s="56" t="str">
        <x:v>62.48</x:v>
      </x:c>
      <x:c r="F258" s="56" t="str">
        <x:v>14.81</x:v>
      </x:c>
      <x:c r="G258" s="56" t="str"/>
      <x:c r="H258" s="56" t="str">
        <x:v>15.3</x:v>
      </x:c>
      <x:c r="I258" s="56" t="str">
        <x:v>-49.200001</x:v>
      </x:c>
      <x:c r="J258" s="56" t="str">
        <x:v>3.4000001</x:v>
      </x:c>
      <x:c r="K258" s="56" t="str">
        <x:v>1.6</x:v>
      </x:c>
      <x:c r="L258" s="56" t="str">
        <x:v>V</x:v>
      </x:c>
      <x:c r="M258" s="59" t="str"/>
      <x:c r="N258" s="56" t="n">
        <x:f>--(LEN(M258)&gt;0)</x:f>
        <x:v>0</x:v>
      </x:c>
      <x:c r="O258" s="56" t="n">
        <x:v>0</x:v>
      </x:c>
      <x:c r="P258" s="56" t="n">
        <x:f>--(N258=O258)</x:f>
        <x:v>1</x:v>
      </x:c>
      <x:c r="Q258" s="56" t="str">
        <x:v>PRESENT</x:v>
      </x:c>
      <x:c r="R258" s="59" t="str">
        <x:v>SEM(MAGN,TM)</x:v>
      </x:c>
      <x:c r="S258" s="59" t="str">
        <x:v>SEM(MAGN,TM)</x:v>
      </x:c>
      <x:c r="T258" s="56" t="n">
        <x:f>--(Q258="PRESENT")</x:f>
        <x:v>1</x:v>
      </x:c>
      <x:c r="U258" s="56" t="n">
        <x:f>--(T258=N258)</x:f>
        <x:v>0</x:v>
      </x:c>
      <x:c r="V258" s="56" t="n">
        <x:f>--(T258=O258)</x:f>
        <x:v>0</x:v>
      </x:c>
      <x:c r="W258" s="56" t="n">
        <x:f>--(OR(Q258="PRESENT",Q258="ABSENT"))</x:f>
        <x:v>1</x:v>
      </x:c>
      <x:c r="X258" s="56" t="str">
        <x:v>HIGH</x:v>
      </x:c>
      <x:c r="Y258" s="56" t="str">
        <x:v>PAPER_ROW_MATCH</x:v>
      </x:c>
      <x:c r="Z258" s="57" t="b">
        <x:v>1</x:v>
      </x:c>
      <x:c r="AA258" s="57" t="b">
        <x:v>1</x:v>
      </x:c>
      <x:c r="AB258" s="56" t="n">
        <x:v>0</x:v>
      </x:c>
      <x:c r="AC258" s="56" t="str">
        <x:v>SEM</x:v>
      </x:c>
      <x:c r="AD258" s="56" t="str">
        <x:v>MAGN,TM</x:v>
      </x:c>
      <x:c r="AE258" s="56" t="str"/>
      <x:c r="AF258" s="56" t="str">
        <x:v>5, 6, 7</x:v>
      </x:c>
      <x:c r="AG258" s="59" t="str">
        <x:v>p.6: SEM | p.7: magnetite | p.6: magnetite</x:v>
      </x:c>
      <x:c r="AH258" s="58" t="n">
        <x:v>0.14521175011749166</x:v>
      </x:c>
      <x:c r="AI258" s="56" t="n">
        <x:f>--(AH258&gt;=0.5)</x:f>
        <x:v>0</x:v>
      </x:c>
      <x:c r="AJ258" s="56" t="n">
        <x:f>--(AI258=O258)</x:f>
        <x:v>1</x:v>
      </x:c>
      <x:c r="AK258" s="58" t="n">
        <x:v>0.17994346089963018</x:v>
      </x:c>
      <x:c r="AL258" s="56" t="n">
        <x:f>--(AK258&gt;=0.5)</x:f>
        <x:v>0</x:v>
      </x:c>
      <x:c r="AM258" s="56" t="n">
        <x:f>--(AL258=O258)</x:f>
        <x:v>1</x:v>
      </x:c>
    </x:row>
    <x:row r="259" ht="32" customHeight="1">
      <x:c r="A259" s="56" t="str">
        <x:v>4109</x:v>
      </x:c>
      <x:c r="B259" s="56" t="str">
        <x:v>9923</x:v>
      </x:c>
      <x:c r="C259" s="56" t="str">
        <x:v>8150</x:v>
      </x:c>
      <x:c r="D259" s="56" t="str">
        <x:v>Joulovaare Gabbro</x:v>
      </x:c>
      <x:c r="E259" s="56" t="str">
        <x:v>68.199997</x:v>
      </x:c>
      <x:c r="F259" s="56" t="str">
        <x:v>21.92</x:v>
      </x:c>
      <x:c r="G259" s="56" t="str"/>
      <x:c r="H259" s="56" t="str">
        <x:v>330</x:v>
      </x:c>
      <x:c r="I259" s="56" t="str">
        <x:v>37.299999</x:v>
      </x:c>
      <x:c r="J259" s="56" t="str">
        <x:v>39.099998</x:v>
      </x:c>
      <x:c r="K259" s="56" t="str">
        <x:v>239</x:v>
      </x:c>
      <x:c r="L259" s="56" t="str">
        <x:v>V</x:v>
      </x:c>
      <x:c r="M259" s="59" t="str"/>
      <x:c r="N259" s="56" t="n">
        <x:f>--(LEN(M259)&gt;0)</x:f>
        <x:v>0</x:v>
      </x:c>
      <x:c r="O259" s="56" t="n">
        <x:v>1</x:v>
      </x:c>
      <x:c r="P259" s="56" t="n">
        <x:f>--(N259=O259)</x:f>
        <x:v>0</x:v>
      </x:c>
      <x:c r="Q259" s="56" t="str">
        <x:v>ABSTAIN_ANCHOR</x:v>
      </x:c>
      <x:c r="R259" s="59" t="str"/>
      <x:c r="S259" s="59" t="str"/>
      <x:c r="T259" s="56" t="n">
        <x:f>--(Q259="PRESENT")</x:f>
        <x:v>0</x:v>
      </x:c>
      <x:c r="U259" s="56" t="n">
        <x:f>--(T259=N259)</x:f>
        <x:v>1</x:v>
      </x:c>
      <x:c r="V259" s="56" t="n">
        <x:f>--(T259=O259)</x:f>
        <x:v>0</x:v>
      </x:c>
      <x:c r="W259" s="56" t="n">
        <x:f>--(OR(Q259="PRESENT",Q259="ABSENT"))</x:f>
        <x:v>0</x:v>
      </x:c>
      <x:c r="X259" s="56" t="str">
        <x:v>LOW</x:v>
      </x:c>
      <x:c r="Y259" s="56" t="str">
        <x:v>METADATA_UNIQUE</x:v>
      </x:c>
      <x:c r="Z259" s="57" t="b">
        <x:v>1</x:v>
      </x:c>
      <x:c r="AA259" s="57" t="b">
        <x:v>1</x:v>
      </x:c>
      <x:c r="AB259" s="56" t="n">
        <x:v>0</x:v>
      </x:c>
      <x:c r="AC259" s="56" t="str"/>
      <x:c r="AD259" s="56" t="str"/>
      <x:c r="AE259" s="56" t="str"/>
      <x:c r="AF259" s="56" t="str"/>
      <x:c r="AG259" s="59" t="str"/>
      <x:c r="AH259" s="58" t="n">
        <x:v>0.1521482778364488</x:v>
      </x:c>
      <x:c r="AI259" s="56" t="n">
        <x:f>--(AH259&gt;=0.5)</x:f>
        <x:v>0</x:v>
      </x:c>
      <x:c r="AJ259" s="56" t="n">
        <x:f>--(AI259=O259)</x:f>
        <x:v>0</x:v>
      </x:c>
      <x:c r="AK259" s="58" t="n">
        <x:v>0.18559321035771745</x:v>
      </x:c>
      <x:c r="AL259" s="56" t="n">
        <x:f>--(AK259&gt;=0.5)</x:f>
        <x:v>0</x:v>
      </x:c>
      <x:c r="AM259" s="56" t="n">
        <x:f>--(AL259=O259)</x:f>
        <x:v>0</x:v>
      </x:c>
    </x:row>
    <x:row r="260" ht="32" customHeight="1">
      <x:c r="A260" s="56" t="str">
        <x:v>4124</x:v>
      </x:c>
      <x:c r="B260" s="56" t="str">
        <x:v>9943</x:v>
      </x:c>
      <x:c r="C260" s="56" t="str">
        <x:v>8170</x:v>
      </x:c>
      <x:c r="D260" s="56" t="str">
        <x:v>Bolshaya Nirunda Intrusion and Sediments</x:v>
      </x:c>
      <x:c r="E260" s="56" t="str">
        <x:v>62</x:v>
      </x:c>
      <x:c r="F260" s="56" t="str">
        <x:v>95.300003</x:v>
      </x:c>
      <x:c r="G260" s="56" t="str"/>
      <x:c r="H260" s="56" t="str">
        <x:v>264.60001</x:v>
      </x:c>
      <x:c r="I260" s="56" t="str">
        <x:v>-76</x:v>
      </x:c>
      <x:c r="J260" s="56" t="str">
        <x:v>54.400002</x:v>
      </x:c>
      <x:c r="K260" s="56" t="str">
        <x:v>143.8</x:v>
      </x:c>
      <x:c r="L260" s="56" t="str">
        <x:v>V</x:v>
      </x:c>
      <x:c r="M260" s="59" t="str"/>
      <x:c r="N260" s="56" t="n">
        <x:f>--(LEN(M260)&gt;0)</x:f>
        <x:v>0</x:v>
      </x:c>
      <x:c r="O260" s="56" t="n">
        <x:v>0</x:v>
      </x:c>
      <x:c r="P260" s="56" t="n">
        <x:f>--(N260=O260)</x:f>
        <x:v>1</x:v>
      </x:c>
      <x:c r="Q260" s="56" t="str">
        <x:v>ABSTAIN_INSUFFICIENT</x:v>
      </x:c>
      <x:c r="R260" s="59" t="str"/>
      <x:c r="S260" s="59" t="str"/>
      <x:c r="T260" s="56" t="n">
        <x:f>--(Q260="PRESENT")</x:f>
        <x:v>0</x:v>
      </x:c>
      <x:c r="U260" s="56" t="n">
        <x:f>--(T260=N260)</x:f>
        <x:v>1</x:v>
      </x:c>
      <x:c r="V260" s="56" t="n">
        <x:f>--(T260=O260)</x:f>
        <x:v>1</x:v>
      </x:c>
      <x:c r="W260" s="56" t="n">
        <x:f>--(OR(Q260="PRESENT",Q260="ABSENT"))</x:f>
        <x:v>0</x:v>
      </x:c>
      <x:c r="X260" s="56" t="str">
        <x:v>LOW</x:v>
      </x:c>
      <x:c r="Y260" s="56" t="str">
        <x:v>METADATA_UNIQUE</x:v>
      </x:c>
      <x:c r="Z260" s="57" t="b">
        <x:v>1</x:v>
      </x:c>
      <x:c r="AA260" s="57" t="b">
        <x:v>1</x:v>
      </x:c>
      <x:c r="AB260" s="56" t="n">
        <x:v>0</x:v>
      </x:c>
      <x:c r="AC260" s="56" t="str"/>
      <x:c r="AD260" s="56" t="str"/>
      <x:c r="AE260" s="56" t="str"/>
      <x:c r="AF260" s="56" t="str"/>
      <x:c r="AG260" s="59" t="str"/>
      <x:c r="AH260" s="58" t="n">
        <x:v>0.09097262408275339</x:v>
      </x:c>
      <x:c r="AI260" s="56" t="n">
        <x:f>--(AH260&gt;=0.5)</x:f>
        <x:v>0</x:v>
      </x:c>
      <x:c r="AJ260" s="56" t="n">
        <x:f>--(AI260=O260)</x:f>
        <x:v>1</x:v>
      </x:c>
      <x:c r="AK260" s="58" t="n">
        <x:v>0.09097262408275339</x:v>
      </x:c>
      <x:c r="AL260" s="56" t="n">
        <x:f>--(AK260&gt;=0.5)</x:f>
        <x:v>0</x:v>
      </x:c>
      <x:c r="AM260" s="56" t="n">
        <x:f>--(AL260=O260)</x:f>
        <x:v>1</x:v>
      </x:c>
    </x:row>
    <x:row r="261" ht="32" customHeight="1">
      <x:c r="A261" s="56" t="str">
        <x:v>4124</x:v>
      </x:c>
      <x:c r="B261" s="56" t="str">
        <x:v>9944</x:v>
      </x:c>
      <x:c r="C261" s="56" t="str">
        <x:v>8171</x:v>
      </x:c>
      <x:c r="D261" s="56" t="str">
        <x:v>Stolbovaya Intrusion and Sediments</x:v>
      </x:c>
      <x:c r="E261" s="56" t="str">
        <x:v>62.099998</x:v>
      </x:c>
      <x:c r="F261" s="56" t="str">
        <x:v>91.5</x:v>
      </x:c>
      <x:c r="G261" s="56" t="str"/>
      <x:c r="H261" s="56" t="str">
        <x:v>76.699997</x:v>
      </x:c>
      <x:c r="I261" s="56" t="str">
        <x:v>74.099998</x:v>
      </x:c>
      <x:c r="J261" s="56" t="str">
        <x:v>55.299999</x:v>
      </x:c>
      <x:c r="K261" s="56" t="str">
        <x:v>148.7</x:v>
      </x:c>
      <x:c r="L261" s="56" t="str">
        <x:v>V</x:v>
      </x:c>
      <x:c r="M261" s="59" t="str"/>
      <x:c r="N261" s="56" t="n">
        <x:f>--(LEN(M261)&gt;0)</x:f>
        <x:v>0</x:v>
      </x:c>
      <x:c r="O261" s="56" t="n">
        <x:v>1</x:v>
      </x:c>
      <x:c r="P261" s="56" t="n">
        <x:f>--(N261=O261)</x:f>
        <x:v>0</x:v>
      </x:c>
      <x:c r="Q261" s="56" t="str">
        <x:v>ABSTAIN_INSUFFICIENT</x:v>
      </x:c>
      <x:c r="R261" s="59" t="str"/>
      <x:c r="S261" s="59" t="str"/>
      <x:c r="T261" s="56" t="n">
        <x:f>--(Q261="PRESENT")</x:f>
        <x:v>0</x:v>
      </x:c>
      <x:c r="U261" s="56" t="n">
        <x:f>--(T261=N261)</x:f>
        <x:v>1</x:v>
      </x:c>
      <x:c r="V261" s="56" t="n">
        <x:f>--(T261=O261)</x:f>
        <x:v>0</x:v>
      </x:c>
      <x:c r="W261" s="56" t="n">
        <x:f>--(OR(Q261="PRESENT",Q261="ABSENT"))</x:f>
        <x:v>0</x:v>
      </x:c>
      <x:c r="X261" s="56" t="str">
        <x:v>LOW</x:v>
      </x:c>
      <x:c r="Y261" s="56" t="str">
        <x:v>METADATA_UNIQUE</x:v>
      </x:c>
      <x:c r="Z261" s="57" t="b">
        <x:v>1</x:v>
      </x:c>
      <x:c r="AA261" s="57" t="b">
        <x:v>1</x:v>
      </x:c>
      <x:c r="AB261" s="56" t="n">
        <x:v>0</x:v>
      </x:c>
      <x:c r="AC261" s="56" t="str"/>
      <x:c r="AD261" s="56" t="str"/>
      <x:c r="AE261" s="56" t="str"/>
      <x:c r="AF261" s="56" t="str"/>
      <x:c r="AG261" s="59" t="str"/>
      <x:c r="AH261" s="58" t="n">
        <x:v>0.09415344421531441</x:v>
      </x:c>
      <x:c r="AI261" s="56" t="n">
        <x:f>--(AH261&gt;=0.5)</x:f>
        <x:v>0</x:v>
      </x:c>
      <x:c r="AJ261" s="56" t="n">
        <x:f>--(AI261=O261)</x:f>
        <x:v>0</x:v>
      </x:c>
      <x:c r="AK261" s="58" t="n">
        <x:v>0.09415344421531444</x:v>
      </x:c>
      <x:c r="AL261" s="56" t="n">
        <x:f>--(AK261&gt;=0.5)</x:f>
        <x:v>0</x:v>
      </x:c>
      <x:c r="AM261" s="56" t="n">
        <x:f>--(AL261=O261)</x:f>
        <x:v>0</x:v>
      </x:c>
    </x:row>
    <x:row r="262" ht="32" customHeight="1">
      <x:c r="A262" s="56" t="str">
        <x:v>4168</x:v>
      </x:c>
      <x:c r="B262" s="56" t="str">
        <x:v>10005</x:v>
      </x:c>
      <x:c r="C262" s="56" t="str">
        <x:v>8230</x:v>
      </x:c>
      <x:c r="D262" s="56" t="str">
        <x:v>Kopparnäs Dykes</x:v>
      </x:c>
      <x:c r="E262" s="56" t="str">
        <x:v>60.043999</x:v>
      </x:c>
      <x:c r="F262" s="56" t="str">
        <x:v>24.25</x:v>
      </x:c>
      <x:c r="G262" s="56" t="str"/>
      <x:c r="H262" s="56" t="str">
        <x:v>27.299999</x:v>
      </x:c>
      <x:c r="I262" s="56" t="str">
        <x:v>1.2</x:v>
      </x:c>
      <x:c r="J262" s="56" t="str">
        <x:v>26.9</x:v>
      </x:c>
      <x:c r="K262" s="56" t="str">
        <x:v>173.3</x:v>
      </x:c>
      <x:c r="L262" s="56" t="str">
        <x:v>V</x:v>
      </x:c>
      <x:c r="M262" s="59" t="str">
        <x:v>SUSC-T,3-axis Jrs-T, IRM (MAGN,TM)</x:v>
      </x:c>
      <x:c r="N262" s="56" t="n">
        <x:f>--(LEN(M262)&gt;0)</x:f>
        <x:v>1</x:v>
      </x:c>
      <x:c r="O262" s="56" t="n">
        <x:v>1</x:v>
      </x:c>
      <x:c r="P262" s="56" t="n">
        <x:f>--(N262=O262)</x:f>
        <x:v>1</x:v>
      </x:c>
      <x:c r="Q262" s="56" t="str">
        <x:v>PRESENT</x:v>
      </x:c>
      <x:c r="R262" s="59" t="str">
        <x:v>IRM,SUSC-T,HYST,SEM,OP(TM,PYRR,ILM,MAGN)</x:v>
      </x:c>
      <x:c r="S262" s="59" t="str">
        <x:v>IRM,SUSC-T,HYST,SEM,OP(TM,PYRR,ILM,MAGN)</x:v>
      </x:c>
      <x:c r="T262" s="56" t="n">
        <x:f>--(Q262="PRESENT")</x:f>
        <x:v>1</x:v>
      </x:c>
      <x:c r="U262" s="56" t="n">
        <x:f>--(T262=N262)</x:f>
        <x:v>1</x:v>
      </x:c>
      <x:c r="V262" s="56" t="n">
        <x:f>--(T262=O262)</x:f>
        <x:v>1</x:v>
      </x:c>
      <x:c r="W262" s="56" t="n">
        <x:f>--(OR(Q262="PRESENT",Q262="ABSENT"))</x:f>
        <x:v>1</x:v>
      </x:c>
      <x:c r="X262" s="56" t="str">
        <x:v>HIGH</x:v>
      </x:c>
      <x:c r="Y262" s="56" t="str">
        <x:v>PAPER_ROW_MATCH</x:v>
      </x:c>
      <x:c r="Z262" s="57" t="b">
        <x:v>1</x:v>
      </x:c>
      <x:c r="AA262" s="57" t="b">
        <x:v>1</x:v>
      </x:c>
      <x:c r="AB262" s="56" t="n">
        <x:v>0</x:v>
      </x:c>
      <x:c r="AC262" s="56" t="str">
        <x:v>IRM,SUSC-T,HYST,SEM,OP</x:v>
      </x:c>
      <x:c r="AD262" s="56" t="str">
        <x:v>TM,PYRR,ILM,MAGN</x:v>
      </x:c>
      <x:c r="AE262" s="56" t="str">
        <x:v>SD</x:v>
      </x:c>
      <x:c r="AF262" s="56" t="str">
        <x:v>5, 6, 7, 8, 20</x:v>
      </x:c>
      <x:c r="AG262" s="59" t="str">
        <x:v>p.6: Salminen et al. P r e c a m b r i a n R e s e a r c h 365(2021)106406 (IRM) (Lowrie, 1990) and acquisition of IRM curves were carried out presence of titanomagnetite with variable Ti-content as exemplified with a Molspin pulse magnetizer (GTK) for Kopparna¨s samples. | p.6: SEM studies of the dykes SQUID magnetometer (UH, LTU) and for the Kopparna¨s dykes with a RF show the presence of titanomagnetite, ilmenite, pyrite and occasionally SQUID magnetometer (GTK) to isolate a characteristic remanent pyrrhotite (Fig. 3). | p.7: Kopparna¨s petrophysics, rock magnetism and SEM (a) Remanence – magnetic susceptibility plot (logarithmic scales) of the site mean values of the dykes.</x:v>
      </x:c>
      <x:c r="AH262" s="58" t="n">
        <x:v>0.9087697046478656</x:v>
      </x:c>
      <x:c r="AI262" s="56" t="n">
        <x:f>--(AH262&gt;=0.5)</x:f>
        <x:v>1</x:v>
      </x:c>
      <x:c r="AJ262" s="56" t="n">
        <x:f>--(AI262=O262)</x:f>
        <x:v>1</x:v>
      </x:c>
      <x:c r="AK262" s="58" t="n">
        <x:v>0.9684806513846731</x:v>
      </x:c>
      <x:c r="AL262" s="56" t="n">
        <x:f>--(AK262&gt;=0.5)</x:f>
        <x:v>1</x:v>
      </x:c>
      <x:c r="AM262" s="56" t="n">
        <x:f>--(AL262=O262)</x:f>
        <x:v>1</x:v>
      </x:c>
    </x:row>
    <x:row r="263" ht="32" customHeight="1">
      <x:c r="A263" s="56" t="str">
        <x:v>4168</x:v>
      </x:c>
      <x:c r="B263" s="56" t="str">
        <x:v>10006</x:v>
      </x:c>
      <x:c r="C263" s="56" t="str">
        <x:v>8231</x:v>
      </x:c>
      <x:c r="D263" s="56" t="str">
        <x:v>Ragunda Dykes, Group 2+host</x:v>
      </x:c>
      <x:c r="E263" s="56" t="str">
        <x:v>63.139999</x:v>
      </x:c>
      <x:c r="F263" s="56" t="str">
        <x:v>16.030001</x:v>
      </x:c>
      <x:c r="G263" s="56" t="str"/>
      <x:c r="H263" s="56" t="str">
        <x:v>20.4</x:v>
      </x:c>
      <x:c r="I263" s="56" t="str">
        <x:v>49.400002</x:v>
      </x:c>
      <x:c r="J263" s="56" t="str">
        <x:v>56</x:v>
      </x:c>
      <x:c r="K263" s="56" t="str">
        <x:v>163</x:v>
      </x:c>
      <x:c r="L263" s="56" t="str">
        <x:v>V</x:v>
      </x:c>
      <x:c r="M263" s="59" t="str">
        <x:v>SUSC-T,3-axis Jrs-T, IRM (MAGN,TM)</x:v>
      </x:c>
      <x:c r="N263" s="56" t="n">
        <x:f>--(LEN(M263)&gt;0)</x:f>
        <x:v>1</x:v>
      </x:c>
      <x:c r="O263" s="56" t="n">
        <x:v>1</x:v>
      </x:c>
      <x:c r="P263" s="56" t="n">
        <x:f>--(N263=O263)</x:f>
        <x:v>1</x:v>
      </x:c>
      <x:c r="Q263" s="56" t="str">
        <x:v>PRESENT</x:v>
      </x:c>
      <x:c r="R263" s="59" t="str">
        <x:v>IRM,SUSC-T,HYST(PYRR,MAGN,TM)</x:v>
      </x:c>
      <x:c r="S263" s="59" t="str">
        <x:v>IRM,SUSC-T,HYST(PYRR,MAGN,TM)</x:v>
      </x:c>
      <x:c r="T263" s="56" t="n">
        <x:f>--(Q263="PRESENT")</x:f>
        <x:v>1</x:v>
      </x:c>
      <x:c r="U263" s="56" t="n">
        <x:f>--(T263=N263)</x:f>
        <x:v>1</x:v>
      </x:c>
      <x:c r="V263" s="56" t="n">
        <x:f>--(T263=O263)</x:f>
        <x:v>1</x:v>
      </x:c>
      <x:c r="W263" s="56" t="n">
        <x:f>--(OR(Q263="PRESENT",Q263="ABSENT"))</x:f>
        <x:v>1</x:v>
      </x:c>
      <x:c r="X263" s="56" t="str">
        <x:v>HIGH</x:v>
      </x:c>
      <x:c r="Y263" s="56" t="str">
        <x:v>PAPER_ROW_MATCH</x:v>
      </x:c>
      <x:c r="Z263" s="57" t="b">
        <x:v>1</x:v>
      </x:c>
      <x:c r="AA263" s="57" t="b">
        <x:v>1</x:v>
      </x:c>
      <x:c r="AB263" s="56" t="n">
        <x:v>0</x:v>
      </x:c>
      <x:c r="AC263" s="56" t="str">
        <x:v>IRM,SUSC-T,HYST</x:v>
      </x:c>
      <x:c r="AD263" s="56" t="str">
        <x:v>PYRR,MAGN,TM</x:v>
      </x:c>
      <x:c r="AE263" s="56" t="str">
        <x:v>SD</x:v>
      </x:c>
      <x:c r="AF263" s="56" t="str">
        <x:v>5, 6, 9, 20</x:v>
      </x:c>
      <x:c r="AG263" s="59" t="str">
        <x:v>p.5: Temperature dependence of low-field magnetic susceptibility | p.6: hysteresis | p.6: IRM</x:v>
      </x:c>
      <x:c r="AH263" s="58" t="n">
        <x:v>0.92071667668066</x:v>
      </x:c>
      <x:c r="AI263" s="56" t="n">
        <x:f>--(AH263&gt;=0.5)</x:f>
        <x:v>1</x:v>
      </x:c>
      <x:c r="AJ263" s="56" t="n">
        <x:f>--(AI263=O263)</x:f>
        <x:v>1</x:v>
      </x:c>
      <x:c r="AK263" s="58" t="n">
        <x:v>0.9776993732243303</x:v>
      </x:c>
      <x:c r="AL263" s="56" t="n">
        <x:f>--(AK263&gt;=0.5)</x:f>
        <x:v>1</x:v>
      </x:c>
      <x:c r="AM263" s="56" t="n">
        <x:f>--(AL263=O263)</x:f>
        <x:v>1</x:v>
      </x:c>
    </x:row>
    <x:row r="264" ht="32" customHeight="1">
      <x:c r="A264" s="56" t="str">
        <x:v>4168</x:v>
      </x:c>
      <x:c r="B264" s="56" t="str">
        <x:v>10007</x:v>
      </x:c>
      <x:c r="C264" s="56" t="str">
        <x:v>8232</x:v>
      </x:c>
      <x:c r="D264" s="56" t="str">
        <x:v>Ragunda Dykes, Group 1</x:v>
      </x:c>
      <x:c r="E264" s="56" t="str">
        <x:v>63.150002</x:v>
      </x:c>
      <x:c r="F264" s="56" t="str">
        <x:v>16</x:v>
      </x:c>
      <x:c r="G264" s="56" t="str"/>
      <x:c r="H264" s="56" t="str">
        <x:v>11.2</x:v>
      </x:c>
      <x:c r="I264" s="56" t="str">
        <x:v>-16.700001</x:v>
      </x:c>
      <x:c r="J264" s="56" t="str">
        <x:v>16.4</x:v>
      </x:c>
      <x:c r="K264" s="56" t="str">
        <x:v>186.7</x:v>
      </x:c>
      <x:c r="L264" s="56" t="str">
        <x:v>V</x:v>
      </x:c>
      <x:c r="M264" s="59" t="str">
        <x:v>SUSC-T,3-axis Jrs-T, IRM (MAGN,TM)</x:v>
      </x:c>
      <x:c r="N264" s="56" t="n">
        <x:f>--(LEN(M264)&gt;0)</x:f>
        <x:v>1</x:v>
      </x:c>
      <x:c r="O264" s="56" t="n">
        <x:v>1</x:v>
      </x:c>
      <x:c r="P264" s="56" t="n">
        <x:f>--(N264=O264)</x:f>
        <x:v>1</x:v>
      </x:c>
      <x:c r="Q264" s="56" t="str">
        <x:v>ABSENT</x:v>
      </x:c>
      <x:c r="R264" s="59" t="str"/>
      <x:c r="S264" s="59" t="str"/>
      <x:c r="T264" s="56" t="n">
        <x:f>--(Q264="PRESENT")</x:f>
        <x:v>0</x:v>
      </x:c>
      <x:c r="U264" s="56" t="n">
        <x:f>--(T264=N264)</x:f>
        <x:v>0</x:v>
      </x:c>
      <x:c r="V264" s="56" t="n">
        <x:f>--(T264=O264)</x:f>
        <x:v>0</x:v>
      </x:c>
      <x:c r="W264" s="56" t="n">
        <x:f>--(OR(Q264="PRESENT",Q264="ABSENT"))</x:f>
        <x:v>1</x:v>
      </x:c>
      <x:c r="X264" s="56" t="str">
        <x:v>MEDIUM</x:v>
      </x:c>
      <x:c r="Y264" s="56" t="str">
        <x:v>METADATA_UNIQUE</x:v>
      </x:c>
      <x:c r="Z264" s="57" t="b">
        <x:v>1</x:v>
      </x:c>
      <x:c r="AA264" s="57" t="b">
        <x:v>1</x:v>
      </x:c>
      <x:c r="AB264" s="56" t="n">
        <x:v>0</x:v>
      </x:c>
      <x:c r="AC264" s="56" t="str"/>
      <x:c r="AD264" s="56" t="str"/>
      <x:c r="AE264" s="56" t="str"/>
      <x:c r="AF264" s="56" t="str"/>
      <x:c r="AG264" s="59" t="str"/>
      <x:c r="AH264" s="58" t="n">
        <x:v>0.9245950813990388</x:v>
      </x:c>
      <x:c r="AI264" s="56" t="n">
        <x:f>--(AH264&gt;=0.5)</x:f>
        <x:v>1</x:v>
      </x:c>
      <x:c r="AJ264" s="56" t="n">
        <x:f>--(AI264=O264)</x:f>
        <x:v>1</x:v>
      </x:c>
      <x:c r="AK264" s="58" t="n">
        <x:v>0.9710353663113839</x:v>
      </x:c>
      <x:c r="AL264" s="56" t="n">
        <x:f>--(AK264&gt;=0.5)</x:f>
        <x:v>1</x:v>
      </x:c>
      <x:c r="AM264" s="56" t="n">
        <x:f>--(AL264=O264)</x:f>
        <x:v>1</x:v>
      </x:c>
    </x:row>
    <x:row r="265" ht="32" customHeight="1">
      <x:c r="A265" s="56" t="str">
        <x:v>4168</x:v>
      </x:c>
      <x:c r="B265" s="56" t="str">
        <x:v>10008</x:v>
      </x:c>
      <x:c r="C265" s="56" t="str">
        <x:v>8233</x:v>
      </x:c>
      <x:c r="D265" s="56" t="str">
        <x:v>Strömsbro Rapakivi Complex</x:v>
      </x:c>
      <x:c r="E265" s="56" t="str">
        <x:v>60.700001</x:v>
      </x:c>
      <x:c r="F265" s="56" t="str">
        <x:v>17.33</x:v>
      </x:c>
      <x:c r="G265" s="56" t="str"/>
      <x:c r="H265" s="56" t="str">
        <x:v>17.200001</x:v>
      </x:c>
      <x:c r="I265" s="56" t="str">
        <x:v>-48.700001</x:v>
      </x:c>
      <x:c r="J265" s="56" t="str">
        <x:v>-1.4</x:v>
      </x:c>
      <x:c r="K265" s="56" t="str">
        <x:v>182.3</x:v>
      </x:c>
      <x:c r="L265" s="56" t="str">
        <x:v>V</x:v>
      </x:c>
      <x:c r="M265" s="59" t="str">
        <x:v>SUSC-T,3-axis Jrs-T, IRM (MAGN,TM)</x:v>
      </x:c>
      <x:c r="N265" s="56" t="n">
        <x:f>--(LEN(M265)&gt;0)</x:f>
        <x:v>1</x:v>
      </x:c>
      <x:c r="O265" s="56" t="n">
        <x:v>1</x:v>
      </x:c>
      <x:c r="P265" s="56" t="n">
        <x:f>--(N265=O265)</x:f>
        <x:v>1</x:v>
      </x:c>
      <x:c r="Q265" s="56" t="str">
        <x:v>ABSTAIN_INSUFFICIENT</x:v>
      </x:c>
      <x:c r="R265" s="59" t="str"/>
      <x:c r="S265" s="59" t="str"/>
      <x:c r="T265" s="56" t="n">
        <x:f>--(Q265="PRESENT")</x:f>
        <x:v>0</x:v>
      </x:c>
      <x:c r="U265" s="56" t="n">
        <x:f>--(T265=N265)</x:f>
        <x:v>0</x:v>
      </x:c>
      <x:c r="V265" s="56" t="n">
        <x:f>--(T265=O265)</x:f>
        <x:v>0</x:v>
      </x:c>
      <x:c r="W265" s="56" t="n">
        <x:f>--(OR(Q265="PRESENT",Q265="ABSENT"))</x:f>
        <x:v>0</x:v>
      </x:c>
      <x:c r="X265" s="56" t="str">
        <x:v>LOW</x:v>
      </x:c>
      <x:c r="Y265" s="56" t="str">
        <x:v>PAPER_ROW_MATCH</x:v>
      </x:c>
      <x:c r="Z265" s="57" t="b">
        <x:v>1</x:v>
      </x:c>
      <x:c r="AA265" s="57" t="b">
        <x:v>1</x:v>
      </x:c>
      <x:c r="AB265" s="56" t="n">
        <x:v>0</x:v>
      </x:c>
      <x:c r="AC265" s="56" t="str"/>
      <x:c r="AD265" s="56" t="str"/>
      <x:c r="AE265" s="56" t="str"/>
      <x:c r="AF265" s="56" t="str">
        <x:v>1, 2, 4, 5</x:v>
      </x:c>
      <x:c r="AG265" s="59" t="str">
        <x:v>p.1: , 2007; Dall’Agnol et al., ~1640–1400 Ma (e.g. Emslie, 1978; Windley, 1993; Åh¨all and Connelly, 2012) are associated with coeval gabbroic rocks of the massif-type 1998; Karlstrom et al., 2001; Ashwal and Bybee, 2017). Various theories anorthosite clan (e.g. Ashwal, 1993; Alviola et al., 1999) and they have been put forward to explain this Proterozoic magmatism. In one set often include both silicic and basic dykes (e.g. Haapala et al., 1990; of models the common bimodal occurrence of the Proter | p.2: es and associated dyke swarms in central Sweden. matism is enhanced on a stationary low-latitude position. However, if Proterozoic magmatism during the Nuna supercontinent assembly was 2.1. The Kopparna¨s dyke swarm initiated by active convergent margin processes (e.g. Ashwal and Bybee, 2017), it is likely that the spatial arrangement of linear belts of massif- The E-W trending ~0.05–2 m wide Kopparna¨s diabase dykes outcrop type anorthosites continue from one craton to the other in a super- in  | p.4: J. Salminen et al. P r e c a m b r i a n R e s e a r c h 365(2021)106406 Fig. 2. Geological maps of the study areas with the location of sampling sites (a) Kopparna¨s dyke swarm, (b) Ragunda rapakivi massif, (c) Stro¨msbro rapakivi massif, (d) Ro¨do¨ rapakivi massif, (e) Noran pluton. Stro¨msbro and Noran rapakivi complexes form part of a system of 2.2.1. The Ragunda rapakivi complex 1530–1440 Ma anorogenic intrusions distributed in one of a broad WNW The bimodal Ragunda rapakivi complex, intrud</x:v>
      </x:c>
      <x:c r="AH265" s="58" t="n">
        <x:v>0.9054643033785983</x:v>
      </x:c>
      <x:c r="AI265" s="56" t="n">
        <x:f>--(AH265&gt;=0.5)</x:f>
        <x:v>1</x:v>
      </x:c>
      <x:c r="AJ265" s="56" t="n">
        <x:f>--(AI265=O265)</x:f>
        <x:v>1</x:v>
      </x:c>
      <x:c r="AK265" s="58" t="n">
        <x:v>0.8892249436947115</x:v>
      </x:c>
      <x:c r="AL265" s="56" t="n">
        <x:f>--(AK265&gt;=0.5)</x:f>
        <x:v>1</x:v>
      </x:c>
      <x:c r="AM265" s="56" t="n">
        <x:f>--(AL265=O265)</x:f>
        <x:v>1</x:v>
      </x:c>
    </x:row>
    <x:row r="266" ht="32" customHeight="1">
      <x:c r="A266" s="56" t="str">
        <x:v>4168</x:v>
      </x:c>
      <x:c r="B266" s="56" t="str">
        <x:v>10009</x:v>
      </x:c>
      <x:c r="C266" s="56" t="str">
        <x:v>8234</x:v>
      </x:c>
      <x:c r="D266" s="56" t="str">
        <x:v>Strömsbro Dykes</x:v>
      </x:c>
      <x:c r="E266" s="56" t="str">
        <x:v>60.700001</x:v>
      </x:c>
      <x:c r="F266" s="56" t="str">
        <x:v>17.33</x:v>
      </x:c>
      <x:c r="G266" s="56" t="str"/>
      <x:c r="H266" s="56" t="str">
        <x:v>12.2</x:v>
      </x:c>
      <x:c r="I266" s="56" t="str">
        <x:v>-21.5</x:v>
      </x:c>
      <x:c r="J266" s="56" t="str">
        <x:v>17.5</x:v>
      </x:c>
      <x:c r="K266" s="56" t="str">
        <x:v>184.39999</x:v>
      </x:c>
      <x:c r="L266" s="56" t="str">
        <x:v>V</x:v>
      </x:c>
      <x:c r="M266" s="59" t="str">
        <x:v>SUSC-T,3-axis Jrs-T, IRM (MAGN,TM)</x:v>
      </x:c>
      <x:c r="N266" s="56" t="n">
        <x:f>--(LEN(M266)&gt;0)</x:f>
        <x:v>1</x:v>
      </x:c>
      <x:c r="O266" s="56" t="n">
        <x:v>0</x:v>
      </x:c>
      <x:c r="P266" s="56" t="n">
        <x:f>--(N266=O266)</x:f>
        <x:v>0</x:v>
      </x:c>
      <x:c r="Q266" s="56" t="str">
        <x:v>ABSTAIN_INSUFFICIENT</x:v>
      </x:c>
      <x:c r="R266" s="59" t="str"/>
      <x:c r="S266" s="59" t="str"/>
      <x:c r="T266" s="56" t="n">
        <x:f>--(Q266="PRESENT")</x:f>
        <x:v>0</x:v>
      </x:c>
      <x:c r="U266" s="56" t="n">
        <x:f>--(T266=N266)</x:f>
        <x:v>0</x:v>
      </x:c>
      <x:c r="V266" s="56" t="n">
        <x:f>--(T266=O266)</x:f>
        <x:v>1</x:v>
      </x:c>
      <x:c r="W266" s="56" t="n">
        <x:f>--(OR(Q266="PRESENT",Q266="ABSENT"))</x:f>
        <x:v>0</x:v>
      </x:c>
      <x:c r="X266" s="56" t="str">
        <x:v>LOW</x:v>
      </x:c>
      <x:c r="Y266" s="56" t="str">
        <x:v>PAPER_ROW_MATCH</x:v>
      </x:c>
      <x:c r="Z266" s="57" t="b">
        <x:v>1</x:v>
      </x:c>
      <x:c r="AA266" s="57" t="b">
        <x:v>1</x:v>
      </x:c>
      <x:c r="AB266" s="56" t="n">
        <x:v>0</x:v>
      </x:c>
      <x:c r="AC266" s="56" t="str"/>
      <x:c r="AD266" s="56" t="str"/>
      <x:c r="AE266" s="56" t="str"/>
      <x:c r="AF266" s="56" t="str">
        <x:v>14, 20</x:v>
      </x:c>
      <x:c r="AG266" s="59" t="str">
        <x:v>p.14: MS graben together with Jotnian sediments, which are partly assimilated to of the granite reveal a predominantly magnetic foliation with steeply the sill, indicating a Post Jotnian age for the sill. The dyke S04 and sill dipping foliation planes and nearly vertical directions of the axis of data are not included in any mean calculations for the rapakivi complex. maximum susceptibility, possibly reflecting the flow direction of The mean for the Stro¨msbro rapakivi complex is calculated from magma | p.20: alminen et al. Salminen et al. (2014b) R1 1 1 1 1 1 1 7 (2014b) 1575.9 ±3 Kopparn¨as dykes 60 20 1645 ±5; g Vaasjoki (1977), Kosunen 1640 C 17 98 027 01 7 27 27 173 5 R0 1 1 0 1 0 1 4 ** this work, , see 1640 ±14 (2004) Table 2 age from Obn¨ass rapakivi granite Ragunda-dykes group 2 63 16 1505 ±12, g Persson (1999) 1514 C 20 122 020 49 11 10 56 163 11 R1 1 1 1 1 0 1 6 ** this work, see +host Table 2 1514 ±5 Ragunda-dykes group 1* 63 16 C 12 63 003 24 19 6 13 194 14.9 R0 1 1 1 1 1 1 5 ** this wor | p.20: inen et al. Salminen et al. (2014b) R1 1 1 1 1 1 1 7 (2014b) 1575.9 ±3 Kopparn¨as dykes 60 20 1645 ±5; g Vaasjoki (1977), Kosunen 1640 C 17 98 027 01 7 27 27 173 5 R0 1 1 0 1 0 1 4 ** this work, , see 1640 ±14 (2004) Table 2 age from Obn¨ass rapakivi granite Ragunda-dykes group 2 63 16 1505 ±12, g Persson (1999) 1514 C 20 122 020 49 11 10 56 163 11 R1 1 1 1 1 0 1 6 ** this work, see +host Table 2 1514 ±5 Ragunda-dykes group 1* 63 16 C 12 63 003 24 19 6 13 194 14.9 R0 1 1 1 1 1 1 5 ** this work S</x:v>
      </x:c>
      <x:c r="AH266" s="58" t="n">
        <x:v>0.7914137653067528</x:v>
      </x:c>
      <x:c r="AI266" s="56" t="n">
        <x:f>--(AH266&gt;=0.5)</x:f>
        <x:v>1</x:v>
      </x:c>
      <x:c r="AJ266" s="56" t="n">
        <x:f>--(AI266=O266)</x:f>
        <x:v>0</x:v>
      </x:c>
      <x:c r="AK266" s="58" t="n">
        <x:v>0.756624054772159</x:v>
      </x:c>
      <x:c r="AL266" s="56" t="n">
        <x:f>--(AK266&gt;=0.5)</x:f>
        <x:v>1</x:v>
      </x:c>
      <x:c r="AM266" s="56" t="n">
        <x:f>--(AL266=O266)</x:f>
        <x:v>0</x:v>
      </x:c>
    </x:row>
    <x:row r="267" ht="32" customHeight="1">
      <x:c r="A267" s="56" t="str">
        <x:v>4168</x:v>
      </x:c>
      <x:c r="B267" s="56" t="str">
        <x:v>10010</x:v>
      </x:c>
      <x:c r="C267" s="56" t="str">
        <x:v>8235</x:v>
      </x:c>
      <x:c r="D267" s="56" t="str">
        <x:v>Rödö Rapakivi Complex</x:v>
      </x:c>
      <x:c r="E267" s="56" t="str">
        <x:v>62.369999</x:v>
      </x:c>
      <x:c r="F267" s="56" t="str">
        <x:v>17.559999</x:v>
      </x:c>
      <x:c r="G267" s="56" t="str"/>
      <x:c r="H267" s="56" t="str">
        <x:v>23.700001</x:v>
      </x:c>
      <x:c r="I267" s="56" t="str">
        <x:v>-35</x:v>
      </x:c>
      <x:c r="J267" s="56" t="str">
        <x:v>6.1999998</x:v>
      </x:c>
      <x:c r="K267" s="56" t="str">
        <x:v>175.10001</x:v>
      </x:c>
      <x:c r="L267" s="56" t="str">
        <x:v>V</x:v>
      </x:c>
      <x:c r="M267" s="59" t="str">
        <x:v>SUSC-T,3-axis Jrs-T, IRM (MAGN,TM)</x:v>
      </x:c>
      <x:c r="N267" s="56" t="n">
        <x:f>--(LEN(M267)&gt;0)</x:f>
        <x:v>1</x:v>
      </x:c>
      <x:c r="O267" s="56" t="n">
        <x:v>1</x:v>
      </x:c>
      <x:c r="P267" s="56" t="n">
        <x:f>--(N267=O267)</x:f>
        <x:v>1</x:v>
      </x:c>
      <x:c r="Q267" s="56" t="str">
        <x:v>ABSTAIN_INSUFFICIENT</x:v>
      </x:c>
      <x:c r="R267" s="59" t="str"/>
      <x:c r="S267" s="59" t="str"/>
      <x:c r="T267" s="56" t="n">
        <x:f>--(Q267="PRESENT")</x:f>
        <x:v>0</x:v>
      </x:c>
      <x:c r="U267" s="56" t="n">
        <x:f>--(T267=N267)</x:f>
        <x:v>0</x:v>
      </x:c>
      <x:c r="V267" s="56" t="n">
        <x:f>--(T267=O267)</x:f>
        <x:v>0</x:v>
      </x:c>
      <x:c r="W267" s="56" t="n">
        <x:f>--(OR(Q267="PRESENT",Q267="ABSENT"))</x:f>
        <x:v>0</x:v>
      </x:c>
      <x:c r="X267" s="56" t="str">
        <x:v>LOW</x:v>
      </x:c>
      <x:c r="Y267" s="56" t="str">
        <x:v>PAPER_ROW_MATCH</x:v>
      </x:c>
      <x:c r="Z267" s="57" t="b">
        <x:v>1</x:v>
      </x:c>
      <x:c r="AA267" s="57" t="b">
        <x:v>1</x:v>
      </x:c>
      <x:c r="AB267" s="56" t="n">
        <x:v>0</x:v>
      </x:c>
      <x:c r="AC267" s="56" t="str"/>
      <x:c r="AD267" s="56" t="str"/>
      <x:c r="AE267" s="56" t="str"/>
      <x:c r="AF267" s="56" t="str">
        <x:v>16, 20</x:v>
      </x:c>
      <x:c r="AG267" s="59" t="str">
        <x:v>p.16: are illustrated in similar ChRM direction is obtained in unbaked granite at the sites RD02 Fig. 9. For the basic dykes both AF and thermal demagnetization were and RD03 (Figs. 9 and 10; Table 4). In general, the ChRM of both baked isolating a ChRM with coercivities and unblocking temperatures typical and unbaked granite is best isolated by thermal demagnetization with for magnetite (Fig. 9). Four dykes show normal polarity north- unblocking temperatures typical for magnetite generally with MAD &lt; | p.16: n similar ChRM direction is obtained in unbaked granite at the sites RD02 Fig. 9. For the basic dykes both AF and thermal demagnetization were and RD03 (Figs. 9 and 10; Table 4). In general, the ChRM of both baked isolating a ChRM with coercivities and unblocking temperatures typical and unbaked granite is best isolated by thermal demagnetization with for magnetite (Fig. 9). Four dykes show normal polarity north- unblocking temperatures typical for magnetite generally with MAD &lt; northeasterly Ch | p.20: ±3 Kopparn¨as dykes 60 20 1645 ±5; g Vaasjoki (1977), Kosunen 1640 C 17 98 027 01 7 27 27 173 5 R0 1 1 0 1 0 1 4 ** this work, , see 1640 ±14 (2004) Table 2 age from Obn¨ass rapakivi granite Ragunda-dykes group 2 63 16 1505 ±12, g Persson (1999) 1514 C 20 122 020 49 11 10 56 163 11 R1 1 1 1 1 0 1 6 ** this work, see +host Table 2 1514 ±5 Ragunda-dykes group 1* 63 16 C 12 63 003 24 19 6 13 194 14.9 R0 1 1 1 1 1 1 5 ** this work Stro¨msbro rapakivi* 61 17 1500 ±19 g Andersson (1997b) 1500 N 1 5 01</x:v>
      </x:c>
      <x:c r="AH267" s="58" t="n">
        <x:v>0.9080376264139923</x:v>
      </x:c>
      <x:c r="AI267" s="56" t="n">
        <x:f>--(AH267&gt;=0.5)</x:f>
        <x:v>1</x:v>
      </x:c>
      <x:c r="AJ267" s="56" t="n">
        <x:f>--(AI267=O267)</x:f>
        <x:v>1</x:v>
      </x:c>
      <x:c r="AK267" s="58" t="n">
        <x:v>0.7371248157599105</x:v>
      </x:c>
      <x:c r="AL267" s="56" t="n">
        <x:f>--(AK267&gt;=0.5)</x:f>
        <x:v>1</x:v>
      </x:c>
      <x:c r="AM267" s="56" t="n">
        <x:f>--(AL267=O267)</x:f>
        <x:v>1</x:v>
      </x:c>
    </x:row>
    <x:row r="268" ht="32" customHeight="1">
      <x:c r="A268" s="56" t="str">
        <x:v>4168</x:v>
      </x:c>
      <x:c r="B268" s="56" t="str">
        <x:v>10011</x:v>
      </x:c>
      <x:c r="C268" s="56" t="str">
        <x:v>8236</x:v>
      </x:c>
      <x:c r="D268" s="56" t="str">
        <x:v>Rödö Dykes</x:v>
      </x:c>
      <x:c r="E268" s="56" t="str">
        <x:v>62.369999</x:v>
      </x:c>
      <x:c r="F268" s="56" t="str">
        <x:v>17.559999</x:v>
      </x:c>
      <x:c r="G268" s="56" t="str"/>
      <x:c r="H268" s="56" t="str">
        <x:v>177.60001</x:v>
      </x:c>
      <x:c r="I268" s="56" t="str">
        <x:v>-26.700001</x:v>
      </x:c>
      <x:c r="J268" s="56" t="str">
        <x:v>41.700001</x:v>
      </x:c>
      <x:c r="K268" s="56" t="str">
        <x:v>200.7</x:v>
      </x:c>
      <x:c r="L268" s="56" t="str">
        <x:v>V</x:v>
      </x:c>
      <x:c r="M268" s="59" t="str">
        <x:v>SUSC-T,3-axis Jrs-T, IRM (MAGN,TM)</x:v>
      </x:c>
      <x:c r="N268" s="56" t="n">
        <x:f>--(LEN(M268)&gt;0)</x:f>
        <x:v>1</x:v>
      </x:c>
      <x:c r="O268" s="56" t="n">
        <x:v>1</x:v>
      </x:c>
      <x:c r="P268" s="56" t="n">
        <x:f>--(N268=O268)</x:f>
        <x:v>1</x:v>
      </x:c>
      <x:c r="Q268" s="56" t="str">
        <x:v>ABSTAIN_INSUFFICIENT</x:v>
      </x:c>
      <x:c r="R268" s="59" t="str"/>
      <x:c r="S268" s="59" t="str"/>
      <x:c r="T268" s="56" t="n">
        <x:f>--(Q268="PRESENT")</x:f>
        <x:v>0</x:v>
      </x:c>
      <x:c r="U268" s="56" t="n">
        <x:f>--(T268=N268)</x:f>
        <x:v>0</x:v>
      </x:c>
      <x:c r="V268" s="56" t="n">
        <x:f>--(T268=O268)</x:f>
        <x:v>0</x:v>
      </x:c>
      <x:c r="W268" s="56" t="n">
        <x:f>--(OR(Q268="PRESENT",Q268="ABSENT"))</x:f>
        <x:v>0</x:v>
      </x:c>
      <x:c r="X268" s="56" t="str">
        <x:v>LOW</x:v>
      </x:c>
      <x:c r="Y268" s="56" t="str">
        <x:v>PAPER_ROW_MATCH</x:v>
      </x:c>
      <x:c r="Z268" s="57" t="b">
        <x:v>1</x:v>
      </x:c>
      <x:c r="AA268" s="57" t="b">
        <x:v>1</x:v>
      </x:c>
      <x:c r="AB268" s="56" t="n">
        <x:v>0</x:v>
      </x:c>
      <x:c r="AC268" s="56" t="str"/>
      <x:c r="AD268" s="56" t="str"/>
      <x:c r="AE268" s="56" t="str"/>
      <x:c r="AF268" s="56" t="str">
        <x:v>20</x:v>
      </x:c>
      <x:c r="AG268" s="59" t="str">
        <x:v>p.20: Obn¨ass rapakivi granite Ragunda-dykes group 2 63 16 1505 ±12, g Persson (1999) 1514 C 20 122 020 49 11 10 56 163 11 R1 1 1 1 1 0 1 6 ** this work, see +host Table 2 1514 ±5 Ragunda-dykes group 1* 63 16 C 12 63 003 24 19 6 13 194 14.9 R0 1 1 1 1 1 1 5 ** this work Stro¨msbro rapakivi* 61 17 1500 ±19 g Andersson (1997b) 1500 N 1 5 017 49 17 21 01 182 18.4 R0 0 1 0 1 0 0 2 ** this work Stro¨msbro dykes* 61 17 g Andersson (1997b) 1500 N 4 35 013 –22 16 35 18 184 15.1 R0 0 0 0 1 0 1 2 ** this work R</x:v>
      </x:c>
      <x:c r="AH268" s="58" t="n">
        <x:v>0.7792310163397044</x:v>
      </x:c>
      <x:c r="AI268" s="56" t="n">
        <x:f>--(AH268&gt;=0.5)</x:f>
        <x:v>1</x:v>
      </x:c>
      <x:c r="AJ268" s="56" t="n">
        <x:f>--(AI268=O268)</x:f>
        <x:v>1</x:v>
      </x:c>
      <x:c r="AK268" s="58" t="n">
        <x:v>0.4467127431041943</x:v>
      </x:c>
      <x:c r="AL268" s="56" t="n">
        <x:f>--(AK268&gt;=0.5)</x:f>
        <x:v>0</x:v>
      </x:c>
      <x:c r="AM268" s="56" t="n">
        <x:f>--(AL268=O268)</x:f>
        <x:v>0</x:v>
      </x:c>
    </x:row>
    <x:row r="269" ht="32" customHeight="1">
      <x:c r="A269" s="56" t="str">
        <x:v>4168</x:v>
      </x:c>
      <x:c r="B269" s="56" t="str">
        <x:v>10012</x:v>
      </x:c>
      <x:c r="C269" s="56" t="str">
        <x:v>8237</x:v>
      </x:c>
      <x:c r="D269" s="56" t="str">
        <x:v>Noran Rapakivi Complex</x:v>
      </x:c>
      <x:c r="E269" s="56" t="str">
        <x:v>60.43</x:v>
      </x:c>
      <x:c r="F269" s="56" t="str">
        <x:v>15.16</x:v>
      </x:c>
      <x:c r="G269" s="56" t="str"/>
      <x:c r="H269" s="56" t="str">
        <x:v>14.8</x:v>
      </x:c>
      <x:c r="I269" s="56" t="str">
        <x:v>-0.30000001</x:v>
      </x:c>
      <x:c r="J269" s="56" t="str">
        <x:v>28.299999</x:v>
      </x:c>
      <x:c r="K269" s="56" t="str">
        <x:v>178.7</x:v>
      </x:c>
      <x:c r="L269" s="56" t="str">
        <x:v>V</x:v>
      </x:c>
      <x:c r="M269" s="59" t="str">
        <x:v>SUSC-T,3-axis Jrs-T, IRM (MAGN,TM)</x:v>
      </x:c>
      <x:c r="N269" s="56" t="n">
        <x:f>--(LEN(M269)&gt;0)</x:f>
        <x:v>1</x:v>
      </x:c>
      <x:c r="O269" s="56" t="n">
        <x:v>1</x:v>
      </x:c>
      <x:c r="P269" s="56" t="n">
        <x:f>--(N269=O269)</x:f>
        <x:v>1</x:v>
      </x:c>
      <x:c r="Q269" s="56" t="str">
        <x:v>PRESENT</x:v>
      </x:c>
      <x:c r="R269" s="59" t="str">
        <x:v>SUSC-T(MAGN,TM,PYRR)</x:v>
      </x:c>
      <x:c r="S269" s="59" t="str">
        <x:v>SUSC-T(MAGN,TM,PYRR)</x:v>
      </x:c>
      <x:c r="T269" s="56" t="n">
        <x:f>--(Q269="PRESENT")</x:f>
        <x:v>1</x:v>
      </x:c>
      <x:c r="U269" s="56" t="n">
        <x:f>--(T269=N269)</x:f>
        <x:v>1</x:v>
      </x:c>
      <x:c r="V269" s="56" t="n">
        <x:f>--(T269=O269)</x:f>
        <x:v>1</x:v>
      </x:c>
      <x:c r="W269" s="56" t="n">
        <x:f>--(OR(Q269="PRESENT",Q269="ABSENT"))</x:f>
        <x:v>1</x:v>
      </x:c>
      <x:c r="X269" s="56" t="str">
        <x:v>HIGH</x:v>
      </x:c>
      <x:c r="Y269" s="56" t="str">
        <x:v>PAPER_ROW_MATCH</x:v>
      </x:c>
      <x:c r="Z269" s="57" t="b">
        <x:v>1</x:v>
      </x:c>
      <x:c r="AA269" s="57" t="b">
        <x:v>1</x:v>
      </x:c>
      <x:c r="AB269" s="56" t="n">
        <x:v>0</x:v>
      </x:c>
      <x:c r="AC269" s="56" t="str">
        <x:v>SUSC-T</x:v>
      </x:c>
      <x:c r="AD269" s="56" t="str">
        <x:v>MAGN,TM,PYRR</x:v>
      </x:c>
      <x:c r="AE269" s="56" t="str">
        <x:v>SD</x:v>
      </x:c>
      <x:c r="AF269" s="56" t="str">
        <x:v>5, 6, 16, 20</x:v>
      </x:c>
      <x:c r="AG269" s="59" t="str">
        <x:v>p.5: Temperature dependence of low-field magnetic susceptibility | p.6: magnetite | p.6: titanomagnetite</x:v>
      </x:c>
      <x:c r="AH269" s="58" t="n">
        <x:v>0.9337577337600449</x:v>
      </x:c>
      <x:c r="AI269" s="56" t="n">
        <x:f>--(AH269&gt;=0.5)</x:f>
        <x:v>1</x:v>
      </x:c>
      <x:c r="AJ269" s="56" t="n">
        <x:f>--(AI269=O269)</x:f>
        <x:v>1</x:v>
      </x:c>
      <x:c r="AK269" s="58" t="n">
        <x:v>0.9084638303963372</x:v>
      </x:c>
      <x:c r="AL269" s="56" t="n">
        <x:f>--(AK269&gt;=0.5)</x:f>
        <x:v>1</x:v>
      </x:c>
      <x:c r="AM269" s="56" t="n">
        <x:f>--(AL269=O269)</x:f>
        <x:v>1</x:v>
      </x:c>
    </x:row>
    <x:row r="270" ht="32" customHeight="1">
      <x:c r="A270" s="56" t="str">
        <x:v>3765</x:v>
      </x:c>
      <x:c r="B270" s="56" t="str">
        <x:v>10019</x:v>
      </x:c>
      <x:c r="C270" s="56" t="str">
        <x:v>8244</x:v>
      </x:c>
      <x:c r="D270" s="56" t="str">
        <x:v>Westonaria Basalts</x:v>
      </x:c>
      <x:c r="E270" s="56" t="str">
        <x:v>-27</x:v>
      </x:c>
      <x:c r="F270" s="56" t="str">
        <x:v>27.799999</x:v>
      </x:c>
      <x:c r="G270" s="56" t="str"/>
      <x:c r="H270" s="56" t="str">
        <x:v>66.199997</x:v>
      </x:c>
      <x:c r="I270" s="56" t="str">
        <x:v>79.099998</x:v>
      </x:c>
      <x:c r="J270" s="56" t="str">
        <x:v>-17.1</x:v>
      </x:c>
      <x:c r="K270" s="56" t="str">
        <x:v>47.900002</x:v>
      </x:c>
      <x:c r="L270" s="56" t="str">
        <x:v>D</x:v>
      </x:c>
      <x:c r="M270" s="59" t="str"/>
      <x:c r="N270" s="56" t="n">
        <x:f>--(LEN(M270)&gt;0)</x:f>
        <x:v>0</x:v>
      </x:c>
      <x:c r="O270" s="56" t="n">
        <x:v>0</x:v>
      </x:c>
      <x:c r="P270" s="56" t="n">
        <x:f>--(N270=O270)</x:f>
        <x:v>1</x:v>
      </x:c>
      <x:c r="Q270" s="56" t="str">
        <x:v>ABSTAIN_INSUFFICIENT</x:v>
      </x:c>
      <x:c r="R270" s="59" t="str"/>
      <x:c r="S270" s="59" t="str"/>
      <x:c r="T270" s="56" t="n">
        <x:f>--(Q270="PRESENT")</x:f>
        <x:v>0</x:v>
      </x:c>
      <x:c r="U270" s="56" t="n">
        <x:f>--(T270=N270)</x:f>
        <x:v>1</x:v>
      </x:c>
      <x:c r="V270" s="56" t="n">
        <x:f>--(T270=O270)</x:f>
        <x:v>1</x:v>
      </x:c>
      <x:c r="W270" s="56" t="n">
        <x:f>--(OR(Q270="PRESENT",Q270="ABSENT"))</x:f>
        <x:v>0</x:v>
      </x:c>
      <x:c r="X270" s="56" t="str">
        <x:v>LOW</x:v>
      </x:c>
      <x:c r="Y270" s="56" t="str">
        <x:v>METADATA_UNIQUE</x:v>
      </x:c>
      <x:c r="Z270" s="57" t="b">
        <x:v>1</x:v>
      </x:c>
      <x:c r="AA270" s="57" t="b">
        <x:v>1</x:v>
      </x:c>
      <x:c r="AB270" s="56" t="n">
        <x:v>0</x:v>
      </x:c>
      <x:c r="AC270" s="56" t="str"/>
      <x:c r="AD270" s="56" t="str"/>
      <x:c r="AE270" s="56" t="str"/>
      <x:c r="AF270" s="56" t="str"/>
      <x:c r="AG270" s="59" t="str"/>
      <x:c r="AH270" s="58" t="n">
        <x:v>0.7647078920914786</x:v>
      </x:c>
      <x:c r="AI270" s="56" t="n">
        <x:f>--(AH270&gt;=0.5)</x:f>
        <x:v>1</x:v>
      </x:c>
      <x:c r="AJ270" s="56" t="n">
        <x:f>--(AI270=O270)</x:f>
        <x:v>0</x:v>
      </x:c>
      <x:c r="AK270" s="58" t="n">
        <x:v>0.7647078920914785</x:v>
      </x:c>
      <x:c r="AL270" s="56" t="n">
        <x:f>--(AK270&gt;=0.5)</x:f>
        <x:v>1</x:v>
      </x:c>
      <x:c r="AM270" s="56" t="n">
        <x:f>--(AL270=O270)</x:f>
        <x:v>0</x:v>
      </x:c>
    </x:row>
    <x:row r="271" ht="32" customHeight="1">
      <x:c r="A271" s="56" t="str">
        <x:v>4181</x:v>
      </x:c>
      <x:c r="B271" s="56" t="str">
        <x:v>10029</x:v>
      </x:c>
      <x:c r="C271" s="56" t="str">
        <x:v>8254</x:v>
      </x:c>
      <x:c r="D271" s="56" t="str">
        <x:v>Bull Arm Formation, Bonavista</x:v>
      </x:c>
      <x:c r="E271" s="56" t="str">
        <x:v>48.299999</x:v>
      </x:c>
      <x:c r="F271" s="56" t="str">
        <x:v>-53.549999</x:v>
      </x:c>
      <x:c r="G271" s="56" t="str"/>
      <x:c r="H271" s="56" t="str">
        <x:v>209.3</x:v>
      </x:c>
      <x:c r="I271" s="56" t="str">
        <x:v>-37.900002</x:v>
      </x:c>
      <x:c r="J271" s="56" t="str">
        <x:v>15.5</x:v>
      </x:c>
      <x:c r="K271" s="56" t="str">
        <x:v>98.199997</x:v>
      </x:c>
      <x:c r="L271" s="56" t="str">
        <x:v>D</x:v>
      </x:c>
      <x:c r="M271" s="59" t="str">
        <x:v>SUSC-T,OP(MAGN,HEM)</x:v>
      </x:c>
      <x:c r="N271" s="56" t="n">
        <x:f>--(LEN(M271)&gt;0)</x:f>
        <x:v>1</x:v>
      </x:c>
      <x:c r="O271" s="56" t="n">
        <x:v>1</x:v>
      </x:c>
      <x:c r="P271" s="56" t="n">
        <x:f>--(N271=O271)</x:f>
        <x:v>1</x:v>
      </x:c>
      <x:c r="Q271" s="56" t="str">
        <x:v>ABSTAIN_INSUFFICIENT</x:v>
      </x:c>
      <x:c r="R271" s="59" t="str"/>
      <x:c r="S271" s="59" t="str"/>
      <x:c r="T271" s="56" t="n">
        <x:f>--(Q271="PRESENT")</x:f>
        <x:v>0</x:v>
      </x:c>
      <x:c r="U271" s="56" t="n">
        <x:f>--(T271=N271)</x:f>
        <x:v>0</x:v>
      </x:c>
      <x:c r="V271" s="56" t="n">
        <x:f>--(T271=O271)</x:f>
        <x:v>0</x:v>
      </x:c>
      <x:c r="W271" s="56" t="n">
        <x:f>--(OR(Q271="PRESENT",Q271="ABSENT"))</x:f>
        <x:v>0</x:v>
      </x:c>
      <x:c r="X271" s="56" t="str">
        <x:v>LOW</x:v>
      </x:c>
      <x:c r="Y271" s="56" t="str">
        <x:v>METADATA_UNIQUE</x:v>
      </x:c>
      <x:c r="Z271" s="57" t="b">
        <x:v>1</x:v>
      </x:c>
      <x:c r="AA271" s="57" t="b">
        <x:v>1</x:v>
      </x:c>
      <x:c r="AB271" s="56" t="n">
        <x:v>0</x:v>
      </x:c>
      <x:c r="AC271" s="56" t="str"/>
      <x:c r="AD271" s="56" t="str"/>
      <x:c r="AE271" s="56" t="str"/>
      <x:c r="AF271" s="56" t="str"/>
      <x:c r="AG271" s="59" t="str"/>
      <x:c r="AH271" s="58" t="n">
        <x:v>0.2434928027559481</x:v>
      </x:c>
      <x:c r="AI271" s="56" t="n">
        <x:f>--(AH271&gt;=0.5)</x:f>
        <x:v>0</x:v>
      </x:c>
      <x:c r="AJ271" s="56" t="n">
        <x:f>--(AI271=O271)</x:f>
        <x:v>0</x:v>
      </x:c>
      <x:c r="AK271" s="58" t="n">
        <x:v>0.24349280275594806</x:v>
      </x:c>
      <x:c r="AL271" s="56" t="n">
        <x:f>--(AK271&gt;=0.5)</x:f>
        <x:v>0</x:v>
      </x:c>
      <x:c r="AM271" s="56" t="n">
        <x:f>--(AL271=O271)</x:f>
        <x:v>0</x:v>
      </x:c>
    </x:row>
    <x:row r="272" ht="32" customHeight="1">
      <x:c r="A272" s="56" t="str">
        <x:v>4181</x:v>
      </x:c>
      <x:c r="B272" s="56" t="str">
        <x:v>10030</x:v>
      </x:c>
      <x:c r="C272" s="56" t="str">
        <x:v>8255</x:v>
      </x:c>
      <x:c r="D272" s="56" t="str">
        <x:v>Crown Hill Formation</x:v>
      </x:c>
      <x:c r="E272" s="56" t="str">
        <x:v>48.580002</x:v>
      </x:c>
      <x:c r="F272" s="56" t="str">
        <x:v>-53.400002</x:v>
      </x:c>
      <x:c r="G272" s="56" t="str"/>
      <x:c r="H272" s="56" t="str">
        <x:v>320.20001</x:v>
      </x:c>
      <x:c r="I272" s="56" t="str">
        <x:v>37.700001</x:v>
      </x:c>
      <x:c r="J272" s="56" t="str">
        <x:v>48.099998</x:v>
      </x:c>
      <x:c r="K272" s="56" t="str">
        <x:v>189.89999</x:v>
      </x:c>
      <x:c r="L272" s="56" t="str">
        <x:v>D</x:v>
      </x:c>
      <x:c r="M272" s="59" t="str"/>
      <x:c r="N272" s="56" t="n">
        <x:f>--(LEN(M272)&gt;0)</x:f>
        <x:v>0</x:v>
      </x:c>
      <x:c r="O272" s="56" t="n">
        <x:v>0</x:v>
      </x:c>
      <x:c r="P272" s="56" t="n">
        <x:f>--(N272=O272)</x:f>
        <x:v>1</x:v>
      </x:c>
      <x:c r="Q272" s="56" t="str">
        <x:v>ABSTAIN_INSUFFICIENT</x:v>
      </x:c>
      <x:c r="R272" s="59" t="str"/>
      <x:c r="S272" s="59" t="str"/>
      <x:c r="T272" s="56" t="n">
        <x:f>--(Q272="PRESENT")</x:f>
        <x:v>0</x:v>
      </x:c>
      <x:c r="U272" s="56" t="n">
        <x:f>--(T272=N272)</x:f>
        <x:v>1</x:v>
      </x:c>
      <x:c r="V272" s="56" t="n">
        <x:f>--(T272=O272)</x:f>
        <x:v>1</x:v>
      </x:c>
      <x:c r="W272" s="56" t="n">
        <x:f>--(OR(Q272="PRESENT",Q272="ABSENT"))</x:f>
        <x:v>0</x:v>
      </x:c>
      <x:c r="X272" s="56" t="str">
        <x:v>LOW</x:v>
      </x:c>
      <x:c r="Y272" s="56" t="str">
        <x:v>METADATA_UNIQUE</x:v>
      </x:c>
      <x:c r="Z272" s="57" t="b">
        <x:v>1</x:v>
      </x:c>
      <x:c r="AA272" s="57" t="b">
        <x:v>1</x:v>
      </x:c>
      <x:c r="AB272" s="56" t="n">
        <x:v>0</x:v>
      </x:c>
      <x:c r="AC272" s="56" t="str"/>
      <x:c r="AD272" s="56" t="str"/>
      <x:c r="AE272" s="56" t="str"/>
      <x:c r="AF272" s="56" t="str"/>
      <x:c r="AG272" s="59" t="str"/>
      <x:c r="AH272" s="58" t="n">
        <x:v>0.27977367250961815</x:v>
      </x:c>
      <x:c r="AI272" s="56" t="n">
        <x:f>--(AH272&gt;=0.5)</x:f>
        <x:v>0</x:v>
      </x:c>
      <x:c r="AJ272" s="56" t="n">
        <x:f>--(AI272=O272)</x:f>
        <x:v>1</x:v>
      </x:c>
      <x:c r="AK272" s="58" t="n">
        <x:v>0.27977367250961815</x:v>
      </x:c>
      <x:c r="AL272" s="56" t="n">
        <x:f>--(AK272&gt;=0.5)</x:f>
        <x:v>0</x:v>
      </x:c>
      <x:c r="AM272" s="56" t="n">
        <x:f>--(AL272=O272)</x:f>
        <x:v>1</x:v>
      </x:c>
    </x:row>
    <x:row r="273" ht="32" customHeight="1">
      <x:c r="A273" s="56" t="str">
        <x:v>4324</x:v>
      </x:c>
      <x:c r="B273" s="56" t="str">
        <x:v>10236</x:v>
      </x:c>
      <x:c r="C273" s="56" t="str">
        <x:v>8453</x:v>
      </x:c>
      <x:c r="D273" s="56" t="str">
        <x:v>Kiuruvesi Gabbrodiorite</x:v>
      </x:c>
      <x:c r="E273" s="56" t="str">
        <x:v>63.549999</x:v>
      </x:c>
      <x:c r="F273" s="56" t="str">
        <x:v>26.58</x:v>
      </x:c>
      <x:c r="G273" s="56" t="str"/>
      <x:c r="H273" s="56" t="str">
        <x:v>342.29999</x:v>
      </x:c>
      <x:c r="I273" s="56" t="str">
        <x:v>33.299999</x:v>
      </x:c>
      <x:c r="J273" s="56" t="str">
        <x:v>43</x:v>
      </x:c>
      <x:c r="K273" s="56" t="str">
        <x:v>229.89999</x:v>
      </x:c>
      <x:c r="L273" s="56" t="str">
        <x:v>V</x:v>
      </x:c>
      <x:c r="M273" s="59" t="str">
        <x:v>SUSC-T,3-axis Jrs-T(MAGN)</x:v>
      </x:c>
      <x:c r="N273" s="56" t="n">
        <x:f>--(LEN(M273)&gt;0)</x:f>
        <x:v>1</x:v>
      </x:c>
      <x:c r="O273" s="56" t="n">
        <x:v>1</x:v>
      </x:c>
      <x:c r="P273" s="56" t="n">
        <x:f>--(N273=O273)</x:f>
        <x:v>1</x:v>
      </x:c>
      <x:c r="Q273" s="56" t="str">
        <x:v>PRESENT</x:v>
      </x:c>
      <x:c r="R273" s="59" t="str">
        <x:v>IRM,3-axis Jrs-T,HYST(MAGN,MAGH,TM)</x:v>
      </x:c>
      <x:c r="S273" s="59" t="str">
        <x:v>IRM,3-axis Jrs-T,HYST(MAGN,MAGH,TM)</x:v>
      </x:c>
      <x:c r="T273" s="56" t="n">
        <x:f>--(Q273="PRESENT")</x:f>
        <x:v>1</x:v>
      </x:c>
      <x:c r="U273" s="56" t="n">
        <x:f>--(T273=N273)</x:f>
        <x:v>1</x:v>
      </x:c>
      <x:c r="V273" s="56" t="n">
        <x:f>--(T273=O273)</x:f>
        <x:v>1</x:v>
      </x:c>
      <x:c r="W273" s="56" t="n">
        <x:f>--(OR(Q273="PRESENT",Q273="ABSENT"))</x:f>
        <x:v>1</x:v>
      </x:c>
      <x:c r="X273" s="56" t="str">
        <x:v>MEDIUM</x:v>
      </x:c>
      <x:c r="Y273" s="56" t="str">
        <x:v>METADATA_UNIQUE</x:v>
      </x:c>
      <x:c r="Z273" s="57" t="b">
        <x:v>1</x:v>
      </x:c>
      <x:c r="AA273" s="57" t="b">
        <x:v>1</x:v>
      </x:c>
      <x:c r="AB273" s="56" t="n">
        <x:v>0</x:v>
      </x:c>
      <x:c r="AC273" s="56" t="str">
        <x:v>IRM,3-axis Jrs-T,HYST</x:v>
      </x:c>
      <x:c r="AD273" s="56" t="str">
        <x:v>MAGN,MAGH,TM</x:v>
      </x:c>
      <x:c r="AE273" s="56" t="str">
        <x:v>SD,MD</x:v>
      </x:c>
      <x:c r="AF273" s="56" t="str">
        <x:v>4, 5, 6</x:v>
      </x:c>
      <x:c r="AG273" s="59" t="str">
        <x:v>p.4: IRM was imparted in Kiuruvesi gabbrodiorite, although the susceptibility decrease at ca . | p.4: The Lowrie–Fuller test demonstrated significantly x -direction. | p.4: hysteresis</x:v>
      </x:c>
      <x:c r="AH273" s="58" t="n">
        <x:v>0.9132857442581345</x:v>
      </x:c>
      <x:c r="AI273" s="56" t="n">
        <x:f>--(AH273&gt;=0.5)</x:f>
        <x:v>1</x:v>
      </x:c>
      <x:c r="AJ273" s="56" t="n">
        <x:f>--(AI273=O273)</x:f>
        <x:v>1</x:v>
      </x:c>
      <x:c r="AK273" s="58" t="n">
        <x:v>0.9450039114283572</x:v>
      </x:c>
      <x:c r="AL273" s="56" t="n">
        <x:f>--(AK273&gt;=0.5)</x:f>
        <x:v>1</x:v>
      </x:c>
      <x:c r="AM273" s="56" t="n">
        <x:f>--(AL273=O273)</x:f>
        <x:v>1</x:v>
      </x:c>
    </x:row>
    <x:row r="274" ht="32" customHeight="1">
      <x:c r="A274" s="56" t="str">
        <x:v>4324</x:v>
      </x:c>
      <x:c r="B274" s="56" t="str">
        <x:v>10237</x:v>
      </x:c>
      <x:c r="C274" s="56" t="str">
        <x:v>8454</x:v>
      </x:c>
      <x:c r="D274" s="56" t="str">
        <x:v>Ylivieska Gabbro</x:v>
      </x:c>
      <x:c r="E274" s="56" t="str">
        <x:v>64.040001</x:v>
      </x:c>
      <x:c r="F274" s="56" t="str">
        <x:v>24.379999</x:v>
      </x:c>
      <x:c r="G274" s="56" t="str"/>
      <x:c r="H274" s="56" t="str">
        <x:v>330.60001</x:v>
      </x:c>
      <x:c r="I274" s="56" t="str">
        <x:v>43.700001</x:v>
      </x:c>
      <x:c r="J274" s="56" t="str">
        <x:v>47.700001</x:v>
      </x:c>
      <x:c r="K274" s="56" t="str">
        <x:v>245.7</x:v>
      </x:c>
      <x:c r="L274" s="56" t="str">
        <x:v>V</x:v>
      </x:c>
      <x:c r="M274" s="59" t="str">
        <x:v>SUSC-T,3-axis Jrs-T(SD MAGN)</x:v>
      </x:c>
      <x:c r="N274" s="56" t="n">
        <x:f>--(LEN(M274)&gt;0)</x:f>
        <x:v>1</x:v>
      </x:c>
      <x:c r="O274" s="56" t="n">
        <x:v>1</x:v>
      </x:c>
      <x:c r="P274" s="56" t="n">
        <x:f>--(N274=O274)</x:f>
        <x:v>1</x:v>
      </x:c>
      <x:c r="Q274" s="56" t="str">
        <x:v>PRESENT</x:v>
      </x:c>
      <x:c r="R274" s="59" t="str">
        <x:v>IRM,3-axis Jrs-T,HYST(SD/MD MAGN)</x:v>
      </x:c>
      <x:c r="S274" s="59" t="str">
        <x:v>IRM,3-axis Jrs-T,HYST(SD/MD MAGN)</x:v>
      </x:c>
      <x:c r="T274" s="56" t="n">
        <x:f>--(Q274="PRESENT")</x:f>
        <x:v>1</x:v>
      </x:c>
      <x:c r="U274" s="56" t="n">
        <x:f>--(T274=N274)</x:f>
        <x:v>1</x:v>
      </x:c>
      <x:c r="V274" s="56" t="n">
        <x:f>--(T274=O274)</x:f>
        <x:v>1</x:v>
      </x:c>
      <x:c r="W274" s="56" t="n">
        <x:f>--(OR(Q274="PRESENT",Q274="ABSENT"))</x:f>
        <x:v>1</x:v>
      </x:c>
      <x:c r="X274" s="56" t="str">
        <x:v>MEDIUM</x:v>
      </x:c>
      <x:c r="Y274" s="56" t="str">
        <x:v>METADATA_UNIQUE</x:v>
      </x:c>
      <x:c r="Z274" s="57" t="b">
        <x:v>1</x:v>
      </x:c>
      <x:c r="AA274" s="57" t="b">
        <x:v>1</x:v>
      </x:c>
      <x:c r="AB274" s="56" t="n">
        <x:v>0</x:v>
      </x:c>
      <x:c r="AC274" s="56" t="str">
        <x:v>IRM,3-axis Jrs-T,HYST</x:v>
      </x:c>
      <x:c r="AD274" s="56" t="str">
        <x:v>MAGN</x:v>
      </x:c>
      <x:c r="AE274" s="56" t="str">
        <x:v>SD,MD</x:v>
      </x:c>
      <x:c r="AF274" s="56" t="str">
        <x:v>4, 5, 11</x:v>
      </x:c>
      <x:c r="AG274" s="59" t="str">
        <x:v>p.11: Fur ther more, the Lowrie test demonstrates that magnetite is palaeomagnetic poles of several cratons display large back-and- present in three coercivity fractions (Fig. 4 ). | p.11: Fur ther more, the Lowrie test demonstrates that magnetite is palaeomagnetic poles of several cratons display large back-and- present in three coercivity fractions (Fig. 4 ). | p.4: hysteresis</x:v>
      </x:c>
      <x:c r="AH274" s="58" t="n">
        <x:v>0.9765566606310838</x:v>
      </x:c>
      <x:c r="AI274" s="56" t="n">
        <x:f>--(AH274&gt;=0.5)</x:f>
        <x:v>1</x:v>
      </x:c>
      <x:c r="AJ274" s="56" t="n">
        <x:f>--(AI274=O274)</x:f>
        <x:v>1</x:v>
      </x:c>
      <x:c r="AK274" s="58" t="n">
        <x:v>0.987556405703528</x:v>
      </x:c>
      <x:c r="AL274" s="56" t="n">
        <x:f>--(AK274&gt;=0.5)</x:f>
        <x:v>1</x:v>
      </x:c>
      <x:c r="AM274" s="56" t="n">
        <x:f>--(AL274=O274)</x:f>
        <x:v>1</x:v>
      </x:c>
    </x:row>
    <x:row r="275" ht="32" customHeight="1">
      <x:c r="A275" s="56" t="str">
        <x:v>4324</x:v>
      </x:c>
      <x:c r="B275" s="56" t="str">
        <x:v>10238</x:v>
      </x:c>
      <x:c r="C275" s="56" t="str">
        <x:v>8455</x:v>
      </x:c>
      <x:c r="D275" s="56" t="str">
        <x:v>Mertuanoja Gabbro</x:v>
      </x:c>
      <x:c r="E275" s="56" t="str">
        <x:v>64.110001</x:v>
      </x:c>
      <x:c r="F275" s="56" t="str">
        <x:v>24.57</x:v>
      </x:c>
      <x:c r="G275" s="56" t="str"/>
      <x:c r="H275" s="56" t="str">
        <x:v>338.89999</x:v>
      </x:c>
      <x:c r="I275" s="56" t="str">
        <x:v>43.599998</x:v>
      </x:c>
      <x:c r="J275" s="56" t="str">
        <x:v>49.099998</x:v>
      </x:c>
      <x:c r="K275" s="56" t="str">
        <x:v>234.7</x:v>
      </x:c>
      <x:c r="L275" s="56" t="str">
        <x:v>V</x:v>
      </x:c>
      <x:c r="M275" s="59" t="str">
        <x:v>SUSC-T,3-axis Jrs-T(SD MAGN)</x:v>
      </x:c>
      <x:c r="N275" s="56" t="n">
        <x:f>--(LEN(M275)&gt;0)</x:f>
        <x:v>1</x:v>
      </x:c>
      <x:c r="O275" s="56" t="n">
        <x:v>1</x:v>
      </x:c>
      <x:c r="P275" s="56" t="n">
        <x:f>--(N275=O275)</x:f>
        <x:v>1</x:v>
      </x:c>
      <x:c r="Q275" s="56" t="str">
        <x:v>PRESENT</x:v>
      </x:c>
      <x:c r="R275" s="59" t="str">
        <x:v>IRM,HYST(MAGN,MAGH,TM)</x:v>
      </x:c>
      <x:c r="S275" s="59" t="str">
        <x:v>IRM,HYST(MAGN,MAGH,TM)</x:v>
      </x:c>
      <x:c r="T275" s="56" t="n">
        <x:f>--(Q275="PRESENT")</x:f>
        <x:v>1</x:v>
      </x:c>
      <x:c r="U275" s="56" t="n">
        <x:f>--(T275=N275)</x:f>
        <x:v>1</x:v>
      </x:c>
      <x:c r="V275" s="56" t="n">
        <x:f>--(T275=O275)</x:f>
        <x:v>1</x:v>
      </x:c>
      <x:c r="W275" s="56" t="n">
        <x:f>--(OR(Q275="PRESENT",Q275="ABSENT"))</x:f>
        <x:v>1</x:v>
      </x:c>
      <x:c r="X275" s="56" t="str">
        <x:v>HIGH</x:v>
      </x:c>
      <x:c r="Y275" s="56" t="str">
        <x:v>PAPER_ROW_MATCH</x:v>
      </x:c>
      <x:c r="Z275" s="57" t="b">
        <x:v>1</x:v>
      </x:c>
      <x:c r="AA275" s="57" t="b">
        <x:v>1</x:v>
      </x:c>
      <x:c r="AB275" s="56" t="n">
        <x:v>0</x:v>
      </x:c>
      <x:c r="AC275" s="56" t="str">
        <x:v>IRM,HYST</x:v>
      </x:c>
      <x:c r="AD275" s="56" t="str">
        <x:v>MAGN,MAGH,TM</x:v>
      </x:c>
      <x:c r="AE275" s="56" t="str">
        <x:v>SD,MD</x:v>
      </x:c>
      <x:c r="AF275" s="56" t="str">
        <x:v>4, 5, 6</x:v>
      </x:c>
      <x:c r="AG275" s="59" t="str">
        <x:v>p.4: IRM | p.5: hysteresis | p.6: Hysteresis</x:v>
      </x:c>
      <x:c r="AH275" s="58" t="n">
        <x:v>0.9583023120009322</x:v>
      </x:c>
      <x:c r="AI275" s="56" t="n">
        <x:f>--(AH275&gt;=0.5)</x:f>
        <x:v>1</x:v>
      </x:c>
      <x:c r="AJ275" s="56" t="n">
        <x:f>--(AI275=O275)</x:f>
        <x:v>1</x:v>
      </x:c>
      <x:c r="AK275" s="58" t="n">
        <x:v>0.9710335762042656</x:v>
      </x:c>
      <x:c r="AL275" s="56" t="n">
        <x:f>--(AK275&gt;=0.5)</x:f>
        <x:v>1</x:v>
      </x:c>
      <x:c r="AM275" s="56" t="n">
        <x:f>--(AL275=O275)</x:f>
        <x:v>1</x:v>
      </x:c>
    </x:row>
    <x:row r="276" ht="32" customHeight="1">
      <x:c r="A276" s="56" t="str">
        <x:v>4324</x:v>
      </x:c>
      <x:c r="B276" s="56" t="str">
        <x:v>10239</x:v>
      </x:c>
      <x:c r="C276" s="56" t="str">
        <x:v>8456</x:v>
      </x:c>
      <x:c r="D276" s="56" t="str">
        <x:v>Svecofennian Gabbros Combined</x:v>
      </x:c>
      <x:c r="E276" s="56" t="str">
        <x:v>64</x:v>
      </x:c>
      <x:c r="F276" s="56" t="str">
        <x:v>25</x:v>
      </x:c>
      <x:c r="G276" s="56" t="str">
        <x:v>Combined result</x:v>
      </x:c>
      <x:c r="H276" s="56" t="str"/>
      <x:c r="I276" s="56" t="str"/>
      <x:c r="J276" s="56" t="str">
        <x:v>47</x:v>
      </x:c>
      <x:c r="K276" s="56" t="str">
        <x:v>238</x:v>
      </x:c>
      <x:c r="L276" s="56" t="str">
        <x:v>V</x:v>
      </x:c>
      <x:c r="M276" s="59" t="str">
        <x:v>SUSC-T,3-axis Jrs-T(SD MAGN)</x:v>
      </x:c>
      <x:c r="N276" s="56" t="n">
        <x:f>--(LEN(M276)&gt;0)</x:f>
        <x:v>1</x:v>
      </x:c>
      <x:c r="O276" s="56" t="n">
        <x:v>1</x:v>
      </x:c>
      <x:c r="P276" s="56" t="n">
        <x:f>--(N276=O276)</x:f>
        <x:v>1</x:v>
      </x:c>
      <x:c r="Q276" s="56" t="str">
        <x:v>ABSTAIN_INSUFFICIENT</x:v>
      </x:c>
      <x:c r="R276" s="59" t="str"/>
      <x:c r="S276" s="59" t="str"/>
      <x:c r="T276" s="56" t="n">
        <x:f>--(Q276="PRESENT")</x:f>
        <x:v>0</x:v>
      </x:c>
      <x:c r="U276" s="56" t="n">
        <x:f>--(T276=N276)</x:f>
        <x:v>0</x:v>
      </x:c>
      <x:c r="V276" s="56" t="n">
        <x:f>--(T276=O276)</x:f>
        <x:v>0</x:v>
      </x:c>
      <x:c r="W276" s="56" t="n">
        <x:f>--(OR(Q276="PRESENT",Q276="ABSENT"))</x:f>
        <x:v>0</x:v>
      </x:c>
      <x:c r="X276" s="56" t="str">
        <x:v>LOW</x:v>
      </x:c>
      <x:c r="Y276" s="56" t="str">
        <x:v>METADATA_UNIQUE</x:v>
      </x:c>
      <x:c r="Z276" s="57" t="b">
        <x:v>1</x:v>
      </x:c>
      <x:c r="AA276" s="57" t="b">
        <x:v>1</x:v>
      </x:c>
      <x:c r="AB276" s="56" t="n">
        <x:v>0</x:v>
      </x:c>
      <x:c r="AC276" s="56" t="str"/>
      <x:c r="AD276" s="56" t="str"/>
      <x:c r="AE276" s="56" t="str"/>
      <x:c r="AF276" s="56" t="str"/>
      <x:c r="AG276" s="59" t="str"/>
      <x:c r="AH276" s="58" t="n">
        <x:v>0.9346220752770223</x:v>
      </x:c>
      <x:c r="AI276" s="56" t="n">
        <x:f>--(AH276&gt;=0.5)</x:f>
        <x:v>1</x:v>
      </x:c>
      <x:c r="AJ276" s="56" t="n">
        <x:f>--(AI276=O276)</x:f>
        <x:v>1</x:v>
      </x:c>
      <x:c r="AK276" s="58" t="n">
        <x:v>0.952344918889345</x:v>
      </x:c>
      <x:c r="AL276" s="56" t="n">
        <x:f>--(AK276&gt;=0.5)</x:f>
        <x:v>1</x:v>
      </x:c>
      <x:c r="AM276" s="56" t="n">
        <x:f>--(AL276=O276)</x:f>
        <x:v>1</x:v>
      </x:c>
    </x:row>
    <x:row r="277" ht="32" customHeight="1">
      <x:c r="A277" s="56" t="str">
        <x:v>4324</x:v>
      </x:c>
      <x:c r="B277" s="56" t="str">
        <x:v>10240</x:v>
      </x:c>
      <x:c r="C277" s="56" t="str">
        <x:v>8457</x:v>
      </x:c>
      <x:c r="D277" s="56" t="str">
        <x:v>Jalokoski Gabbro</x:v>
      </x:c>
      <x:c r="E277" s="56" t="str">
        <x:v>67.480003</x:v>
      </x:c>
      <x:c r="F277" s="56" t="str">
        <x:v>23.41</x:v>
      </x:c>
      <x:c r="G277" s="56" t="str"/>
      <x:c r="H277" s="56" t="str">
        <x:v>335.5</x:v>
      </x:c>
      <x:c r="I277" s="56" t="str">
        <x:v>41.400002</x:v>
      </x:c>
      <x:c r="J277" s="56" t="str">
        <x:v>44</x:v>
      </x:c>
      <x:c r="K277" s="56" t="str">
        <x:v>235.5</x:v>
      </x:c>
      <x:c r="L277" s="56" t="str">
        <x:v>V</x:v>
      </x:c>
      <x:c r="M277" s="59" t="str"/>
      <x:c r="N277" s="56" t="n">
        <x:f>--(LEN(M277)&gt;0)</x:f>
        <x:v>0</x:v>
      </x:c>
      <x:c r="O277" s="56" t="n">
        <x:v>1</x:v>
      </x:c>
      <x:c r="P277" s="56" t="n">
        <x:f>--(N277=O277)</x:f>
        <x:v>0</x:v>
      </x:c>
      <x:c r="Q277" s="56" t="str">
        <x:v>PRESENT</x:v>
      </x:c>
      <x:c r="R277" s="59" t="str">
        <x:v>HYST(MAGN,MAGH,TM)</x:v>
      </x:c>
      <x:c r="S277" s="59" t="str">
        <x:v>HYST(MAGN,MAGH,TM)</x:v>
      </x:c>
      <x:c r="T277" s="56" t="n">
        <x:f>--(Q277="PRESENT")</x:f>
        <x:v>1</x:v>
      </x:c>
      <x:c r="U277" s="56" t="n">
        <x:f>--(T277=N277)</x:f>
        <x:v>0</x:v>
      </x:c>
      <x:c r="V277" s="56" t="n">
        <x:f>--(T277=O277)</x:f>
        <x:v>1</x:v>
      </x:c>
      <x:c r="W277" s="56" t="n">
        <x:f>--(OR(Q277="PRESENT",Q277="ABSENT"))</x:f>
        <x:v>1</x:v>
      </x:c>
      <x:c r="X277" s="56" t="str">
        <x:v>MEDIUM</x:v>
      </x:c>
      <x:c r="Y277" s="56" t="str">
        <x:v>METADATA_UNIQUE</x:v>
      </x:c>
      <x:c r="Z277" s="57" t="b">
        <x:v>1</x:v>
      </x:c>
      <x:c r="AA277" s="57" t="b">
        <x:v>1</x:v>
      </x:c>
      <x:c r="AB277" s="56" t="n">
        <x:v>0</x:v>
      </x:c>
      <x:c r="AC277" s="56" t="str">
        <x:v>HYST</x:v>
      </x:c>
      <x:c r="AD277" s="56" t="str">
        <x:v>MAGN,MAGH,TM</x:v>
      </x:c>
      <x:c r="AE277" s="56" t="str">
        <x:v>SD,MD</x:v>
      </x:c>
      <x:c r="AF277" s="56" t="str">
        <x:v>4, 5</x:v>
      </x:c>
      <x:c r="AG277" s="59" t="str">
        <x:v>p.5: hysteresis | p.4: hysteresis | p.4: Hysteresis</x:v>
      </x:c>
      <x:c r="AH277" s="58" t="n">
        <x:v>0.8719263366820535</x:v>
      </x:c>
      <x:c r="AI277" s="56" t="n">
        <x:f>--(AH277&gt;=0.5)</x:f>
        <x:v>1</x:v>
      </x:c>
      <x:c r="AJ277" s="56" t="n">
        <x:f>--(AI277=O277)</x:f>
        <x:v>1</x:v>
      </x:c>
      <x:c r="AK277" s="58" t="n">
        <x:v>0.9187327199988418</x:v>
      </x:c>
      <x:c r="AL277" s="56" t="n">
        <x:f>--(AK277&gt;=0.5)</x:f>
        <x:v>1</x:v>
      </x:c>
      <x:c r="AM277" s="56" t="n">
        <x:f>--(AL277=O277)</x:f>
        <x:v>1</x:v>
      </x:c>
    </x:row>
    <x:row r="278" ht="32" customHeight="1">
      <x:c r="A278" s="56" t="str">
        <x:v>4324</x:v>
      </x:c>
      <x:c r="B278" s="56" t="str">
        <x:v>10241</x:v>
      </x:c>
      <x:c r="C278" s="56" t="str">
        <x:v>8458</x:v>
      </x:c>
      <x:c r="D278" s="56" t="str">
        <x:v>Nilsiä Lamprophyre Dyke</x:v>
      </x:c>
      <x:c r="E278" s="56" t="str">
        <x:v>63.18</x:v>
      </x:c>
      <x:c r="F278" s="56" t="str">
        <x:v>28.309999</x:v>
      </x:c>
      <x:c r="G278" s="56" t="str"/>
      <x:c r="H278" s="56" t="str">
        <x:v>343.10001</x:v>
      </x:c>
      <x:c r="I278" s="56" t="str">
        <x:v>41.099998</x:v>
      </x:c>
      <x:c r="J278" s="56" t="str">
        <x:v>48.799999</x:v>
      </x:c>
      <x:c r="K278" s="56" t="str">
        <x:v>232.10001</x:v>
      </x:c>
      <x:c r="L278" s="56" t="str">
        <x:v>V</x:v>
      </x:c>
      <x:c r="M278" s="59" t="str"/>
      <x:c r="N278" s="56" t="n">
        <x:f>--(LEN(M278)&gt;0)</x:f>
        <x:v>0</x:v>
      </x:c>
      <x:c r="O278" s="56" t="n">
        <x:v>0</x:v>
      </x:c>
      <x:c r="P278" s="56" t="n">
        <x:f>--(N278=O278)</x:f>
        <x:v>1</x:v>
      </x:c>
      <x:c r="Q278" s="56" t="str">
        <x:v>ABSTAIN_INSUFFICIENT</x:v>
      </x:c>
      <x:c r="R278" s="59" t="str"/>
      <x:c r="S278" s="59" t="str"/>
      <x:c r="T278" s="56" t="n">
        <x:f>--(Q278="PRESENT")</x:f>
        <x:v>0</x:v>
      </x:c>
      <x:c r="U278" s="56" t="n">
        <x:f>--(T278=N278)</x:f>
        <x:v>1</x:v>
      </x:c>
      <x:c r="V278" s="56" t="n">
        <x:f>--(T278=O278)</x:f>
        <x:v>1</x:v>
      </x:c>
      <x:c r="W278" s="56" t="n">
        <x:f>--(OR(Q278="PRESENT",Q278="ABSENT"))</x:f>
        <x:v>0</x:v>
      </x:c>
      <x:c r="X278" s="56" t="str">
        <x:v>LOW</x:v>
      </x:c>
      <x:c r="Y278" s="56" t="str">
        <x:v>PAPER_ROW_MATCH</x:v>
      </x:c>
      <x:c r="Z278" s="57" t="b">
        <x:v>1</x:v>
      </x:c>
      <x:c r="AA278" s="57" t="b">
        <x:v>1</x:v>
      </x:c>
      <x:c r="AB278" s="56" t="n">
        <x:v>0</x:v>
      </x:c>
      <x:c r="AC278" s="56" t="str"/>
      <x:c r="AD278" s="56" t="str"/>
      <x:c r="AE278" s="56" t="str"/>
      <x:c r="AF278" s="56" t="str">
        <x:v>5</x:v>
      </x:c>
      <x:c r="AG278" s="59" t="str">
        <x:v>p.5: ad- downward inclination ( D = 339 ◦, I = 44 ◦ with α95 = 5 ◦ and dition, their behaviour during AF demagnetization was typical for k = 106), similar to Ylivieska and Kiuruvesi gabbros (Figs 5 (titano)magnetite (Fig. 5 ). These curves indicate that the magnetic and 6 , Table 1 ). The remanent magnetization of the samples carrier is probably titanomagnetite with a low to medium Ti con- from the Mertuanoja gabbro behaved similarly to the samples tent. The dated 1790 ±3 Ma (Woodard et al. 2014 ) la</x:v>
      </x:c>
      <x:c r="AH278" s="58" t="n">
        <x:v>0.7566117545512007</x:v>
      </x:c>
      <x:c r="AI278" s="56" t="n">
        <x:f>--(AH278&gt;=0.5)</x:f>
        <x:v>1</x:v>
      </x:c>
      <x:c r="AJ278" s="56" t="n">
        <x:f>--(AI278=O278)</x:f>
        <x:v>0</x:v>
      </x:c>
      <x:c r="AK278" s="58" t="n">
        <x:v>0.49324982545958895</x:v>
      </x:c>
      <x:c r="AL278" s="56" t="n">
        <x:f>--(AK278&gt;=0.5)</x:f>
        <x:v>0</x:v>
      </x:c>
      <x:c r="AM278" s="56" t="n">
        <x:f>--(AL278=O278)</x:f>
        <x:v>1</x:v>
      </x:c>
    </x:row>
    <x:row r="279" ht="32" customHeight="1">
      <x:c r="A279" s="56" t="str">
        <x:v>4324</x:v>
      </x:c>
      <x:c r="B279" s="56" t="str">
        <x:v>10242</x:v>
      </x:c>
      <x:c r="C279" s="56" t="str">
        <x:v>8459</x:v>
      </x:c>
      <x:c r="D279" s="56" t="str">
        <x:v>Nilsiä Microtonalite Dykes</x:v>
      </x:c>
      <x:c r="E279" s="56" t="str">
        <x:v>63.139999</x:v>
      </x:c>
      <x:c r="F279" s="56" t="str">
        <x:v>28.23</x:v>
      </x:c>
      <x:c r="G279" s="56" t="str"/>
      <x:c r="H279" s="56" t="str">
        <x:v>345.10001</x:v>
      </x:c>
      <x:c r="I279" s="56" t="str">
        <x:v>35.400002</x:v>
      </x:c>
      <x:c r="J279" s="56" t="str">
        <x:v>45.299999</x:v>
      </x:c>
      <x:c r="K279" s="56" t="str">
        <x:v>228.39999</x:v>
      </x:c>
      <x:c r="L279" s="56" t="str">
        <x:v>V</x:v>
      </x:c>
      <x:c r="M279" s="59" t="str"/>
      <x:c r="N279" s="56" t="n">
        <x:f>--(LEN(M279)&gt;0)</x:f>
        <x:v>0</x:v>
      </x:c>
      <x:c r="O279" s="56" t="n">
        <x:v>0</x:v>
      </x:c>
      <x:c r="P279" s="56" t="n">
        <x:f>--(N279=O279)</x:f>
        <x:v>1</x:v>
      </x:c>
      <x:c r="Q279" s="56" t="str">
        <x:v>ABSTAIN_INSUFFICIENT</x:v>
      </x:c>
      <x:c r="R279" s="59" t="str"/>
      <x:c r="S279" s="59" t="str"/>
      <x:c r="T279" s="56" t="n">
        <x:f>--(Q279="PRESENT")</x:f>
        <x:v>0</x:v>
      </x:c>
      <x:c r="U279" s="56" t="n">
        <x:f>--(T279=N279)</x:f>
        <x:v>1</x:v>
      </x:c>
      <x:c r="V279" s="56" t="n">
        <x:f>--(T279=O279)</x:f>
        <x:v>1</x:v>
      </x:c>
      <x:c r="W279" s="56" t="n">
        <x:f>--(OR(Q279="PRESENT",Q279="ABSENT"))</x:f>
        <x:v>0</x:v>
      </x:c>
      <x:c r="X279" s="56" t="str">
        <x:v>LOW</x:v>
      </x:c>
      <x:c r="Y279" s="56" t="str">
        <x:v>PAPER_ROW_MATCH</x:v>
      </x:c>
      <x:c r="Z279" s="57" t="b">
        <x:v>1</x:v>
      </x:c>
      <x:c r="AA279" s="57" t="b">
        <x:v>1</x:v>
      </x:c>
      <x:c r="AB279" s="56" t="n">
        <x:v>0</x:v>
      </x:c>
      <x:c r="AC279" s="56" t="str"/>
      <x:c r="AD279" s="56" t="str"/>
      <x:c r="AE279" s="56" t="str"/>
      <x:c r="AF279" s="56" t="str">
        <x:v>5</x:v>
      </x:c>
      <x:c r="AG279" s="59" t="str">
        <x:v>p.5: ating SD magnetite (Fig. 5 ). AF demagnetized specimens dis- played typical coercivities of SD magnetite, with an MDF be- low 50 mT, and no sign of a higher coercivity component with 4.4 Pa laeomagnetic re sults fo r the Nilsi a¨ 1860–1790 Ma a different magnetization direction. Most of the samples from microtonalite and 1790 Ma lamprophyre dykes the Ylivieska gabbro displayed remanence with a viscous com- Palaeomagnetic data from 13 microtonalite dykes in the Nilsi a¨ study ponent, probably car</x:v>
      </x:c>
      <x:c r="AH279" s="58" t="n">
        <x:v>0.7556450010525864</x:v>
      </x:c>
      <x:c r="AI279" s="56" t="n">
        <x:f>--(AH279&gt;=0.5)</x:f>
        <x:v>1</x:v>
      </x:c>
      <x:c r="AJ279" s="56" t="n">
        <x:f>--(AI279=O279)</x:f>
        <x:v>0</x:v>
      </x:c>
      <x:c r="AK279" s="58" t="n">
        <x:v>0.48411225281828896</x:v>
      </x:c>
      <x:c r="AL279" s="56" t="n">
        <x:f>--(AK279&gt;=0.5)</x:f>
        <x:v>0</x:v>
      </x:c>
      <x:c r="AM279" s="56" t="n">
        <x:f>--(AL279=O279)</x:f>
        <x:v>1</x:v>
      </x:c>
    </x:row>
  </x:sheetData>
  <x:conditionalFormatting sqref="Q2:Q279">
    <x:cfRule type="containsText" dxfId="0" priority="1" operator="containsText" text="PRESENT"/>
    <x:cfRule type="containsText" dxfId="1" priority="2" operator="containsText" text="ABSTAIN"/>
  </x:conditionalFormatting>
  <x:conditionalFormatting sqref="V2:V279">
    <x:cfRule type="cellIs" dxfId="2" priority="3" operator="equal">
      <x:formula>0</x:formula>
    </x:cfRule>
  </x:conditionalFormatting>
  <x:pageMargins left="0.7" right="0.7" top="0.75" bottom="0.75" header="0.3" footer="0.3"/>
  <x:tableParts count="1">
    <x:tablePart xmlns:r="http://schemas.openxmlformats.org/officeDocument/2006/relationships" r:id="R8373b512e7f44c8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4" hidden="0" customWidth="1"/>
    <x:col min="3" max="3" width="14" hidden="0" customWidth="1"/>
    <x:col min="4" max="4" width="14" hidden="0" customWidth="1"/>
    <x:col min="5" max="5" width="19" hidden="0" customWidth="1"/>
    <x:col min="6" max="6" width="14" hidden="0" customWidth="1"/>
    <x:col min="7" max="7" width="14" hidden="0" customWidth="1"/>
    <x:col min="8" max="8" width="14" hidden="0" customWidth="1"/>
    <x:col min="9" max="9" width="18" hidden="0" customWidth="1"/>
    <x:col min="10" max="10" width="18" hidden="0" customWidth="1"/>
    <x:col min="11" max="11" width="18" hidden="0" customWidth="1"/>
    <x:col min="12" max="12" width="18" hidden="0" customWidth="1"/>
    <x:col min="13" max="13" width="14" hidden="0" customWidth="1"/>
    <x:col min="14" max="14" width="14" hidden="0" customWidth="1"/>
  </x:cols>
  <x:sheetData>
    <x:row r="1" ht="34" customHeight="1">
      <x:c r="A1" s="53" t="str">
        <x:v>REFNO</x:v>
      </x:c>
      <x:c r="B1" s="53" t="str">
        <x:v>目标数</x:v>
      </x:c>
      <x:c r="C1" s="53" t="str">
        <x:v>历史R3=0</x:v>
      </x:c>
      <x:c r="D1" s="53" t="str">
        <x:v>历史R3=1</x:v>
      </x:c>
      <x:c r="E1" s="53" t="str">
        <x:v>历史ROCKMAG非空</x:v>
      </x:c>
      <x:c r="F1" s="53" t="str">
        <x:v>预测非空</x:v>
      </x:c>
      <x:c r="G1" s="53" t="str">
        <x:v>明确判定</x:v>
      </x:c>
      <x:c r="H1" s="53" t="str">
        <x:v>拒判</x:v>
      </x:c>
      <x:c r="I1" s="53" t="str">
        <x:v>ROCKMAG存在正确</x:v>
      </x:c>
      <x:c r="J1" s="53" t="str">
        <x:v>直接R3正确</x:v>
      </x:c>
      <x:c r="K1" s="53" t="str">
        <x:v>原基线正确</x:v>
      </x:c>
      <x:c r="L1" s="53" t="str">
        <x:v>成对排序正确</x:v>
      </x:c>
      <x:c r="M1" s="53" t="str">
        <x:v>全目标R3正确</x:v>
      </x:c>
      <x:c r="N1" s="53" t="str">
        <x:v>恒定预测</x:v>
      </x:c>
    </x:row>
    <x:row r="2">
      <x:c r="A2" s="56" t="str">
        <x:v>1152</x:v>
      </x:c>
      <x:c r="B2" s="56" t="n">
        <x:v>4</x:v>
      </x:c>
      <x:c r="C2" s="56" t="n">
        <x:v>1</x:v>
      </x:c>
      <x:c r="D2" s="56" t="n">
        <x:v>3</x:v>
      </x:c>
      <x:c r="E2" s="56" t="n">
        <x:v>2</x:v>
      </x:c>
      <x:c r="F2" s="56" t="n">
        <x:v>2</x:v>
      </x:c>
      <x:c r="G2" s="56" t="n">
        <x:v>2</x:v>
      </x:c>
      <x:c r="H2" s="56" t="n">
        <x:v>2</x:v>
      </x:c>
      <x:c r="I2" s="56" t="n">
        <x:v>4</x:v>
      </x:c>
      <x:c r="J2" s="56" t="n">
        <x:v>3</x:v>
      </x:c>
      <x:c r="K2" s="56" t="n">
        <x:v>3</x:v>
      </x:c>
      <x:c r="L2" s="56" t="n">
        <x:v>3</x:v>
      </x:c>
      <x:c r="M2" s="56" t="n">
        <x:v>0</x:v>
      </x:c>
      <x:c r="N2" s="56" t="n">
        <x:v>0</x:v>
      </x:c>
    </x:row>
    <x:row r="3">
      <x:c r="A3" s="56" t="str">
        <x:v>1161</x:v>
      </x:c>
      <x:c r="B3" s="56" t="n">
        <x:v>4</x:v>
      </x:c>
      <x:c r="C3" s="56" t="n">
        <x:v>1</x:v>
      </x:c>
      <x:c r="D3" s="56" t="n">
        <x:v>3</x:v>
      </x:c>
      <x:c r="E3" s="56" t="n">
        <x:v>4</x:v>
      </x:c>
      <x:c r="F3" s="56" t="n">
        <x:v>1</x:v>
      </x:c>
      <x:c r="G3" s="56" t="n">
        <x:v>2</x:v>
      </x:c>
      <x:c r="H3" s="56" t="n">
        <x:v>2</x:v>
      </x:c>
      <x:c r="I3" s="56" t="n">
        <x:v>1</x:v>
      </x:c>
      <x:c r="J3" s="56" t="n">
        <x:v>2</x:v>
      </x:c>
      <x:c r="K3" s="56" t="n">
        <x:v>3</x:v>
      </x:c>
      <x:c r="L3" s="56" t="n">
        <x:v>3</x:v>
      </x:c>
      <x:c r="M3" s="56" t="n">
        <x:v>0</x:v>
      </x:c>
      <x:c r="N3" s="56" t="n">
        <x:v>0</x:v>
      </x:c>
    </x:row>
    <x:row r="4">
      <x:c r="A4" s="56" t="str">
        <x:v>1162</x:v>
      </x:c>
      <x:c r="B4" s="56" t="n">
        <x:v>9</x:v>
      </x:c>
      <x:c r="C4" s="56" t="n">
        <x:v>2</x:v>
      </x:c>
      <x:c r="D4" s="56" t="n">
        <x:v>7</x:v>
      </x:c>
      <x:c r="E4" s="56" t="n">
        <x:v>7</x:v>
      </x:c>
      <x:c r="F4" s="56" t="n">
        <x:v>9</x:v>
      </x:c>
      <x:c r="G4" s="56" t="n">
        <x:v>9</x:v>
      </x:c>
      <x:c r="H4" s="56" t="n">
        <x:v>0</x:v>
      </x:c>
      <x:c r="I4" s="56" t="n">
        <x:v>7</x:v>
      </x:c>
      <x:c r="J4" s="56" t="n">
        <x:v>7</x:v>
      </x:c>
      <x:c r="K4" s="56" t="n">
        <x:v>2</x:v>
      </x:c>
      <x:c r="L4" s="56" t="n">
        <x:v>4</x:v>
      </x:c>
      <x:c r="M4" s="56" t="n">
        <x:v>0</x:v>
      </x:c>
      <x:c r="N4" s="56" t="n">
        <x:v>1</x:v>
      </x:c>
    </x:row>
    <x:row r="5">
      <x:c r="A5" s="56" t="str">
        <x:v>1170</x:v>
      </x:c>
      <x:c r="B5" s="56" t="n">
        <x:v>2</x:v>
      </x:c>
      <x:c r="C5" s="56" t="n">
        <x:v>1</x:v>
      </x:c>
      <x:c r="D5" s="56" t="n">
        <x:v>1</x:v>
      </x:c>
      <x:c r="E5" s="56" t="n">
        <x:v>1</x:v>
      </x:c>
      <x:c r="F5" s="56" t="n">
        <x:v>1</x:v>
      </x:c>
      <x:c r="G5" s="56" t="n">
        <x:v>1</x:v>
      </x:c>
      <x:c r="H5" s="56" t="n">
        <x:v>1</x:v>
      </x:c>
      <x:c r="I5" s="56" t="n">
        <x:v>2</x:v>
      </x:c>
      <x:c r="J5" s="56" t="n">
        <x:v>2</x:v>
      </x:c>
      <x:c r="K5" s="56" t="n">
        <x:v>1</x:v>
      </x:c>
      <x:c r="L5" s="56" t="n">
        <x:v>1</x:v>
      </x:c>
      <x:c r="M5" s="56" t="n">
        <x:v>1</x:v>
      </x:c>
      <x:c r="N5" s="56" t="n">
        <x:v>0</x:v>
      </x:c>
    </x:row>
    <x:row r="6">
      <x:c r="A6" s="56" t="str">
        <x:v>1177</x:v>
      </x:c>
      <x:c r="B6" s="56" t="n">
        <x:v>6</x:v>
      </x:c>
      <x:c r="C6" s="56" t="n">
        <x:v>4</x:v>
      </x:c>
      <x:c r="D6" s="56" t="n">
        <x:v>2</x:v>
      </x:c>
      <x:c r="E6" s="56" t="n">
        <x:v>2</x:v>
      </x:c>
      <x:c r="F6" s="56" t="n">
        <x:v>3</x:v>
      </x:c>
      <x:c r="G6" s="56" t="n">
        <x:v>3</x:v>
      </x:c>
      <x:c r="H6" s="56" t="n">
        <x:v>3</x:v>
      </x:c>
      <x:c r="I6" s="56" t="n">
        <x:v>5</x:v>
      </x:c>
      <x:c r="J6" s="56" t="n">
        <x:v>5</x:v>
      </x:c>
      <x:c r="K6" s="56" t="n">
        <x:v>4</x:v>
      </x:c>
      <x:c r="L6" s="56" t="n">
        <x:v>4</x:v>
      </x:c>
      <x:c r="M6" s="56" t="n">
        <x:v>0</x:v>
      </x:c>
      <x:c r="N6" s="56" t="n">
        <x:v>0</x:v>
      </x:c>
    </x:row>
    <x:row r="7">
      <x:c r="A7" s="56" t="str">
        <x:v>1187</x:v>
      </x:c>
      <x:c r="B7" s="56" t="n">
        <x:v>7</x:v>
      </x:c>
      <x:c r="C7" s="56" t="n">
        <x:v>1</x:v>
      </x:c>
      <x:c r="D7" s="56" t="n">
        <x:v>6</x:v>
      </x:c>
      <x:c r="E7" s="56" t="n">
        <x:v>6</x:v>
      </x:c>
      <x:c r="F7" s="56" t="n">
        <x:v>5</x:v>
      </x:c>
      <x:c r="G7" s="56" t="n">
        <x:v>5</x:v>
      </x:c>
      <x:c r="H7" s="56" t="n">
        <x:v>2</x:v>
      </x:c>
      <x:c r="I7" s="56" t="n">
        <x:v>4</x:v>
      </x:c>
      <x:c r="J7" s="56" t="n">
        <x:v>4</x:v>
      </x:c>
      <x:c r="K7" s="56" t="n">
        <x:v>6</x:v>
      </x:c>
      <x:c r="L7" s="56" t="n">
        <x:v>6</x:v>
      </x:c>
      <x:c r="M7" s="56" t="n">
        <x:v>0</x:v>
      </x:c>
      <x:c r="N7" s="56" t="n">
        <x:v>0</x:v>
      </x:c>
    </x:row>
    <x:row r="8">
      <x:c r="A8" s="56" t="str">
        <x:v>1224</x:v>
      </x:c>
      <x:c r="B8" s="56" t="n">
        <x:v>3</x:v>
      </x:c>
      <x:c r="C8" s="56" t="n">
        <x:v>1</x:v>
      </x:c>
      <x:c r="D8" s="56" t="n">
        <x:v>2</x:v>
      </x:c>
      <x:c r="E8" s="56" t="n">
        <x:v>2</x:v>
      </x:c>
      <x:c r="F8" s="56" t="n">
        <x:v>1</x:v>
      </x:c>
      <x:c r="G8" s="56" t="n">
        <x:v>1</x:v>
      </x:c>
      <x:c r="H8" s="56" t="n">
        <x:v>2</x:v>
      </x:c>
      <x:c r="I8" s="56" t="n">
        <x:v>0</x:v>
      </x:c>
      <x:c r="J8" s="56" t="n">
        <x:v>0</x:v>
      </x:c>
      <x:c r="K8" s="56" t="n">
        <x:v>1</x:v>
      </x:c>
      <x:c r="L8" s="56" t="n">
        <x:v>1</x:v>
      </x:c>
      <x:c r="M8" s="56" t="n">
        <x:v>0</x:v>
      </x:c>
      <x:c r="N8" s="56" t="n">
        <x:v>0</x:v>
      </x:c>
    </x:row>
    <x:row r="9">
      <x:c r="A9" s="56" t="str">
        <x:v>1278</x:v>
      </x:c>
      <x:c r="B9" s="56" t="n">
        <x:v>4</x:v>
      </x:c>
      <x:c r="C9" s="56" t="n">
        <x:v>2</x:v>
      </x:c>
      <x:c r="D9" s="56" t="n">
        <x:v>2</x:v>
      </x:c>
      <x:c r="E9" s="56" t="n">
        <x:v>2</x:v>
      </x:c>
      <x:c r="F9" s="56" t="n">
        <x:v>4</x:v>
      </x:c>
      <x:c r="G9" s="56" t="n">
        <x:v>4</x:v>
      </x:c>
      <x:c r="H9" s="56" t="n">
        <x:v>0</x:v>
      </x:c>
      <x:c r="I9" s="56" t="n">
        <x:v>2</x:v>
      </x:c>
      <x:c r="J9" s="56" t="n">
        <x:v>2</x:v>
      </x:c>
      <x:c r="K9" s="56" t="n">
        <x:v>2</x:v>
      </x:c>
      <x:c r="L9" s="56" t="n">
        <x:v>2</x:v>
      </x:c>
      <x:c r="M9" s="56" t="n">
        <x:v>0</x:v>
      </x:c>
      <x:c r="N9" s="56" t="n">
        <x:v>1</x:v>
      </x:c>
    </x:row>
    <x:row r="10">
      <x:c r="A10" s="56" t="str">
        <x:v>1599</x:v>
      </x:c>
      <x:c r="B10" s="56" t="n">
        <x:v>2</x:v>
      </x:c>
      <x:c r="C10" s="56" t="n">
        <x:v>1</x:v>
      </x:c>
      <x:c r="D10" s="56" t="n">
        <x:v>1</x:v>
      </x:c>
      <x:c r="E10" s="56" t="n">
        <x:v>2</x:v>
      </x:c>
      <x:c r="F10" s="56" t="n">
        <x:v>2</x:v>
      </x:c>
      <x:c r="G10" s="56" t="n">
        <x:v>2</x:v>
      </x:c>
      <x:c r="H10" s="56" t="n">
        <x:v>0</x:v>
      </x:c>
      <x:c r="I10" s="56" t="n">
        <x:v>2</x:v>
      </x:c>
      <x:c r="J10" s="56" t="n">
        <x:v>1</x:v>
      </x:c>
      <x:c r="K10" s="56" t="n">
        <x:v>1</x:v>
      </x:c>
      <x:c r="L10" s="56" t="n">
        <x:v>1</x:v>
      </x:c>
      <x:c r="M10" s="56" t="n">
        <x:v>0</x:v>
      </x:c>
      <x:c r="N10" s="56" t="n">
        <x:v>1</x:v>
      </x:c>
    </x:row>
    <x:row r="11">
      <x:c r="A11" s="56" t="str">
        <x:v>1900</x:v>
      </x:c>
      <x:c r="B11" s="56" t="n">
        <x:v>2</x:v>
      </x:c>
      <x:c r="C11" s="56" t="n">
        <x:v>1</x:v>
      </x:c>
      <x:c r="D11" s="56" t="n">
        <x:v>1</x:v>
      </x:c>
      <x:c r="E11" s="56" t="n">
        <x:v>1</x:v>
      </x:c>
      <x:c r="F11" s="56" t="n">
        <x:v>1</x:v>
      </x:c>
      <x:c r="G11" s="56" t="n">
        <x:v>1</x:v>
      </x:c>
      <x:c r="H11" s="56" t="n">
        <x:v>1</x:v>
      </x:c>
      <x:c r="I11" s="56" t="n">
        <x:v>2</x:v>
      </x:c>
      <x:c r="J11" s="56" t="n">
        <x:v>2</x:v>
      </x:c>
      <x:c r="K11" s="56" t="n">
        <x:v>1</x:v>
      </x:c>
      <x:c r="L11" s="56" t="n">
        <x:v>1</x:v>
      </x:c>
      <x:c r="M11" s="56" t="n">
        <x:v>1</x:v>
      </x:c>
      <x:c r="N11" s="56" t="n">
        <x:v>0</x:v>
      </x:c>
    </x:row>
    <x:row r="12">
      <x:c r="A12" s="56" t="str">
        <x:v>1064</x:v>
      </x:c>
      <x:c r="B12" s="56" t="n">
        <x:v>6</x:v>
      </x:c>
      <x:c r="C12" s="56" t="n">
        <x:v>2</x:v>
      </x:c>
      <x:c r="D12" s="56" t="n">
        <x:v>4</x:v>
      </x:c>
      <x:c r="E12" s="56" t="n">
        <x:v>4</x:v>
      </x:c>
      <x:c r="F12" s="56" t="n">
        <x:v>2</x:v>
      </x:c>
      <x:c r="G12" s="56" t="n">
        <x:v>2</x:v>
      </x:c>
      <x:c r="H12" s="56" t="n">
        <x:v>4</x:v>
      </x:c>
      <x:c r="I12" s="56" t="n">
        <x:v>2</x:v>
      </x:c>
      <x:c r="J12" s="56" t="n">
        <x:v>2</x:v>
      </x:c>
      <x:c r="K12" s="56" t="n">
        <x:v>2</x:v>
      </x:c>
      <x:c r="L12" s="56" t="n">
        <x:v>2</x:v>
      </x:c>
      <x:c r="M12" s="56" t="n">
        <x:v>0</x:v>
      </x:c>
      <x:c r="N12" s="56" t="n">
        <x:v>0</x:v>
      </x:c>
    </x:row>
    <x:row r="13">
      <x:c r="A13" s="56" t="str">
        <x:v>739</x:v>
      </x:c>
      <x:c r="B13" s="56" t="n">
        <x:v>2</x:v>
      </x:c>
      <x:c r="C13" s="56" t="n">
        <x:v>1</x:v>
      </x:c>
      <x:c r="D13" s="56" t="n">
        <x:v>1</x:v>
      </x:c>
      <x:c r="E13" s="56" t="n">
        <x:v>1</x:v>
      </x:c>
      <x:c r="F13" s="56" t="n">
        <x:v>1</x:v>
      </x:c>
      <x:c r="G13" s="56" t="n">
        <x:v>1</x:v>
      </x:c>
      <x:c r="H13" s="56" t="n">
        <x:v>1</x:v>
      </x:c>
      <x:c r="I13" s="56" t="n">
        <x:v>2</x:v>
      </x:c>
      <x:c r="J13" s="56" t="n">
        <x:v>2</x:v>
      </x:c>
      <x:c r="K13" s="56" t="n">
        <x:v>1</x:v>
      </x:c>
      <x:c r="L13" s="56" t="n">
        <x:v>1</x:v>
      </x:c>
      <x:c r="M13" s="56" t="n">
        <x:v>1</x:v>
      </x:c>
      <x:c r="N13" s="56" t="n">
        <x:v>0</x:v>
      </x:c>
    </x:row>
    <x:row r="14">
      <x:c r="A14" s="56" t="str">
        <x:v>252</x:v>
      </x:c>
      <x:c r="B14" s="56" t="n">
        <x:v>3</x:v>
      </x:c>
      <x:c r="C14" s="56" t="n">
        <x:v>1</x:v>
      </x:c>
      <x:c r="D14" s="56" t="n">
        <x:v>2</x:v>
      </x:c>
      <x:c r="E14" s="56" t="n">
        <x:v>2</x:v>
      </x:c>
      <x:c r="F14" s="56" t="n">
        <x:v>3</x:v>
      </x:c>
      <x:c r="G14" s="56" t="n">
        <x:v>3</x:v>
      </x:c>
      <x:c r="H14" s="56" t="n">
        <x:v>0</x:v>
      </x:c>
      <x:c r="I14" s="56" t="n">
        <x:v>2</x:v>
      </x:c>
      <x:c r="J14" s="56" t="n">
        <x:v>2</x:v>
      </x:c>
      <x:c r="K14" s="56" t="n">
        <x:v>2</x:v>
      </x:c>
      <x:c r="L14" s="56" t="n">
        <x:v>2</x:v>
      </x:c>
      <x:c r="M14" s="56" t="n">
        <x:v>0</x:v>
      </x:c>
      <x:c r="N14" s="56" t="n">
        <x:v>1</x:v>
      </x:c>
    </x:row>
    <x:row r="15">
      <x:c r="A15" s="56" t="str">
        <x:v>2238</x:v>
      </x:c>
      <x:c r="B15" s="56" t="n">
        <x:v>6</x:v>
      </x:c>
      <x:c r="C15" s="56" t="n">
        <x:v>4</x:v>
      </x:c>
      <x:c r="D15" s="56" t="n">
        <x:v>2</x:v>
      </x:c>
      <x:c r="E15" s="56" t="n">
        <x:v>0</x:v>
      </x:c>
      <x:c r="F15" s="56" t="n">
        <x:v>0</x:v>
      </x:c>
      <x:c r="G15" s="56" t="n">
        <x:v>0</x:v>
      </x:c>
      <x:c r="H15" s="56" t="n">
        <x:v>6</x:v>
      </x:c>
      <x:c r="I15" s="56" t="n">
        <x:v>6</x:v>
      </x:c>
      <x:c r="J15" s="56" t="n">
        <x:v>4</x:v>
      </x:c>
      <x:c r="K15" s="56" t="n">
        <x:v>4</x:v>
      </x:c>
      <x:c r="L15" s="56" t="n">
        <x:v>4</x:v>
      </x:c>
      <x:c r="M15" s="56" t="n">
        <x:v>0</x:v>
      </x:c>
      <x:c r="N15" s="56" t="n">
        <x:v>1</x:v>
      </x:c>
    </x:row>
    <x:row r="16">
      <x:c r="A16" s="56" t="str">
        <x:v>2483</x:v>
      </x:c>
      <x:c r="B16" s="56" t="n">
        <x:v>3</x:v>
      </x:c>
      <x:c r="C16" s="56" t="n">
        <x:v>1</x:v>
      </x:c>
      <x:c r="D16" s="56" t="n">
        <x:v>2</x:v>
      </x:c>
      <x:c r="E16" s="56" t="n">
        <x:v>2</x:v>
      </x:c>
      <x:c r="F16" s="56" t="n">
        <x:v>3</x:v>
      </x:c>
      <x:c r="G16" s="56" t="n">
        <x:v>3</x:v>
      </x:c>
      <x:c r="H16" s="56" t="n">
        <x:v>0</x:v>
      </x:c>
      <x:c r="I16" s="56" t="n">
        <x:v>2</x:v>
      </x:c>
      <x:c r="J16" s="56" t="n">
        <x:v>2</x:v>
      </x:c>
      <x:c r="K16" s="56" t="n">
        <x:v>2</x:v>
      </x:c>
      <x:c r="L16" s="56" t="n">
        <x:v>2</x:v>
      </x:c>
      <x:c r="M16" s="56" t="n">
        <x:v>0</x:v>
      </x:c>
      <x:c r="N16" s="56" t="n">
        <x:v>1</x:v>
      </x:c>
    </x:row>
    <x:row r="17">
      <x:c r="A17" s="56" t="str">
        <x:v>2850</x:v>
      </x:c>
      <x:c r="B17" s="56" t="n">
        <x:v>24</x:v>
      </x:c>
      <x:c r="C17" s="56" t="n">
        <x:v>23</x:v>
      </x:c>
      <x:c r="D17" s="56" t="n">
        <x:v>1</x:v>
      </x:c>
      <x:c r="E17" s="56" t="n">
        <x:v>1</x:v>
      </x:c>
      <x:c r="F17" s="56" t="n">
        <x:v>5</x:v>
      </x:c>
      <x:c r="G17" s="56" t="n">
        <x:v>5</x:v>
      </x:c>
      <x:c r="H17" s="56" t="n">
        <x:v>19</x:v>
      </x:c>
      <x:c r="I17" s="56" t="n">
        <x:v>18</x:v>
      </x:c>
      <x:c r="J17" s="56" t="n">
        <x:v>18</x:v>
      </x:c>
      <x:c r="K17" s="56" t="n">
        <x:v>1</x:v>
      </x:c>
      <x:c r="L17" s="56" t="n">
        <x:v>11</x:v>
      </x:c>
      <x:c r="M17" s="56" t="n">
        <x:v>0</x:v>
      </x:c>
      <x:c r="N17" s="56" t="n">
        <x:v>0</x:v>
      </x:c>
    </x:row>
    <x:row r="18">
      <x:c r="A18" s="56" t="str">
        <x:v>2939</x:v>
      </x:c>
      <x:c r="B18" s="56" t="n">
        <x:v>2</x:v>
      </x:c>
      <x:c r="C18" s="56" t="n">
        <x:v>1</x:v>
      </x:c>
      <x:c r="D18" s="56" t="n">
        <x:v>1</x:v>
      </x:c>
      <x:c r="E18" s="56" t="n">
        <x:v>1</x:v>
      </x:c>
      <x:c r="F18" s="56" t="n">
        <x:v>2</x:v>
      </x:c>
      <x:c r="G18" s="56" t="n">
        <x:v>2</x:v>
      </x:c>
      <x:c r="H18" s="56" t="n">
        <x:v>0</x:v>
      </x:c>
      <x:c r="I18" s="56" t="n">
        <x:v>1</x:v>
      </x:c>
      <x:c r="J18" s="56" t="n">
        <x:v>1</x:v>
      </x:c>
      <x:c r="K18" s="56" t="n">
        <x:v>1</x:v>
      </x:c>
      <x:c r="L18" s="56" t="n">
        <x:v>1</x:v>
      </x:c>
      <x:c r="M18" s="56" t="n">
        <x:v>0</x:v>
      </x:c>
      <x:c r="N18" s="56" t="n">
        <x:v>1</x:v>
      </x:c>
    </x:row>
    <x:row r="19">
      <x:c r="A19" s="56" t="str">
        <x:v>3024</x:v>
      </x:c>
      <x:c r="B19" s="56" t="n">
        <x:v>3</x:v>
      </x:c>
      <x:c r="C19" s="56" t="n">
        <x:v>2</x:v>
      </x:c>
      <x:c r="D19" s="56" t="n">
        <x:v>1</x:v>
      </x:c>
      <x:c r="E19" s="56" t="n">
        <x:v>1</x:v>
      </x:c>
      <x:c r="F19" s="56" t="n">
        <x:v>0</x:v>
      </x:c>
      <x:c r="G19" s="56" t="n">
        <x:v>1</x:v>
      </x:c>
      <x:c r="H19" s="56" t="n">
        <x:v>2</x:v>
      </x:c>
      <x:c r="I19" s="56" t="n">
        <x:v>2</x:v>
      </x:c>
      <x:c r="J19" s="56" t="n">
        <x:v>2</x:v>
      </x:c>
      <x:c r="K19" s="56" t="n">
        <x:v>2</x:v>
      </x:c>
      <x:c r="L19" s="56" t="n">
        <x:v>2</x:v>
      </x:c>
      <x:c r="M19" s="56" t="n">
        <x:v>0</x:v>
      </x:c>
      <x:c r="N19" s="56" t="n">
        <x:v>1</x:v>
      </x:c>
    </x:row>
    <x:row r="20">
      <x:c r="A20" s="56" t="str">
        <x:v>3032</x:v>
      </x:c>
      <x:c r="B20" s="56" t="n">
        <x:v>2</x:v>
      </x:c>
      <x:c r="C20" s="56" t="n">
        <x:v>1</x:v>
      </x:c>
      <x:c r="D20" s="56" t="n">
        <x:v>1</x:v>
      </x:c>
      <x:c r="E20" s="56" t="n">
        <x:v>0</x:v>
      </x:c>
      <x:c r="F20" s="56" t="n">
        <x:v>2</x:v>
      </x:c>
      <x:c r="G20" s="56" t="n">
        <x:v>2</x:v>
      </x:c>
      <x:c r="H20" s="56" t="n">
        <x:v>0</x:v>
      </x:c>
      <x:c r="I20" s="56" t="n">
        <x:v>0</x:v>
      </x:c>
      <x:c r="J20" s="56" t="n">
        <x:v>1</x:v>
      </x:c>
      <x:c r="K20" s="56" t="n">
        <x:v>1</x:v>
      </x:c>
      <x:c r="L20" s="56" t="n">
        <x:v>1</x:v>
      </x:c>
      <x:c r="M20" s="56" t="n">
        <x:v>0</x:v>
      </x:c>
      <x:c r="N20" s="56" t="n">
        <x:v>1</x:v>
      </x:c>
    </x:row>
    <x:row r="21">
      <x:c r="A21" s="56" t="str">
        <x:v>3064</x:v>
      </x:c>
      <x:c r="B21" s="56" t="n">
        <x:v>5</x:v>
      </x:c>
      <x:c r="C21" s="56" t="n">
        <x:v>1</x:v>
      </x:c>
      <x:c r="D21" s="56" t="n">
        <x:v>4</x:v>
      </x:c>
      <x:c r="E21" s="56" t="n">
        <x:v>4</x:v>
      </x:c>
      <x:c r="F21" s="56" t="n">
        <x:v>3</x:v>
      </x:c>
      <x:c r="G21" s="56" t="n">
        <x:v>4</x:v>
      </x:c>
      <x:c r="H21" s="56" t="n">
        <x:v>1</x:v>
      </x:c>
      <x:c r="I21" s="56" t="n">
        <x:v>4</x:v>
      </x:c>
      <x:c r="J21" s="56" t="n">
        <x:v>4</x:v>
      </x:c>
      <x:c r="K21" s="56" t="n">
        <x:v>4</x:v>
      </x:c>
      <x:c r="L21" s="56" t="n">
        <x:v>4</x:v>
      </x:c>
      <x:c r="M21" s="56" t="n">
        <x:v>0</x:v>
      </x:c>
      <x:c r="N21" s="56" t="n">
        <x:v>0</x:v>
      </x:c>
    </x:row>
    <x:row r="22">
      <x:c r="A22" s="56" t="str">
        <x:v>3098</x:v>
      </x:c>
      <x:c r="B22" s="56" t="n">
        <x:v>2</x:v>
      </x:c>
      <x:c r="C22" s="56" t="n">
        <x:v>1</x:v>
      </x:c>
      <x:c r="D22" s="56" t="n">
        <x:v>1</x:v>
      </x:c>
      <x:c r="E22" s="56" t="n">
        <x:v>1</x:v>
      </x:c>
      <x:c r="F22" s="56" t="n">
        <x:v>0</x:v>
      </x:c>
      <x:c r="G22" s="56" t="n">
        <x:v>1</x:v>
      </x:c>
      <x:c r="H22" s="56" t="n">
        <x:v>1</x:v>
      </x:c>
      <x:c r="I22" s="56" t="n">
        <x:v>1</x:v>
      </x:c>
      <x:c r="J22" s="56" t="n">
        <x:v>1</x:v>
      </x:c>
      <x:c r="K22" s="56" t="n">
        <x:v>1</x:v>
      </x:c>
      <x:c r="L22" s="56" t="n">
        <x:v>1</x:v>
      </x:c>
      <x:c r="M22" s="56" t="n">
        <x:v>0</x:v>
      </x:c>
      <x:c r="N22" s="56" t="n">
        <x:v>1</x:v>
      </x:c>
    </x:row>
    <x:row r="23">
      <x:c r="A23" s="56" t="str">
        <x:v>3110</x:v>
      </x:c>
      <x:c r="B23" s="56" t="n">
        <x:v>3</x:v>
      </x:c>
      <x:c r="C23" s="56" t="n">
        <x:v>2</x:v>
      </x:c>
      <x:c r="D23" s="56" t="n">
        <x:v>1</x:v>
      </x:c>
      <x:c r="E23" s="56" t="n">
        <x:v>1</x:v>
      </x:c>
      <x:c r="F23" s="56" t="n">
        <x:v>3</x:v>
      </x:c>
      <x:c r="G23" s="56" t="n">
        <x:v>3</x:v>
      </x:c>
      <x:c r="H23" s="56" t="n">
        <x:v>0</x:v>
      </x:c>
      <x:c r="I23" s="56" t="n">
        <x:v>1</x:v>
      </x:c>
      <x:c r="J23" s="56" t="n">
        <x:v>1</x:v>
      </x:c>
      <x:c r="K23" s="56" t="n">
        <x:v>1</x:v>
      </x:c>
      <x:c r="L23" s="56" t="n">
        <x:v>1</x:v>
      </x:c>
      <x:c r="M23" s="56" t="n">
        <x:v>0</x:v>
      </x:c>
      <x:c r="N23" s="56" t="n">
        <x:v>1</x:v>
      </x:c>
    </x:row>
    <x:row r="24">
      <x:c r="A24" s="56" t="str">
        <x:v>3132</x:v>
      </x:c>
      <x:c r="B24" s="56" t="n">
        <x:v>3</x:v>
      </x:c>
      <x:c r="C24" s="56" t="n">
        <x:v>2</x:v>
      </x:c>
      <x:c r="D24" s="56" t="n">
        <x:v>1</x:v>
      </x:c>
      <x:c r="E24" s="56" t="n">
        <x:v>1</x:v>
      </x:c>
      <x:c r="F24" s="56" t="n">
        <x:v>1</x:v>
      </x:c>
      <x:c r="G24" s="56" t="n">
        <x:v>1</x:v>
      </x:c>
      <x:c r="H24" s="56" t="n">
        <x:v>2</x:v>
      </x:c>
      <x:c r="I24" s="56" t="n">
        <x:v>1</x:v>
      </x:c>
      <x:c r="J24" s="56" t="n">
        <x:v>1</x:v>
      </x:c>
      <x:c r="K24" s="56" t="n">
        <x:v>1</x:v>
      </x:c>
      <x:c r="L24" s="56" t="n">
        <x:v>1</x:v>
      </x:c>
      <x:c r="M24" s="56" t="n">
        <x:v>0</x:v>
      </x:c>
      <x:c r="N24" s="56" t="n">
        <x:v>0</x:v>
      </x:c>
    </x:row>
    <x:row r="25">
      <x:c r="A25" s="56" t="str">
        <x:v>3162</x:v>
      </x:c>
      <x:c r="B25" s="56" t="n">
        <x:v>4</x:v>
      </x:c>
      <x:c r="C25" s="56" t="n">
        <x:v>1</x:v>
      </x:c>
      <x:c r="D25" s="56" t="n">
        <x:v>3</x:v>
      </x:c>
      <x:c r="E25" s="56" t="n">
        <x:v>3</x:v>
      </x:c>
      <x:c r="F25" s="56" t="n">
        <x:v>4</x:v>
      </x:c>
      <x:c r="G25" s="56" t="n">
        <x:v>4</x:v>
      </x:c>
      <x:c r="H25" s="56" t="n">
        <x:v>0</x:v>
      </x:c>
      <x:c r="I25" s="56" t="n">
        <x:v>3</x:v>
      </x:c>
      <x:c r="J25" s="56" t="n">
        <x:v>3</x:v>
      </x:c>
      <x:c r="K25" s="56" t="n">
        <x:v>3</x:v>
      </x:c>
      <x:c r="L25" s="56" t="n">
        <x:v>3</x:v>
      </x:c>
      <x:c r="M25" s="56" t="n">
        <x:v>0</x:v>
      </x:c>
      <x:c r="N25" s="56" t="n">
        <x:v>1</x:v>
      </x:c>
    </x:row>
    <x:row r="26">
      <x:c r="A26" s="56" t="str">
        <x:v>3180</x:v>
      </x:c>
      <x:c r="B26" s="56" t="n">
        <x:v>5</x:v>
      </x:c>
      <x:c r="C26" s="56" t="n">
        <x:v>1</x:v>
      </x:c>
      <x:c r="D26" s="56" t="n">
        <x:v>4</x:v>
      </x:c>
      <x:c r="E26" s="56" t="n">
        <x:v>4</x:v>
      </x:c>
      <x:c r="F26" s="56" t="n">
        <x:v>0</x:v>
      </x:c>
      <x:c r="G26" s="56" t="n">
        <x:v>0</x:v>
      </x:c>
      <x:c r="H26" s="56" t="n">
        <x:v>5</x:v>
      </x:c>
      <x:c r="I26" s="56" t="n">
        <x:v>1</x:v>
      </x:c>
      <x:c r="J26" s="56" t="n">
        <x:v>1</x:v>
      </x:c>
      <x:c r="K26" s="56" t="n">
        <x:v>4</x:v>
      </x:c>
      <x:c r="L26" s="56" t="n">
        <x:v>4</x:v>
      </x:c>
      <x:c r="M26" s="56" t="n">
        <x:v>0</x:v>
      </x:c>
      <x:c r="N26" s="56" t="n">
        <x:v>1</x:v>
      </x:c>
    </x:row>
    <x:row r="27">
      <x:c r="A27" s="56" t="str">
        <x:v>3236</x:v>
      </x:c>
      <x:c r="B27" s="56" t="n">
        <x:v>2</x:v>
      </x:c>
      <x:c r="C27" s="56" t="n">
        <x:v>1</x:v>
      </x:c>
      <x:c r="D27" s="56" t="n">
        <x:v>1</x:v>
      </x:c>
      <x:c r="E27" s="56" t="n">
        <x:v>1</x:v>
      </x:c>
      <x:c r="F27" s="56" t="n">
        <x:v>2</x:v>
      </x:c>
      <x:c r="G27" s="56" t="n">
        <x:v>2</x:v>
      </x:c>
      <x:c r="H27" s="56" t="n">
        <x:v>0</x:v>
      </x:c>
      <x:c r="I27" s="56" t="n">
        <x:v>1</x:v>
      </x:c>
      <x:c r="J27" s="56" t="n">
        <x:v>1</x:v>
      </x:c>
      <x:c r="K27" s="56" t="n">
        <x:v>1</x:v>
      </x:c>
      <x:c r="L27" s="56" t="n">
        <x:v>1</x:v>
      </x:c>
      <x:c r="M27" s="56" t="n">
        <x:v>0</x:v>
      </x:c>
      <x:c r="N27" s="56" t="n">
        <x:v>1</x:v>
      </x:c>
    </x:row>
    <x:row r="28">
      <x:c r="A28" s="56" t="str">
        <x:v>3290</x:v>
      </x:c>
      <x:c r="B28" s="56" t="n">
        <x:v>2</x:v>
      </x:c>
      <x:c r="C28" s="56" t="n">
        <x:v>1</x:v>
      </x:c>
      <x:c r="D28" s="56" t="n">
        <x:v>1</x:v>
      </x:c>
      <x:c r="E28" s="56" t="n">
        <x:v>2</x:v>
      </x:c>
      <x:c r="F28" s="56" t="n">
        <x:v>2</x:v>
      </x:c>
      <x:c r="G28" s="56" t="n">
        <x:v>2</x:v>
      </x:c>
      <x:c r="H28" s="56" t="n">
        <x:v>0</x:v>
      </x:c>
      <x:c r="I28" s="56" t="n">
        <x:v>2</x:v>
      </x:c>
      <x:c r="J28" s="56" t="n">
        <x:v>1</x:v>
      </x:c>
      <x:c r="K28" s="56" t="n">
        <x:v>1</x:v>
      </x:c>
      <x:c r="L28" s="56" t="n">
        <x:v>1</x:v>
      </x:c>
      <x:c r="M28" s="56" t="n">
        <x:v>0</x:v>
      </x:c>
      <x:c r="N28" s="56" t="n">
        <x:v>1</x:v>
      </x:c>
    </x:row>
    <x:row r="29">
      <x:c r="A29" s="56" t="str">
        <x:v>3286</x:v>
      </x:c>
      <x:c r="B29" s="56" t="n">
        <x:v>2</x:v>
      </x:c>
      <x:c r="C29" s="56" t="n">
        <x:v>1</x:v>
      </x:c>
      <x:c r="D29" s="56" t="n">
        <x:v>1</x:v>
      </x:c>
      <x:c r="E29" s="56" t="n">
        <x:v>1</x:v>
      </x:c>
      <x:c r="F29" s="56" t="n">
        <x:v>2</x:v>
      </x:c>
      <x:c r="G29" s="56" t="n">
        <x:v>2</x:v>
      </x:c>
      <x:c r="H29" s="56" t="n">
        <x:v>0</x:v>
      </x:c>
      <x:c r="I29" s="56" t="n">
        <x:v>1</x:v>
      </x:c>
      <x:c r="J29" s="56" t="n">
        <x:v>1</x:v>
      </x:c>
      <x:c r="K29" s="56" t="n">
        <x:v>1</x:v>
      </x:c>
      <x:c r="L29" s="56" t="n">
        <x:v>1</x:v>
      </x:c>
      <x:c r="M29" s="56" t="n">
        <x:v>0</x:v>
      </x:c>
      <x:c r="N29" s="56" t="n">
        <x:v>1</x:v>
      </x:c>
    </x:row>
    <x:row r="30">
      <x:c r="A30" s="56" t="str">
        <x:v>3404</x:v>
      </x:c>
      <x:c r="B30" s="56" t="n">
        <x:v>16</x:v>
      </x:c>
      <x:c r="C30" s="56" t="n">
        <x:v>8</x:v>
      </x:c>
      <x:c r="D30" s="56" t="n">
        <x:v>8</x:v>
      </x:c>
      <x:c r="E30" s="56" t="n">
        <x:v>8</x:v>
      </x:c>
      <x:c r="F30" s="56" t="n">
        <x:v>0</x:v>
      </x:c>
      <x:c r="G30" s="56" t="n">
        <x:v>0</x:v>
      </x:c>
      <x:c r="H30" s="56" t="n">
        <x:v>16</x:v>
      </x:c>
      <x:c r="I30" s="56" t="n">
        <x:v>8</x:v>
      </x:c>
      <x:c r="J30" s="56" t="n">
        <x:v>8</x:v>
      </x:c>
      <x:c r="K30" s="56" t="n">
        <x:v>8</x:v>
      </x:c>
      <x:c r="L30" s="56" t="n">
        <x:v>8</x:v>
      </x:c>
      <x:c r="M30" s="56" t="n">
        <x:v>0</x:v>
      </x:c>
      <x:c r="N30" s="56" t="n">
        <x:v>1</x:v>
      </x:c>
    </x:row>
    <x:row r="31">
      <x:c r="A31" s="56" t="str">
        <x:v>3415</x:v>
      </x:c>
      <x:c r="B31" s="56" t="n">
        <x:v>2</x:v>
      </x:c>
      <x:c r="C31" s="56" t="n">
        <x:v>1</x:v>
      </x:c>
      <x:c r="D31" s="56" t="n">
        <x:v>1</x:v>
      </x:c>
      <x:c r="E31" s="56" t="n">
        <x:v>1</x:v>
      </x:c>
      <x:c r="F31" s="56" t="n">
        <x:v>0</x:v>
      </x:c>
      <x:c r="G31" s="56" t="n">
        <x:v>0</x:v>
      </x:c>
      <x:c r="H31" s="56" t="n">
        <x:v>2</x:v>
      </x:c>
      <x:c r="I31" s="56" t="n">
        <x:v>1</x:v>
      </x:c>
      <x:c r="J31" s="56" t="n">
        <x:v>1</x:v>
      </x:c>
      <x:c r="K31" s="56" t="n">
        <x:v>1</x:v>
      </x:c>
      <x:c r="L31" s="56" t="n">
        <x:v>1</x:v>
      </x:c>
      <x:c r="M31" s="56" t="n">
        <x:v>0</x:v>
      </x:c>
      <x:c r="N31" s="56" t="n">
        <x:v>1</x:v>
      </x:c>
    </x:row>
    <x:row r="32">
      <x:c r="A32" s="56" t="str">
        <x:v>3416</x:v>
      </x:c>
      <x:c r="B32" s="56" t="n">
        <x:v>4</x:v>
      </x:c>
      <x:c r="C32" s="56" t="n">
        <x:v>3</x:v>
      </x:c>
      <x:c r="D32" s="56" t="n">
        <x:v>1</x:v>
      </x:c>
      <x:c r="E32" s="56" t="n">
        <x:v>1</x:v>
      </x:c>
      <x:c r="F32" s="56" t="n">
        <x:v>0</x:v>
      </x:c>
      <x:c r="G32" s="56" t="n">
        <x:v>0</x:v>
      </x:c>
      <x:c r="H32" s="56" t="n">
        <x:v>4</x:v>
      </x:c>
      <x:c r="I32" s="56" t="n">
        <x:v>3</x:v>
      </x:c>
      <x:c r="J32" s="56" t="n">
        <x:v>3</x:v>
      </x:c>
      <x:c r="K32" s="56" t="n">
        <x:v>1</x:v>
      </x:c>
      <x:c r="L32" s="56" t="n">
        <x:v>1</x:v>
      </x:c>
      <x:c r="M32" s="56" t="n">
        <x:v>0</x:v>
      </x:c>
      <x:c r="N32" s="56" t="n">
        <x:v>1</x:v>
      </x:c>
    </x:row>
    <x:row r="33">
      <x:c r="A33" s="56" t="str">
        <x:v>3434</x:v>
      </x:c>
      <x:c r="B33" s="56" t="n">
        <x:v>22</x:v>
      </x:c>
      <x:c r="C33" s="56" t="n">
        <x:v>21</x:v>
      </x:c>
      <x:c r="D33" s="56" t="n">
        <x:v>1</x:v>
      </x:c>
      <x:c r="E33" s="56" t="n">
        <x:v>1</x:v>
      </x:c>
      <x:c r="F33" s="56" t="n">
        <x:v>4</x:v>
      </x:c>
      <x:c r="G33" s="56" t="n">
        <x:v>4</x:v>
      </x:c>
      <x:c r="H33" s="56" t="n">
        <x:v>18</x:v>
      </x:c>
      <x:c r="I33" s="56" t="n">
        <x:v>19</x:v>
      </x:c>
      <x:c r="J33" s="56" t="n">
        <x:v>19</x:v>
      </x:c>
      <x:c r="K33" s="56" t="n">
        <x:v>1</x:v>
      </x:c>
      <x:c r="L33" s="56" t="n">
        <x:v>8</x:v>
      </x:c>
      <x:c r="M33" s="56" t="n">
        <x:v>0</x:v>
      </x:c>
      <x:c r="N33" s="56" t="n">
        <x:v>0</x:v>
      </x:c>
    </x:row>
    <x:row r="34">
      <x:c r="A34" s="56" t="str">
        <x:v>3452</x:v>
      </x:c>
      <x:c r="B34" s="56" t="n">
        <x:v>3</x:v>
      </x:c>
      <x:c r="C34" s="56" t="n">
        <x:v>1</x:v>
      </x:c>
      <x:c r="D34" s="56" t="n">
        <x:v>2</x:v>
      </x:c>
      <x:c r="E34" s="56" t="n">
        <x:v>3</x:v>
      </x:c>
      <x:c r="F34" s="56" t="n">
        <x:v>1</x:v>
      </x:c>
      <x:c r="G34" s="56" t="n">
        <x:v>1</x:v>
      </x:c>
      <x:c r="H34" s="56" t="n">
        <x:v>2</x:v>
      </x:c>
      <x:c r="I34" s="56" t="n">
        <x:v>1</x:v>
      </x:c>
      <x:c r="J34" s="56" t="n">
        <x:v>2</x:v>
      </x:c>
      <x:c r="K34" s="56" t="n">
        <x:v>2</x:v>
      </x:c>
      <x:c r="L34" s="56" t="n">
        <x:v>2</x:v>
      </x:c>
      <x:c r="M34" s="56" t="n">
        <x:v>0</x:v>
      </x:c>
      <x:c r="N34" s="56" t="n">
        <x:v>0</x:v>
      </x:c>
    </x:row>
    <x:row r="35">
      <x:c r="A35" s="56" t="str">
        <x:v>3453</x:v>
      </x:c>
      <x:c r="B35" s="56" t="n">
        <x:v>10</x:v>
      </x:c>
      <x:c r="C35" s="56" t="n">
        <x:v>3</x:v>
      </x:c>
      <x:c r="D35" s="56" t="n">
        <x:v>7</x:v>
      </x:c>
      <x:c r="E35" s="56" t="n">
        <x:v>7</x:v>
      </x:c>
      <x:c r="F35" s="56" t="n">
        <x:v>6</x:v>
      </x:c>
      <x:c r="G35" s="56" t="n">
        <x:v>7</x:v>
      </x:c>
      <x:c r="H35" s="56" t="n">
        <x:v>3</x:v>
      </x:c>
      <x:c r="I35" s="56" t="n">
        <x:v>7</x:v>
      </x:c>
      <x:c r="J35" s="56" t="n">
        <x:v>7</x:v>
      </x:c>
      <x:c r="K35" s="56" t="n">
        <x:v>7</x:v>
      </x:c>
      <x:c r="L35" s="56" t="n">
        <x:v>6</x:v>
      </x:c>
      <x:c r="M35" s="56" t="n">
        <x:v>0</x:v>
      </x:c>
      <x:c r="N35" s="56" t="n">
        <x:v>0</x:v>
      </x:c>
    </x:row>
    <x:row r="36">
      <x:c r="A36" s="56" t="str">
        <x:v>3463</x:v>
      </x:c>
      <x:c r="B36" s="56" t="n">
        <x:v>8</x:v>
      </x:c>
      <x:c r="C36" s="56" t="n">
        <x:v>4</x:v>
      </x:c>
      <x:c r="D36" s="56" t="n">
        <x:v>4</x:v>
      </x:c>
      <x:c r="E36" s="56" t="n">
        <x:v>4</x:v>
      </x:c>
      <x:c r="F36" s="56" t="n">
        <x:v>5</x:v>
      </x:c>
      <x:c r="G36" s="56" t="n">
        <x:v>5</x:v>
      </x:c>
      <x:c r="H36" s="56" t="n">
        <x:v>3</x:v>
      </x:c>
      <x:c r="I36" s="56" t="n">
        <x:v>5</x:v>
      </x:c>
      <x:c r="J36" s="56" t="n">
        <x:v>5</x:v>
      </x:c>
      <x:c r="K36" s="56" t="n">
        <x:v>4</x:v>
      </x:c>
      <x:c r="L36" s="56" t="n">
        <x:v>4</x:v>
      </x:c>
      <x:c r="M36" s="56" t="n">
        <x:v>0</x:v>
      </x:c>
      <x:c r="N36" s="56" t="n">
        <x:v>0</x:v>
      </x:c>
    </x:row>
    <x:row r="37">
      <x:c r="A37" s="56" t="str">
        <x:v>3483</x:v>
      </x:c>
      <x:c r="B37" s="56" t="n">
        <x:v>7</x:v>
      </x:c>
      <x:c r="C37" s="56" t="n">
        <x:v>2</x:v>
      </x:c>
      <x:c r="D37" s="56" t="n">
        <x:v>5</x:v>
      </x:c>
      <x:c r="E37" s="56" t="n">
        <x:v>5</x:v>
      </x:c>
      <x:c r="F37" s="56" t="n">
        <x:v>1</x:v>
      </x:c>
      <x:c r="G37" s="56" t="n">
        <x:v>3</x:v>
      </x:c>
      <x:c r="H37" s="56" t="n">
        <x:v>4</x:v>
      </x:c>
      <x:c r="I37" s="56" t="n">
        <x:v>3</x:v>
      </x:c>
      <x:c r="J37" s="56" t="n">
        <x:v>3</x:v>
      </x:c>
      <x:c r="K37" s="56" t="n">
        <x:v>2</x:v>
      </x:c>
      <x:c r="L37" s="56" t="n">
        <x:v>4</x:v>
      </x:c>
      <x:c r="M37" s="56" t="n">
        <x:v>0</x:v>
      </x:c>
      <x:c r="N37" s="56" t="n">
        <x:v>0</x:v>
      </x:c>
    </x:row>
    <x:row r="38">
      <x:c r="A38" s="56" t="str">
        <x:v>3497</x:v>
      </x:c>
      <x:c r="B38" s="56" t="n">
        <x:v>5</x:v>
      </x:c>
      <x:c r="C38" s="56" t="n">
        <x:v>2</x:v>
      </x:c>
      <x:c r="D38" s="56" t="n">
        <x:v>3</x:v>
      </x:c>
      <x:c r="E38" s="56" t="n">
        <x:v>3</x:v>
      </x:c>
      <x:c r="F38" s="56" t="n">
        <x:v>4</x:v>
      </x:c>
      <x:c r="G38" s="56" t="n">
        <x:v>4</x:v>
      </x:c>
      <x:c r="H38" s="56" t="n">
        <x:v>1</x:v>
      </x:c>
      <x:c r="I38" s="56" t="n">
        <x:v>4</x:v>
      </x:c>
      <x:c r="J38" s="56" t="n">
        <x:v>4</x:v>
      </x:c>
      <x:c r="K38" s="56" t="n">
        <x:v>3</x:v>
      </x:c>
      <x:c r="L38" s="56" t="n">
        <x:v>3</x:v>
      </x:c>
      <x:c r="M38" s="56" t="n">
        <x:v>0</x:v>
      </x:c>
      <x:c r="N38" s="56" t="n">
        <x:v>0</x:v>
      </x:c>
    </x:row>
    <x:row r="39">
      <x:c r="A39" s="56" t="str">
        <x:v>3518</x:v>
      </x:c>
      <x:c r="B39" s="56" t="n">
        <x:v>2</x:v>
      </x:c>
      <x:c r="C39" s="56" t="n">
        <x:v>1</x:v>
      </x:c>
      <x:c r="D39" s="56" t="n">
        <x:v>1</x:v>
      </x:c>
      <x:c r="E39" s="56" t="n">
        <x:v>1</x:v>
      </x:c>
      <x:c r="F39" s="56" t="n">
        <x:v>0</x:v>
      </x:c>
      <x:c r="G39" s="56" t="n">
        <x:v>0</x:v>
      </x:c>
      <x:c r="H39" s="56" t="n">
        <x:v>2</x:v>
      </x:c>
      <x:c r="I39" s="56" t="n">
        <x:v>1</x:v>
      </x:c>
      <x:c r="J39" s="56" t="n">
        <x:v>1</x:v>
      </x:c>
      <x:c r="K39" s="56" t="n">
        <x:v>1</x:v>
      </x:c>
      <x:c r="L39" s="56" t="n">
        <x:v>1</x:v>
      </x:c>
      <x:c r="M39" s="56" t="n">
        <x:v>0</x:v>
      </x:c>
      <x:c r="N39" s="56" t="n">
        <x:v>1</x:v>
      </x:c>
    </x:row>
    <x:row r="40">
      <x:c r="A40" s="56" t="str">
        <x:v>3576</x:v>
      </x:c>
      <x:c r="B40" s="56" t="n">
        <x:v>2</x:v>
      </x:c>
      <x:c r="C40" s="56" t="n">
        <x:v>1</x:v>
      </x:c>
      <x:c r="D40" s="56" t="n">
        <x:v>1</x:v>
      </x:c>
      <x:c r="E40" s="56" t="n">
        <x:v>1</x:v>
      </x:c>
      <x:c r="F40" s="56" t="n">
        <x:v>0</x:v>
      </x:c>
      <x:c r="G40" s="56" t="n">
        <x:v>0</x:v>
      </x:c>
      <x:c r="H40" s="56" t="n">
        <x:v>2</x:v>
      </x:c>
      <x:c r="I40" s="56" t="n">
        <x:v>1</x:v>
      </x:c>
      <x:c r="J40" s="56" t="n">
        <x:v>1</x:v>
      </x:c>
      <x:c r="K40" s="56" t="n">
        <x:v>1</x:v>
      </x:c>
      <x:c r="L40" s="56" t="n">
        <x:v>1</x:v>
      </x:c>
      <x:c r="M40" s="56" t="n">
        <x:v>0</x:v>
      </x:c>
      <x:c r="N40" s="56" t="n">
        <x:v>1</x:v>
      </x:c>
    </x:row>
    <x:row r="41">
      <x:c r="A41" s="56" t="str">
        <x:v>3613</x:v>
      </x:c>
      <x:c r="B41" s="56" t="n">
        <x:v>4</x:v>
      </x:c>
      <x:c r="C41" s="56" t="n">
        <x:v>1</x:v>
      </x:c>
      <x:c r="D41" s="56" t="n">
        <x:v>3</x:v>
      </x:c>
      <x:c r="E41" s="56" t="n">
        <x:v>3</x:v>
      </x:c>
      <x:c r="F41" s="56" t="n">
        <x:v>4</x:v>
      </x:c>
      <x:c r="G41" s="56" t="n">
        <x:v>4</x:v>
      </x:c>
      <x:c r="H41" s="56" t="n">
        <x:v>0</x:v>
      </x:c>
      <x:c r="I41" s="56" t="n">
        <x:v>3</x:v>
      </x:c>
      <x:c r="J41" s="56" t="n">
        <x:v>3</x:v>
      </x:c>
      <x:c r="K41" s="56" t="n">
        <x:v>3</x:v>
      </x:c>
      <x:c r="L41" s="56" t="n">
        <x:v>3</x:v>
      </x:c>
      <x:c r="M41" s="56" t="n">
        <x:v>0</x:v>
      </x:c>
      <x:c r="N41" s="56" t="n">
        <x:v>1</x:v>
      </x:c>
    </x:row>
    <x:row r="42">
      <x:c r="A42" s="56" t="str">
        <x:v>3633</x:v>
      </x:c>
      <x:c r="B42" s="56" t="n">
        <x:v>2</x:v>
      </x:c>
      <x:c r="C42" s="56" t="n">
        <x:v>1</x:v>
      </x:c>
      <x:c r="D42" s="56" t="n">
        <x:v>1</x:v>
      </x:c>
      <x:c r="E42" s="56" t="n">
        <x:v>0</x:v>
      </x:c>
      <x:c r="F42" s="56" t="n">
        <x:v>0</x:v>
      </x:c>
      <x:c r="G42" s="56" t="n">
        <x:v>0</x:v>
      </x:c>
      <x:c r="H42" s="56" t="n">
        <x:v>2</x:v>
      </x:c>
      <x:c r="I42" s="56" t="n">
        <x:v>2</x:v>
      </x:c>
      <x:c r="J42" s="56" t="n">
        <x:v>1</x:v>
      </x:c>
      <x:c r="K42" s="56" t="n">
        <x:v>1</x:v>
      </x:c>
      <x:c r="L42" s="56" t="n">
        <x:v>1</x:v>
      </x:c>
      <x:c r="M42" s="56" t="n">
        <x:v>0</x:v>
      </x:c>
      <x:c r="N42" s="56" t="n">
        <x:v>1</x:v>
      </x:c>
    </x:row>
    <x:row r="43">
      <x:c r="A43" s="56" t="str">
        <x:v>3695</x:v>
      </x:c>
      <x:c r="B43" s="56" t="n">
        <x:v>4</x:v>
      </x:c>
      <x:c r="C43" s="56" t="n">
        <x:v>2</x:v>
      </x:c>
      <x:c r="D43" s="56" t="n">
        <x:v>2</x:v>
      </x:c>
      <x:c r="E43" s="56" t="n">
        <x:v>3</x:v>
      </x:c>
      <x:c r="F43" s="56" t="n">
        <x:v>4</x:v>
      </x:c>
      <x:c r="G43" s="56" t="n">
        <x:v>4</x:v>
      </x:c>
      <x:c r="H43" s="56" t="n">
        <x:v>0</x:v>
      </x:c>
      <x:c r="I43" s="56" t="n">
        <x:v>3</x:v>
      </x:c>
      <x:c r="J43" s="56" t="n">
        <x:v>2</x:v>
      </x:c>
      <x:c r="K43" s="56" t="n">
        <x:v>2</x:v>
      </x:c>
      <x:c r="L43" s="56" t="n">
        <x:v>2</x:v>
      </x:c>
      <x:c r="M43" s="56" t="n">
        <x:v>0</x:v>
      </x:c>
      <x:c r="N43" s="56" t="n">
        <x:v>1</x:v>
      </x:c>
    </x:row>
    <x:row r="44">
      <x:c r="A44" s="56" t="str">
        <x:v>3704</x:v>
      </x:c>
      <x:c r="B44" s="56" t="n">
        <x:v>4</x:v>
      </x:c>
      <x:c r="C44" s="56" t="n">
        <x:v>2</x:v>
      </x:c>
      <x:c r="D44" s="56" t="n">
        <x:v>2</x:v>
      </x:c>
      <x:c r="E44" s="56" t="n">
        <x:v>4</x:v>
      </x:c>
      <x:c r="F44" s="56" t="n">
        <x:v>2</x:v>
      </x:c>
      <x:c r="G44" s="56" t="n">
        <x:v>2</x:v>
      </x:c>
      <x:c r="H44" s="56" t="n">
        <x:v>2</x:v>
      </x:c>
      <x:c r="I44" s="56" t="n">
        <x:v>2</x:v>
      </x:c>
      <x:c r="J44" s="56" t="n">
        <x:v>4</x:v>
      </x:c>
      <x:c r="K44" s="56" t="n">
        <x:v>2</x:v>
      </x:c>
      <x:c r="L44" s="56" t="n">
        <x:v>2</x:v>
      </x:c>
      <x:c r="M44" s="56" t="n">
        <x:v>1</x:v>
      </x:c>
      <x:c r="N44" s="56" t="n">
        <x:v>0</x:v>
      </x:c>
    </x:row>
    <x:row r="45">
      <x:c r="A45" s="56" t="str">
        <x:v>3709</x:v>
      </x:c>
      <x:c r="B45" s="56" t="n">
        <x:v>2</x:v>
      </x:c>
      <x:c r="C45" s="56" t="n">
        <x:v>1</x:v>
      </x:c>
      <x:c r="D45" s="56" t="n">
        <x:v>1</x:v>
      </x:c>
      <x:c r="E45" s="56" t="n">
        <x:v>1</x:v>
      </x:c>
      <x:c r="F45" s="56" t="n">
        <x:v>1</x:v>
      </x:c>
      <x:c r="G45" s="56" t="n">
        <x:v>1</x:v>
      </x:c>
      <x:c r="H45" s="56" t="n">
        <x:v>1</x:v>
      </x:c>
      <x:c r="I45" s="56" t="n">
        <x:v>0</x:v>
      </x:c>
      <x:c r="J45" s="56" t="n">
        <x:v>0</x:v>
      </x:c>
      <x:c r="K45" s="56" t="n">
        <x:v>1</x:v>
      </x:c>
      <x:c r="L45" s="56" t="n">
        <x:v>1</x:v>
      </x:c>
      <x:c r="M45" s="56" t="n">
        <x:v>0</x:v>
      </x:c>
      <x:c r="N45" s="56" t="n">
        <x:v>0</x:v>
      </x:c>
    </x:row>
    <x:row r="46">
      <x:c r="A46" s="56" t="str">
        <x:v>3713</x:v>
      </x:c>
      <x:c r="B46" s="56" t="n">
        <x:v>2</x:v>
      </x:c>
      <x:c r="C46" s="56" t="n">
        <x:v>1</x:v>
      </x:c>
      <x:c r="D46" s="56" t="n">
        <x:v>1</x:v>
      </x:c>
      <x:c r="E46" s="56" t="n">
        <x:v>1</x:v>
      </x:c>
      <x:c r="F46" s="56" t="n">
        <x:v>0</x:v>
      </x:c>
      <x:c r="G46" s="56" t="n">
        <x:v>0</x:v>
      </x:c>
      <x:c r="H46" s="56" t="n">
        <x:v>2</x:v>
      </x:c>
      <x:c r="I46" s="56" t="n">
        <x:v>1</x:v>
      </x:c>
      <x:c r="J46" s="56" t="n">
        <x:v>1</x:v>
      </x:c>
      <x:c r="K46" s="56" t="n">
        <x:v>1</x:v>
      </x:c>
      <x:c r="L46" s="56" t="n">
        <x:v>1</x:v>
      </x:c>
      <x:c r="M46" s="56" t="n">
        <x:v>0</x:v>
      </x:c>
      <x:c r="N46" s="56" t="n">
        <x:v>1</x:v>
      </x:c>
    </x:row>
    <x:row r="47">
      <x:c r="A47" s="56" t="str">
        <x:v>3742</x:v>
      </x:c>
      <x:c r="B47" s="56" t="n">
        <x:v>3</x:v>
      </x:c>
      <x:c r="C47" s="56" t="n">
        <x:v>1</x:v>
      </x:c>
      <x:c r="D47" s="56" t="n">
        <x:v>2</x:v>
      </x:c>
      <x:c r="E47" s="56" t="n">
        <x:v>2</x:v>
      </x:c>
      <x:c r="F47" s="56" t="n">
        <x:v>2</x:v>
      </x:c>
      <x:c r="G47" s="56" t="n">
        <x:v>2</x:v>
      </x:c>
      <x:c r="H47" s="56" t="n">
        <x:v>1</x:v>
      </x:c>
      <x:c r="I47" s="56" t="n">
        <x:v>3</x:v>
      </x:c>
      <x:c r="J47" s="56" t="n">
        <x:v>3</x:v>
      </x:c>
      <x:c r="K47" s="56" t="n">
        <x:v>2</x:v>
      </x:c>
      <x:c r="L47" s="56" t="n">
        <x:v>2</x:v>
      </x:c>
      <x:c r="M47" s="56" t="n">
        <x:v>1</x:v>
      </x:c>
      <x:c r="N47" s="56" t="n">
        <x:v>0</x:v>
      </x:c>
    </x:row>
    <x:row r="48">
      <x:c r="A48" s="56" t="str">
        <x:v>3765</x:v>
      </x:c>
      <x:c r="B48" s="56" t="n">
        <x:v>2</x:v>
      </x:c>
      <x:c r="C48" s="56" t="n">
        <x:v>1</x:v>
      </x:c>
      <x:c r="D48" s="56" t="n">
        <x:v>1</x:v>
      </x:c>
      <x:c r="E48" s="56" t="n">
        <x:v>1</x:v>
      </x:c>
      <x:c r="F48" s="56" t="n">
        <x:v>0</x:v>
      </x:c>
      <x:c r="G48" s="56" t="n">
        <x:v>0</x:v>
      </x:c>
      <x:c r="H48" s="56" t="n">
        <x:v>2</x:v>
      </x:c>
      <x:c r="I48" s="56" t="n">
        <x:v>1</x:v>
      </x:c>
      <x:c r="J48" s="56" t="n">
        <x:v>1</x:v>
      </x:c>
      <x:c r="K48" s="56" t="n">
        <x:v>1</x:v>
      </x:c>
      <x:c r="L48" s="56" t="n">
        <x:v>1</x:v>
      </x:c>
      <x:c r="M48" s="56" t="n">
        <x:v>0</x:v>
      </x:c>
      <x:c r="N48" s="56" t="n">
        <x:v>1</x:v>
      </x:c>
    </x:row>
    <x:row r="49">
      <x:c r="A49" s="56" t="str">
        <x:v>3774</x:v>
      </x:c>
      <x:c r="B49" s="56" t="n">
        <x:v>2</x:v>
      </x:c>
      <x:c r="C49" s="56" t="n">
        <x:v>1</x:v>
      </x:c>
      <x:c r="D49" s="56" t="n">
        <x:v>1</x:v>
      </x:c>
      <x:c r="E49" s="56" t="n">
        <x:v>1</x:v>
      </x:c>
      <x:c r="F49" s="56" t="n">
        <x:v>2</x:v>
      </x:c>
      <x:c r="G49" s="56" t="n">
        <x:v>2</x:v>
      </x:c>
      <x:c r="H49" s="56" t="n">
        <x:v>0</x:v>
      </x:c>
      <x:c r="I49" s="56" t="n">
        <x:v>1</x:v>
      </x:c>
      <x:c r="J49" s="56" t="n">
        <x:v>1</x:v>
      </x:c>
      <x:c r="K49" s="56" t="n">
        <x:v>1</x:v>
      </x:c>
      <x:c r="L49" s="56" t="n">
        <x:v>1</x:v>
      </x:c>
      <x:c r="M49" s="56" t="n">
        <x:v>0</x:v>
      </x:c>
      <x:c r="N49" s="56" t="n">
        <x:v>1</x:v>
      </x:c>
    </x:row>
    <x:row r="50">
      <x:c r="A50" s="56" t="str">
        <x:v>3792</x:v>
      </x:c>
      <x:c r="B50" s="56" t="n">
        <x:v>6</x:v>
      </x:c>
      <x:c r="C50" s="56" t="n">
        <x:v>2</x:v>
      </x:c>
      <x:c r="D50" s="56" t="n">
        <x:v>4</x:v>
      </x:c>
      <x:c r="E50" s="56" t="n">
        <x:v>4</x:v>
      </x:c>
      <x:c r="F50" s="56" t="n">
        <x:v>0</x:v>
      </x:c>
      <x:c r="G50" s="56" t="n">
        <x:v>0</x:v>
      </x:c>
      <x:c r="H50" s="56" t="n">
        <x:v>6</x:v>
      </x:c>
      <x:c r="I50" s="56" t="n">
        <x:v>2</x:v>
      </x:c>
      <x:c r="J50" s="56" t="n">
        <x:v>2</x:v>
      </x:c>
      <x:c r="K50" s="56" t="n">
        <x:v>4</x:v>
      </x:c>
      <x:c r="L50" s="56" t="n">
        <x:v>4</x:v>
      </x:c>
      <x:c r="M50" s="56" t="n">
        <x:v>0</x:v>
      </x:c>
      <x:c r="N50" s="56" t="n">
        <x:v>1</x:v>
      </x:c>
    </x:row>
    <x:row r="51">
      <x:c r="A51" s="56" t="str">
        <x:v>3834</x:v>
      </x:c>
      <x:c r="B51" s="56" t="n">
        <x:v>2</x:v>
      </x:c>
      <x:c r="C51" s="56" t="n">
        <x:v>1</x:v>
      </x:c>
      <x:c r="D51" s="56" t="n">
        <x:v>1</x:v>
      </x:c>
      <x:c r="E51" s="56" t="n">
        <x:v>0</x:v>
      </x:c>
      <x:c r="F51" s="56" t="n">
        <x:v>2</x:v>
      </x:c>
      <x:c r="G51" s="56" t="n">
        <x:v>2</x:v>
      </x:c>
      <x:c r="H51" s="56" t="n">
        <x:v>0</x:v>
      </x:c>
      <x:c r="I51" s="56" t="n">
        <x:v>0</x:v>
      </x:c>
      <x:c r="J51" s="56" t="n">
        <x:v>1</x:v>
      </x:c>
      <x:c r="K51" s="56" t="n">
        <x:v>1</x:v>
      </x:c>
      <x:c r="L51" s="56" t="n">
        <x:v>1</x:v>
      </x:c>
      <x:c r="M51" s="56" t="n">
        <x:v>0</x:v>
      </x:c>
      <x:c r="N51" s="56" t="n">
        <x:v>1</x:v>
      </x:c>
    </x:row>
    <x:row r="52">
      <x:c r="A52" s="56" t="str">
        <x:v>3875</x:v>
      </x:c>
      <x:c r="B52" s="56" t="n">
        <x:v>4</x:v>
      </x:c>
      <x:c r="C52" s="56" t="n">
        <x:v>2</x:v>
      </x:c>
      <x:c r="D52" s="56" t="n">
        <x:v>2</x:v>
      </x:c>
      <x:c r="E52" s="56" t="n">
        <x:v>2</x:v>
      </x:c>
      <x:c r="F52" s="56" t="n">
        <x:v>2</x:v>
      </x:c>
      <x:c r="G52" s="56" t="n">
        <x:v>3</x:v>
      </x:c>
      <x:c r="H52" s="56" t="n">
        <x:v>1</x:v>
      </x:c>
      <x:c r="I52" s="56" t="n">
        <x:v>4</x:v>
      </x:c>
      <x:c r="J52" s="56" t="n">
        <x:v>4</x:v>
      </x:c>
      <x:c r="K52" s="56" t="n">
        <x:v>2</x:v>
      </x:c>
      <x:c r="L52" s="56" t="n">
        <x:v>2</x:v>
      </x:c>
      <x:c r="M52" s="56" t="n">
        <x:v>1</x:v>
      </x:c>
      <x:c r="N52" s="56" t="n">
        <x:v>0</x:v>
      </x:c>
    </x:row>
    <x:row r="53">
      <x:c r="A53" s="56" t="str">
        <x:v>3935</x:v>
      </x:c>
      <x:c r="B53" s="56" t="n">
        <x:v>5</x:v>
      </x:c>
      <x:c r="C53" s="56" t="n">
        <x:v>3</x:v>
      </x:c>
      <x:c r="D53" s="56" t="n">
        <x:v>2</x:v>
      </x:c>
      <x:c r="E53" s="56" t="n">
        <x:v>2</x:v>
      </x:c>
      <x:c r="F53" s="56" t="n">
        <x:v>5</x:v>
      </x:c>
      <x:c r="G53" s="56" t="n">
        <x:v>5</x:v>
      </x:c>
      <x:c r="H53" s="56" t="n">
        <x:v>0</x:v>
      </x:c>
      <x:c r="I53" s="56" t="n">
        <x:v>2</x:v>
      </x:c>
      <x:c r="J53" s="56" t="n">
        <x:v>2</x:v>
      </x:c>
      <x:c r="K53" s="56" t="n">
        <x:v>2</x:v>
      </x:c>
      <x:c r="L53" s="56" t="n">
        <x:v>2</x:v>
      </x:c>
      <x:c r="M53" s="56" t="n">
        <x:v>0</x:v>
      </x:c>
      <x:c r="N53" s="56" t="n">
        <x:v>1</x:v>
      </x:c>
    </x:row>
    <x:row r="54">
      <x:c r="A54" s="56" t="str">
        <x:v>3985</x:v>
      </x:c>
      <x:c r="B54" s="56" t="n">
        <x:v>4</x:v>
      </x:c>
      <x:c r="C54" s="56" t="n">
        <x:v>2</x:v>
      </x:c>
      <x:c r="D54" s="56" t="n">
        <x:v>2</x:v>
      </x:c>
      <x:c r="E54" s="56" t="n">
        <x:v>2</x:v>
      </x:c>
      <x:c r="F54" s="56" t="n">
        <x:v>2</x:v>
      </x:c>
      <x:c r="G54" s="56" t="n">
        <x:v>3</x:v>
      </x:c>
      <x:c r="H54" s="56" t="n">
        <x:v>1</x:v>
      </x:c>
      <x:c r="I54" s="56" t="n">
        <x:v>2</x:v>
      </x:c>
      <x:c r="J54" s="56" t="n">
        <x:v>2</x:v>
      </x:c>
      <x:c r="K54" s="56" t="n">
        <x:v>4</x:v>
      </x:c>
      <x:c r="L54" s="56" t="n">
        <x:v>4</x:v>
      </x:c>
      <x:c r="M54" s="56" t="n">
        <x:v>0</x:v>
      </x:c>
      <x:c r="N54" s="56" t="n">
        <x:v>0</x:v>
      </x:c>
    </x:row>
    <x:row r="55">
      <x:c r="A55" s="56" t="str">
        <x:v>4025</x:v>
      </x:c>
      <x:c r="B55" s="56" t="n">
        <x:v>2</x:v>
      </x:c>
      <x:c r="C55" s="56" t="n">
        <x:v>1</x:v>
      </x:c>
      <x:c r="D55" s="56" t="n">
        <x:v>1</x:v>
      </x:c>
      <x:c r="E55" s="56" t="n">
        <x:v>1</x:v>
      </x:c>
      <x:c r="F55" s="56" t="n">
        <x:v>1</x:v>
      </x:c>
      <x:c r="G55" s="56" t="n">
        <x:v>1</x:v>
      </x:c>
      <x:c r="H55" s="56" t="n">
        <x:v>1</x:v>
      </x:c>
      <x:c r="I55" s="56" t="n">
        <x:v>2</x:v>
      </x:c>
      <x:c r="J55" s="56" t="n">
        <x:v>2</x:v>
      </x:c>
      <x:c r="K55" s="56" t="n">
        <x:v>1</x:v>
      </x:c>
      <x:c r="L55" s="56" t="n">
        <x:v>1</x:v>
      </x:c>
      <x:c r="M55" s="56" t="n">
        <x:v>1</x:v>
      </x:c>
      <x:c r="N55" s="56" t="n">
        <x:v>0</x:v>
      </x:c>
    </x:row>
    <x:row r="56">
      <x:c r="A56" s="56" t="str">
        <x:v>4036</x:v>
      </x:c>
      <x:c r="B56" s="56" t="n">
        <x:v>2</x:v>
      </x:c>
      <x:c r="C56" s="56" t="n">
        <x:v>1</x:v>
      </x:c>
      <x:c r="D56" s="56" t="n">
        <x:v>1</x:v>
      </x:c>
      <x:c r="E56" s="56" t="n">
        <x:v>1</x:v>
      </x:c>
      <x:c r="F56" s="56" t="n">
        <x:v>1</x:v>
      </x:c>
      <x:c r="G56" s="56" t="n">
        <x:v>1</x:v>
      </x:c>
      <x:c r="H56" s="56" t="n">
        <x:v>1</x:v>
      </x:c>
      <x:c r="I56" s="56" t="n">
        <x:v>2</x:v>
      </x:c>
      <x:c r="J56" s="56" t="n">
        <x:v>2</x:v>
      </x:c>
      <x:c r="K56" s="56" t="n">
        <x:v>1</x:v>
      </x:c>
      <x:c r="L56" s="56" t="n">
        <x:v>1</x:v>
      </x:c>
      <x:c r="M56" s="56" t="n">
        <x:v>1</x:v>
      </x:c>
      <x:c r="N56" s="56" t="n">
        <x:v>0</x:v>
      </x:c>
    </x:row>
    <x:row r="57">
      <x:c r="A57" s="56" t="str">
        <x:v>4079</x:v>
      </x:c>
      <x:c r="B57" s="56" t="n">
        <x:v>3</x:v>
      </x:c>
      <x:c r="C57" s="56" t="n">
        <x:v>2</x:v>
      </x:c>
      <x:c r="D57" s="56" t="n">
        <x:v>1</x:v>
      </x:c>
      <x:c r="E57" s="56" t="n">
        <x:v>0</x:v>
      </x:c>
      <x:c r="F57" s="56" t="n">
        <x:v>0</x:v>
      </x:c>
      <x:c r="G57" s="56" t="n">
        <x:v>2</x:v>
      </x:c>
      <x:c r="H57" s="56" t="n">
        <x:v>1</x:v>
      </x:c>
      <x:c r="I57" s="56" t="n">
        <x:v>3</x:v>
      </x:c>
      <x:c r="J57" s="56" t="n">
        <x:v>2</x:v>
      </x:c>
      <x:c r="K57" s="56" t="n">
        <x:v>2</x:v>
      </x:c>
      <x:c r="L57" s="56" t="n">
        <x:v>2</x:v>
      </x:c>
      <x:c r="M57" s="56" t="n">
        <x:v>0</x:v>
      </x:c>
      <x:c r="N57" s="56" t="n">
        <x:v>1</x:v>
      </x:c>
    </x:row>
    <x:row r="58">
      <x:c r="A58" s="56" t="str">
        <x:v>4109</x:v>
      </x:c>
      <x:c r="B58" s="56" t="n">
        <x:v>3</x:v>
      </x:c>
      <x:c r="C58" s="56" t="n">
        <x:v>2</x:v>
      </x:c>
      <x:c r="D58" s="56" t="n">
        <x:v>1</x:v>
      </x:c>
      <x:c r="E58" s="56" t="n">
        <x:v>0</x:v>
      </x:c>
      <x:c r="F58" s="56" t="n">
        <x:v>2</x:v>
      </x:c>
      <x:c r="G58" s="56" t="n">
        <x:v>2</x:v>
      </x:c>
      <x:c r="H58" s="56" t="n">
        <x:v>1</x:v>
      </x:c>
      <x:c r="I58" s="56" t="n">
        <x:v>1</x:v>
      </x:c>
      <x:c r="J58" s="56" t="n">
        <x:v>0</x:v>
      </x:c>
      <x:c r="K58" s="56" t="n">
        <x:v>2</x:v>
      </x:c>
      <x:c r="L58" s="56" t="n">
        <x:v>2</x:v>
      </x:c>
      <x:c r="M58" s="56" t="n">
        <x:v>0</x:v>
      </x:c>
      <x:c r="N58" s="56" t="n">
        <x:v>0</x:v>
      </x:c>
    </x:row>
    <x:row r="59">
      <x:c r="A59" s="56" t="str">
        <x:v>4124</x:v>
      </x:c>
      <x:c r="B59" s="56" t="n">
        <x:v>2</x:v>
      </x:c>
      <x:c r="C59" s="56" t="n">
        <x:v>1</x:v>
      </x:c>
      <x:c r="D59" s="56" t="n">
        <x:v>1</x:v>
      </x:c>
      <x:c r="E59" s="56" t="n">
        <x:v>0</x:v>
      </x:c>
      <x:c r="F59" s="56" t="n">
        <x:v>0</x:v>
      </x:c>
      <x:c r="G59" s="56" t="n">
        <x:v>0</x:v>
      </x:c>
      <x:c r="H59" s="56" t="n">
        <x:v>2</x:v>
      </x:c>
      <x:c r="I59" s="56" t="n">
        <x:v>2</x:v>
      </x:c>
      <x:c r="J59" s="56" t="n">
        <x:v>1</x:v>
      </x:c>
      <x:c r="K59" s="56" t="n">
        <x:v>1</x:v>
      </x:c>
      <x:c r="L59" s="56" t="n">
        <x:v>1</x:v>
      </x:c>
      <x:c r="M59" s="56" t="n">
        <x:v>0</x:v>
      </x:c>
      <x:c r="N59" s="56" t="n">
        <x:v>1</x:v>
      </x:c>
    </x:row>
    <x:row r="60">
      <x:c r="A60" s="56" t="str">
        <x:v>4168</x:v>
      </x:c>
      <x:c r="B60" s="56" t="n">
        <x:v>8</x:v>
      </x:c>
      <x:c r="C60" s="56" t="n">
        <x:v>1</x:v>
      </x:c>
      <x:c r="D60" s="56" t="n">
        <x:v>7</x:v>
      </x:c>
      <x:c r="E60" s="56" t="n">
        <x:v>8</x:v>
      </x:c>
      <x:c r="F60" s="56" t="n">
        <x:v>3</x:v>
      </x:c>
      <x:c r="G60" s="56" t="n">
        <x:v>4</x:v>
      </x:c>
      <x:c r="H60" s="56" t="n">
        <x:v>4</x:v>
      </x:c>
      <x:c r="I60" s="56" t="n">
        <x:v>3</x:v>
      </x:c>
      <x:c r="J60" s="56" t="n">
        <x:v>4</x:v>
      </x:c>
      <x:c r="K60" s="56" t="n">
        <x:v>7</x:v>
      </x:c>
      <x:c r="L60" s="56" t="n">
        <x:v>6</x:v>
      </x:c>
      <x:c r="M60" s="56" t="n">
        <x:v>0</x:v>
      </x:c>
      <x:c r="N60" s="56" t="n">
        <x:v>0</x:v>
      </x:c>
    </x:row>
    <x:row r="61">
      <x:c r="A61" s="56" t="str">
        <x:v>4181</x:v>
      </x:c>
      <x:c r="B61" s="56" t="n">
        <x:v>2</x:v>
      </x:c>
      <x:c r="C61" s="56" t="n">
        <x:v>1</x:v>
      </x:c>
      <x:c r="D61" s="56" t="n">
        <x:v>1</x:v>
      </x:c>
      <x:c r="E61" s="56" t="n">
        <x:v>1</x:v>
      </x:c>
      <x:c r="F61" s="56" t="n">
        <x:v>0</x:v>
      </x:c>
      <x:c r="G61" s="56" t="n">
        <x:v>0</x:v>
      </x:c>
      <x:c r="H61" s="56" t="n">
        <x:v>2</x:v>
      </x:c>
      <x:c r="I61" s="56" t="n">
        <x:v>1</x:v>
      </x:c>
      <x:c r="J61" s="56" t="n">
        <x:v>1</x:v>
      </x:c>
      <x:c r="K61" s="56" t="n">
        <x:v>1</x:v>
      </x:c>
      <x:c r="L61" s="56" t="n">
        <x:v>1</x:v>
      </x:c>
      <x:c r="M61" s="56" t="n">
        <x:v>0</x:v>
      </x:c>
      <x:c r="N61" s="56" t="n">
        <x:v>1</x:v>
      </x:c>
    </x:row>
    <x:row r="62">
      <x:c r="A62" s="56" t="str">
        <x:v>4324</x:v>
      </x:c>
      <x:c r="B62" s="56" t="n">
        <x:v>7</x:v>
      </x:c>
      <x:c r="C62" s="56" t="n">
        <x:v>2</x:v>
      </x:c>
      <x:c r="D62" s="56" t="n">
        <x:v>5</x:v>
      </x:c>
      <x:c r="E62" s="56" t="n">
        <x:v>4</x:v>
      </x:c>
      <x:c r="F62" s="56" t="n">
        <x:v>4</x:v>
      </x:c>
      <x:c r="G62" s="56" t="n">
        <x:v>4</x:v>
      </x:c>
      <x:c r="H62" s="56" t="n">
        <x:v>3</x:v>
      </x:c>
      <x:c r="I62" s="56" t="n">
        <x:v>5</x:v>
      </x:c>
      <x:c r="J62" s="56" t="n">
        <x:v>6</x:v>
      </x:c>
      <x:c r="K62" s="56" t="n">
        <x:v>5</x:v>
      </x:c>
      <x:c r="L62" s="56" t="n">
        <x:v>7</x:v>
      </x:c>
      <x:c r="M62" s="56" t="n">
        <x:v>0</x:v>
      </x:c>
      <x:c r="N62" s="56" t="n">
        <x:v>0</x:v>
      </x:c>
    </x:row>
  </x:sheetData>
  <x:conditionalFormatting sqref="M2:N62">
    <x:cfRule type="cellIs" dxfId="3" priority="1" operator="equal">
      <x:formula>1</x:formula>
    </x:cfRule>
  </x:conditionalFormatting>
  <x:pageMargins left="0.7" right="0.7" top="0.75" bottom="0.75" header="0.3" footer="0.3"/>
  <x:tableParts count="1">
    <x:tablePart xmlns:r="http://schemas.openxmlformats.org/officeDocument/2006/relationships" r:id="Ra9cd5a48d494488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2" hidden="0" customWidth="1"/>
    <x:col min="3" max="3" width="42" hidden="0" customWidth="1"/>
    <x:col min="4" max="4" width="38" hidden="0" customWidth="1"/>
    <x:col min="5" max="5" width="15" hidden="0" customWidth="1"/>
    <x:col min="6" max="6" width="15" hidden="0" customWidth="1"/>
  </x:cols>
  <x:sheetData>
    <x:row r="1" ht="34" customHeight="1">
      <x:c r="A1" s="53" t="str">
        <x:v>REFNO</x:v>
      </x:c>
      <x:c r="B1" s="53" t="str">
        <x:v>RESULTNO</x:v>
      </x:c>
      <x:c r="C1" s="53" t="str">
        <x:v>ROCKNAME</x:v>
      </x:c>
      <x:c r="D1" s="53" t="str">
        <x:v>历史 ROCKMAG</x:v>
      </x:c>
      <x:c r="E1" s="53" t="str">
        <x:v>ROCKMAG 非空</x:v>
      </x:c>
      <x:c r="F1" s="53" t="str">
        <x:v>历史 R3</x:v>
      </x:c>
    </x:row>
    <x:row r="2" ht="30" customHeight="1">
      <x:c r="A2" t="str">
        <x:v>1152</x:v>
      </x:c>
      <x:c r="B2" t="str">
        <x:v>31</x:v>
      </x:c>
      <x:c r="C2" t="str">
        <x:v>Erquy spillite series</x:v>
      </x:c>
      <x:c r="D2" s="12" t="str"/>
      <x:c r="E2" t="n">
        <x:v>0</x:v>
      </x:c>
      <x:c r="F2" t="n">
        <x:v>1</x:v>
      </x:c>
    </x:row>
    <x:row r="3" ht="30" customHeight="1">
      <x:c r="A3" t="str">
        <x:v>1161</x:v>
      </x:c>
      <x:c r="B3" t="str">
        <x:v>50</x:v>
      </x:c>
      <x:c r="C3" t="str">
        <x:v>Arqueros Formation</x:v>
      </x:c>
      <x:c r="D3" s="12" t="str">
        <x:v>OP(complete range of oxidation)</x:v>
      </x:c>
      <x:c r="E3" t="n">
        <x:v>1</x:v>
      </x:c>
      <x:c r="F3" t="n">
        <x:v>0</x:v>
      </x:c>
    </x:row>
    <x:row r="4" ht="30" customHeight="1">
      <x:c r="A4" t="str">
        <x:v>1599</x:v>
      </x:c>
      <x:c r="B4" t="str">
        <x:v>1077</x:v>
      </x:c>
      <x:c r="C4" t="str">
        <x:v>Granitic rocks, Wright Valley</x:v>
      </x:c>
      <x:c r="D4" s="12" t="str">
        <x:v>Hc(11.5-56 Oe)</x:v>
      </x:c>
      <x:c r="E4" t="n">
        <x:v>1</x:v>
      </x:c>
      <x:c r="F4" t="n">
        <x:v>0</x:v>
      </x:c>
    </x:row>
    <x:row r="5" ht="30" customHeight="1">
      <x:c r="A5" t="str">
        <x:v>2238</x:v>
      </x:c>
      <x:c r="B5" t="str">
        <x:v>5863</x:v>
      </x:c>
      <x:c r="C5" t="str">
        <x:v>Griffith Mine Iron Formation</x:v>
      </x:c>
      <x:c r="D5" s="12" t="str"/>
      <x:c r="E5" t="n">
        <x:v>0</x:v>
      </x:c>
      <x:c r="F5" t="n">
        <x:v>1</x:v>
      </x:c>
    </x:row>
    <x:row r="6" ht="30" customHeight="1">
      <x:c r="A6" t="str">
        <x:v>2238</x:v>
      </x:c>
      <x:c r="B6" t="str">
        <x:v>5864</x:v>
      </x:c>
      <x:c r="C6" t="str">
        <x:v>Griffith Mine Iron Formation</x:v>
      </x:c>
      <x:c r="D6" s="12" t="str"/>
      <x:c r="E6" t="n">
        <x:v>0</x:v>
      </x:c>
      <x:c r="F6" t="n">
        <x:v>1</x:v>
      </x:c>
    </x:row>
    <x:row r="7" ht="30" customHeight="1">
      <x:c r="A7" t="str">
        <x:v>3032</x:v>
      </x:c>
      <x:c r="B7" t="str">
        <x:v>7824</x:v>
      </x:c>
      <x:c r="C7" t="str">
        <x:v>Devonian Sediments</x:v>
      </x:c>
      <x:c r="D7" s="12" t="str"/>
      <x:c r="E7" t="n">
        <x:v>0</x:v>
      </x:c>
      <x:c r="F7" t="n">
        <x:v>1</x:v>
      </x:c>
    </x:row>
    <x:row r="8" ht="30" customHeight="1">
      <x:c r="A8" t="str">
        <x:v>3290</x:v>
      </x:c>
      <x:c r="B8" t="str">
        <x:v>8456</x:v>
      </x:c>
      <x:c r="C8" t="str">
        <x:v>Voronezh Massif</x:v>
      </x:c>
      <x:c r="D8" s="12" t="str">
        <x:v>SUSC</x:v>
      </x:c>
      <x:c r="E8" t="n">
        <x:v>1</x:v>
      </x:c>
      <x:c r="F8" t="n">
        <x:v>0</x:v>
      </x:c>
    </x:row>
    <x:row r="9" ht="30" customHeight="1">
      <x:c r="A9" t="str">
        <x:v>3452</x:v>
      </x:c>
      <x:c r="B9" t="str">
        <x:v>8768</x:v>
      </x:c>
      <x:c r="C9" t="str">
        <x:v>Yunmeng Shan Granite</x:v>
      </x:c>
      <x:c r="D9" s="12" t="str">
        <x:v>SUCS</x:v>
      </x:c>
      <x:c r="E9" t="n">
        <x:v>1</x:v>
      </x:c>
      <x:c r="F9" t="n">
        <x:v>0</x:v>
      </x:c>
    </x:row>
    <x:row r="10" ht="30" customHeight="1">
      <x:c r="A10" t="str">
        <x:v>3633</x:v>
      </x:c>
      <x:c r="B10" t="str">
        <x:v>9185</x:v>
      </x:c>
      <x:c r="C10" t="str">
        <x:v>Summerville Formation (Trujillo)</x:v>
      </x:c>
      <x:c r="D10" s="12" t="str"/>
      <x:c r="E10" t="n">
        <x:v>0</x:v>
      </x:c>
      <x:c r="F10" t="n">
        <x:v>1</x:v>
      </x:c>
    </x:row>
    <x:row r="11" ht="30" customHeight="1">
      <x:c r="A11" t="str">
        <x:v>3695</x:v>
      </x:c>
      <x:c r="B11" t="str">
        <x:v>9292</x:v>
      </x:c>
      <x:c r="C11" t="str">
        <x:v>Tobacco Root Mountains Dykes B</x:v>
      </x:c>
      <x:c r="D11" s="12" t="str">
        <x:v>IRM,HYST,Js-T(MAGN)</x:v>
      </x:c>
      <x:c r="E11" t="n">
        <x:v>1</x:v>
      </x:c>
      <x:c r="F11" t="n">
        <x:v>0</x:v>
      </x:c>
    </x:row>
    <x:row r="12" ht="30" customHeight="1">
      <x:c r="A12" t="str">
        <x:v>3704</x:v>
      </x:c>
      <x:c r="B12" t="str">
        <x:v>9305</x:v>
      </x:c>
      <x:c r="C12" t="str">
        <x:v>Tin Serririne Intrusives, Azzaoua Area</x:v>
      </x:c>
      <x:c r="D12" s="12" t="str">
        <x:v>SUSC-T,HYST(THEM,MAGN,HEM)</x:v>
      </x:c>
      <x:c r="E12" t="n">
        <x:v>1</x:v>
      </x:c>
      <x:c r="F12" t="n">
        <x:v>0</x:v>
      </x:c>
    </x:row>
    <x:row r="13" ht="30" customHeight="1">
      <x:c r="A13" t="str">
        <x:v>3704</x:v>
      </x:c>
      <x:c r="B13" t="str">
        <x:v>9306</x:v>
      </x:c>
      <x:c r="C13" t="str">
        <x:v>Tin Serririne Intrusives, Im-Meskour Area</x:v>
      </x:c>
      <x:c r="D13" s="12" t="str">
        <x:v>SUSC-T,HYST(THEM,MAGN,HEM)</x:v>
      </x:c>
      <x:c r="E13" t="n">
        <x:v>1</x:v>
      </x:c>
      <x:c r="F13" t="n">
        <x:v>0</x:v>
      </x:c>
    </x:row>
    <x:row r="14" ht="30" customHeight="1">
      <x:c r="A14" t="str">
        <x:v>3834</x:v>
      </x:c>
      <x:c r="B14" t="str">
        <x:v>9491</x:v>
      </x:c>
      <x:c r="C14" t="str">
        <x:v>Post-Guperas Dykes</x:v>
      </x:c>
      <x:c r="D14" s="12" t="str"/>
      <x:c r="E14" t="n">
        <x:v>0</x:v>
      </x:c>
      <x:c r="F14" t="n">
        <x:v>1</x:v>
      </x:c>
    </x:row>
    <x:row r="15" ht="30" customHeight="1">
      <x:c r="A15" t="str">
        <x:v>4079</x:v>
      </x:c>
      <x:c r="B15" t="str">
        <x:v>9881</x:v>
      </x:c>
      <x:c r="C15" t="str">
        <x:v>Devonian Redbeds</x:v>
      </x:c>
      <x:c r="D15" s="12" t="str"/>
      <x:c r="E15" t="n">
        <x:v>0</x:v>
      </x:c>
      <x:c r="F15" t="n">
        <x:v>1</x:v>
      </x:c>
    </x:row>
    <x:row r="16" ht="30" customHeight="1">
      <x:c r="A16" t="str">
        <x:v>4109</x:v>
      </x:c>
      <x:c r="B16" t="str">
        <x:v>9923</x:v>
      </x:c>
      <x:c r="C16" t="str">
        <x:v>Joulovaare Gabbro</x:v>
      </x:c>
      <x:c r="D16" s="12" t="str"/>
      <x:c r="E16" t="n">
        <x:v>0</x:v>
      </x:c>
      <x:c r="F16" t="n">
        <x:v>1</x:v>
      </x:c>
    </x:row>
    <x:row r="17" ht="30" customHeight="1">
      <x:c r="A17" t="str">
        <x:v>4124</x:v>
      </x:c>
      <x:c r="B17" t="str">
        <x:v>9944</x:v>
      </x:c>
      <x:c r="C17" t="str">
        <x:v>Stolbovaya Intrusion and Sediments</x:v>
      </x:c>
      <x:c r="D17" s="12" t="str"/>
      <x:c r="E17" t="n">
        <x:v>0</x:v>
      </x:c>
      <x:c r="F17" t="n">
        <x:v>1</x:v>
      </x:c>
    </x:row>
    <x:row r="18" ht="30" customHeight="1">
      <x:c r="A18" t="str">
        <x:v>4168</x:v>
      </x:c>
      <x:c r="B18" t="str">
        <x:v>10009</x:v>
      </x:c>
      <x:c r="C18" t="str">
        <x:v>Strömsbro Dykes</x:v>
      </x:c>
      <x:c r="D18" s="12" t="str">
        <x:v>SUSC-T,3-axis Jrs-T, IRM (MAGN,TM)</x:v>
      </x:c>
      <x:c r="E18" t="n">
        <x:v>1</x:v>
      </x:c>
      <x:c r="F18" t="n">
        <x:v>0</x:v>
      </x:c>
    </x:row>
    <x:row r="19" ht="30" customHeight="1">
      <x:c r="A19" t="str">
        <x:v>4324</x:v>
      </x:c>
      <x:c r="B19" t="str">
        <x:v>10240</x:v>
      </x:c>
      <x:c r="C19" t="str">
        <x:v>Jalokoski Gabbro</x:v>
      </x:c>
      <x:c r="D19" s="12" t="str"/>
      <x:c r="E19" t="n">
        <x:v>0</x:v>
      </x:c>
      <x:c r="F19" t="n">
        <x:v>1</x:v>
      </x:c>
    </x:row>
  </x:sheetData>
  <x:pageMargins left="0.7" right="0.7" top="0.75" bottom="0.75" header="0.3" footer="0.3"/>
  <x:tableParts count="1">
    <x:tablePart xmlns:r="http://schemas.openxmlformats.org/officeDocument/2006/relationships" r:id="R9c753f36785543c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48" hidden="0" customWidth="1"/>
  </x:cols>
  <x:sheetData>
    <x:row r="1" ht="32" customHeight="1">
      <x:c r="A1" s="3" t="str">
        <x:v>测试口径与可复现性说明</x:v>
      </x:c>
      <x:c r="B1" s="3" t="str">
        <x:v>测试口径与可复现性说明</x:v>
      </x:c>
      <x:c r="C1" s="3" t="str">
        <x:v>测试口径与可复现性说明</x:v>
      </x:c>
    </x:row>
    <x:row r="3" ht="23" customHeight="1">
      <x:c r="A3" s="17" t="str">
        <x:v>项目</x:v>
      </x:c>
      <x:c r="B3" s="24" t="str">
        <x:v>内容</x:v>
      </x:c>
      <x:c r="C3" s="18" t="str">
        <x:v>审计值</x:v>
      </x:c>
    </x:row>
    <x:row r="4" ht="43" customHeight="1">
      <x:c r="A4" s="63" t="str">
        <x:v>测试集定义</x:v>
      </x:c>
      <x:c r="B4" s="64" t="str">
        <x:v>同一 REFNO 至少两个目标，且历史 R3 同时有 0 和 1</x:v>
      </x:c>
      <x:c r="C4" s="65" t="str">
        <x:v>61篇 / 278目标</x:v>
      </x:c>
    </x:row>
    <x:row r="5" ht="43" customHeight="1">
      <x:c r="A5" s="63" t="str">
        <x:v>正文来源</x:v>
      </x:c>
      <x:c r="B5" s="64" t="str">
        <x:v>冻结页面缓存，统一重建逐页文本</x:v>
      </x:c>
      <x:c r="C5" s="65" t="str">
        <x:v>61/61篇，1,135页</x:v>
      </x:c>
    </x:row>
    <x:row r="6" ht="43" customHeight="1">
      <x:c r="A6" s="63" t="str">
        <x:v>预测器可见字段</x:v>
      </x:c>
      <x:c r="B6" s="64" t="str">
        <x:v>REFNO、RESULTNO、ROCKUNITNO、ROCKNAME、RLAT/RLONG、COMPONENT、SLAT/SLONG、DEC/INC、PLAT/PLONG、PTYPE</x:v>
      </x:c>
      <x:c r="C6" s="65" t="str">
        <x:v>14字段</x:v>
      </x:c>
    </x:row>
    <x:row r="7" ht="43" customHeight="1">
      <x:c r="A7" s="63" t="str">
        <x:v>预测器禁止来源</x:v>
      </x:c>
      <x:c r="B7" s="64" t="str">
        <x:v>PMAGRESULT.ROCKMAG/TESTS/LABDETAILS/COMMENTS、历史R3、旧预测、旧评测</x:v>
      </x:c>
      <x:c r="C7" s="65" t="str">
        <x:v>均未读取</x:v>
      </x:c>
    </x:row>
    <x:row r="8" ht="43" customHeight="1">
      <x:c r="A8" s="63" t="str">
        <x:v>PRESENT</x:v>
      </x:c>
      <x:c r="B8" s="64" t="str">
        <x:v>找到足够的目标绑定方法与载磁矿物或诊断证据，输出非空 ROCKMAG</x:v>
      </x:c>
      <x:c r="C8" s="65" t="str">
        <x:v>122行</x:v>
      </x:c>
    </x:row>
    <x:row r="9" ht="43" customHeight="1">
      <x:c r="A9" s="63" t="str">
        <x:v>ABSENT</x:v>
      </x:c>
      <x:c r="B9" s="64" t="str">
        <x:v>目标锚点可靠但未发现 ROCKMAG 证据，输出明确空值</x:v>
      </x:c>
      <x:c r="C9" s="65" t="str">
        <x:v>12行</x:v>
      </x:c>
    </x:row>
    <x:row r="10" ht="43" customHeight="1">
      <x:c r="A10" s="63" t="str">
        <x:v>ABSTAIN</x:v>
      </x:c>
      <x:c r="B10" s="64" t="str">
        <x:v>目标锚点或证据不足，不应解释为真实空值</x:v>
      </x:c>
      <x:c r="C10" s="65" t="str">
        <x:v>144行</x:v>
      </x:c>
    </x:row>
    <x:row r="11" ht="43" customHeight="1">
      <x:c r="A11" s="63" t="str">
        <x:v>全量强制二分类</x:v>
      </x:c>
      <x:c r="B11" s="64" t="str">
        <x:v>沿用现有 direct_r3 规则：只有 PRESENT=1，其余状态=0</x:v>
      </x:c>
      <x:c r="C11" s="65" t="str">
        <x:v>仅用于与原表同分母比较</x:v>
      </x:c>
    </x:row>
    <x:row r="12" ht="43" customHeight="1">
      <x:c r="A12" s="63" t="str">
        <x:v>明确判定口径</x:v>
      </x:c>
      <x:c r="B12" s="64" t="str">
        <x:v>仅统计 PRESENT 与 ABSENT</x:v>
      </x:c>
      <x:c r="C12" s="65" t="str">
        <x:v>134/278 = 48.20%</x:v>
      </x:c>
    </x:row>
    <x:row r="13" ht="43" customHeight="1">
      <x:c r="A13" s="63" t="str">
        <x:v>标签关系</x:v>
      </x:c>
      <x:c r="B13" s="64" t="str">
        <x:v>历史 ROCKMAG 是否非空并不完全等同历史 R3</x:v>
      </x:c>
      <x:c r="C13" s="65" t="str">
        <x:v>18行不一致；一致率93.53%</x:v>
      </x:c>
    </x:row>
    <x:row r="14" ht="43" customHeight="1">
      <x:c r="A14" s="63" t="str">
        <x:v>字段值评估</x:v>
      </x:c>
      <x:c r="B14" s="64" t="str">
        <x:v>ROCKMAG 存在性是主指标；字符串完全一致另列，不把编码同义词自动视为相同</x:v>
      </x:c>
      <x:c r="C14" s="65" t="str">
        <x:v>真非空且预测非空78行，仅4行字符串完全一致</x:v>
      </x:c>
    </x:row>
    <x:row r="15" ht="43" customHeight="1">
      <x:c r="A15" s="63" t="str">
        <x:v>身份清单 SHA-256</x:v>
      </x:c>
      <x:c r="B15" s="64" t="str">
        <x:v>/Users/lihd/discovery/paleomagnetic-r3-workflow/dist/paleomagnetic-r357-calibrated-workflow-full/outputs/rockmag_mixed_label_multitarget_20260717/identity_manifest.locators.json</x:v>
      </x:c>
      <x:c r="C15" s="65" t="str">
        <x:v>f1be8cfbfc3d2f92fabdc4ce96009f2968ee89bb43520bb25ebc2685061b5018</x:v>
      </x:c>
    </x:row>
    <x:row r="16" ht="43" customHeight="1">
      <x:c r="A16" s="66" t="str">
        <x:v>盲测预测 SHA-256</x:v>
      </x:c>
      <x:c r="B16" s="67" t="str">
        <x:v>/Users/lihd/discovery/paleomagnetic-r3-workflow/dist/paleomagnetic-r357-calibrated-workflow-full/outputs/rockmag_mixed_label_multitarget_20260717/predictions.locator.v22.blind.jsonl</x:v>
      </x:c>
      <x:c r="C16" s="68" t="str">
        <x:v>8014d48be11f622e1421cb2f01f907e5a6b43199c719e92c85ab6329d50b97f8</x:v>
      </x:c>
    </x:row>
  </x:sheetData>
  <x:mergeCells>
    <x:mergeCell ref="A1:C1"/>
  </x:mergeCells>
  <x:pageMargins left="0.7" right="0.7" top="0.75" bottom="0.75" header="0.3" footer="0.3"/>
</x:worksheet>
</file>