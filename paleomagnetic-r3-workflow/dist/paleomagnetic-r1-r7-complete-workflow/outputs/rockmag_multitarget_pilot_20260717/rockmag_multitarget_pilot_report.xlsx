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f4cbbf7183f248d8" /></Relationships>
</file>

<file path=xl/workbook.xml><?xml version="1.0" encoding="utf-8"?>
<x:workbook xmlns:x="http://schemas.openxmlformats.org/spreadsheetml/2006/main">
  <x:sheets>
    <x:sheet xmlns:r="http://schemas.openxmlformats.org/officeDocument/2006/relationships" name="Summary" sheetId="1" r:id="Rf74f17b92ec64d2e"/>
    <x:sheet xmlns:r="http://schemas.openxmlformats.org/officeDocument/2006/relationships" name="Review" sheetId="2" r:id="R8dba334666724054"/>
    <x:sheet xmlns:r="http://schemas.openxmlformats.org/officeDocument/2006/relationships" name="Predictions" sheetId="3" r:id="R081672703ebb43ba"/>
    <x:sheet xmlns:r="http://schemas.openxmlformats.org/officeDocument/2006/relationships" name="Evidence" sheetId="4" r:id="R1a1cccb1791a46c3"/>
    <x:sheet xmlns:r="http://schemas.openxmlformats.org/officeDocument/2006/relationships" name="Protocol" sheetId="5" r:id="Reccad6311ded4e8e"/>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0.0%"/>
    <x:numFmt numFmtId="201" formatCode="0"/>
    <x:numFmt numFmtId="202" formatCode="0.00"/>
  </x:numFmts>
  <x:fonts count="4">
    <x:font>
      <x:sz val="11"/>
      <x:name val="Carlito"/>
    </x:font>
    <x:font>
      <x:b/>
      <x:sz val="11"/>
      <x:color rgb="FFFFFFFF"/>
      <x:name val="Carlito"/>
    </x:font>
    <x:font>
      <x:b/>
      <x:sz val="11"/>
      <x:color rgb="FF1F2933"/>
      <x:name val="Carlito"/>
    </x:font>
    <x:font>
      <x:sz val="11"/>
      <x:color rgb="FF1F2933"/>
      <x:name val="Carlito"/>
    </x:font>
  </x:fonts>
  <x:fills count="4">
    <x:fill>
      <x:patternFill patternType="none"/>
    </x:fill>
    <x:fill>
      <x:patternFill patternType="gray125"/>
    </x:fill>
    <x:fill>
      <x:patternFill patternType="solid">
        <x:fgColor rgb="FF1F3A3D"/>
      </x:patternFill>
    </x:fill>
    <x:fill>
      <x:patternFill patternType="solid">
        <x:fgColor rgb="FF2F6F73"/>
      </x:patternFill>
    </x:fill>
  </x:fills>
  <x:borders count="1">
    <x:border/>
  </x:borders>
  <x:cellStyleXfs count="1">
    <x:xf numFmtId="0" fontId="0" fillId="0" borderId="0"/>
  </x:cellStyleXfs>
  <x:cellXfs count="29">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1" fillId="3" borderId="0" xfId="0" applyNumberFormat="1" applyFont="1" applyFill="1" applyBorder="1"/>
    <x:xf numFmtId="200" fontId="0" fillId="0" borderId="0" xfId="0" applyNumberFormat="1" applyFont="1" applyFill="1" applyBorder="1"/>
    <x:xf numFmtId="201" fontId="0" fillId="0" borderId="0" xfId="0" applyNumberFormat="1" applyFont="1" applyFill="1" applyBorder="1"/>
    <x:xf numFmtId="0" fontId="0" fillId="0" borderId="0" xfId="0">
      <x:extLst>
        <x:ext uri="{C7286773-470A-42A8-94C5-96B5CB345126}">
          <xfpb:xfComplement xmlns:xfpb="http://schemas.microsoft.com/office/spreadsheetml/2022/featurepropertybag" i="0"/>
        </x:ext>
      </x:extLst>
    </x:xf>
    <x:xf numFmtId="202" fontId="0" fillId="0" borderId="0" xfId="0" applyNumberFormat="1" applyFont="1" applyFill="1" applyBorder="1"/>
    <x:xf numFmtId="0" fontId="2" fillId="2" borderId="0" xfId="0" applyNumberFormat="1" applyFont="1" applyFill="1" applyBorder="1"/>
    <x:xf numFmtId="0" fontId="3" fillId="0" borderId="0" xfId="0" applyNumberFormat="1" applyFont="1" applyFill="1" applyBorder="1"/>
    <x:xf numFmtId="0" fontId="2" fillId="3" borderId="0" xfId="0" applyNumberFormat="1" applyFont="1" applyFill="1" applyBorder="1"/>
    <x:xf numFmtId="201" fontId="3" fillId="0" borderId="0" xfId="0" applyNumberFormat="1" applyFont="1" applyFill="1" applyBorder="1"/>
    <x:xf numFmtId="200" fontId="3" fillId="0" borderId="0" xfId="0" applyNumberFormat="1" applyFont="1" applyFill="1" applyBorder="1"/>
    <x:xf numFmtId="0" fontId="2" fillId="2" borderId="0" xfId="0" applyNumberFormat="1" applyFont="1" applyFill="1" applyBorder="1" applyAlignment="1">
      <x:alignment vertical="top"/>
    </x:xf>
    <x:xf numFmtId="0" fontId="3" fillId="0" borderId="0" xfId="0" applyNumberFormat="1" applyFont="1" applyFill="1" applyBorder="1" applyAlignment="1">
      <x:alignment vertical="top"/>
    </x:xf>
    <x:xf numFmtId="0" fontId="2" fillId="3" borderId="0" xfId="0" applyNumberFormat="1" applyFont="1" applyFill="1" applyBorder="1" applyAlignment="1">
      <x:alignment vertical="top"/>
    </x:xf>
    <x:xf numFmtId="201" fontId="3" fillId="0" borderId="0" xfId="0" applyNumberFormat="1" applyFont="1" applyFill="1" applyBorder="1" applyAlignment="1">
      <x:alignment vertical="top"/>
    </x:xf>
    <x:xf numFmtId="200" fontId="3" fillId="0" borderId="0" xfId="0" applyNumberFormat="1" applyFont="1" applyFill="1" applyBorder="1" applyAlignment="1">
      <x:alignment vertical="top"/>
    </x:xf>
    <x:xf numFmtId="202" fontId="3" fillId="0" borderId="0" xfId="0" applyNumberFormat="1" applyFont="1" applyFill="1" applyBorder="1"/>
    <x:xf numFmtId="0" fontId="3" fillId="0" borderId="0" xfId="0" applyNumberFormat="1" applyFont="1" applyFill="1" applyBorder="1">
      <x:extLst>
        <x:ext uri="{C7286773-470A-42A8-94C5-96B5CB345126}">
          <xfpb:xfComplement xmlns:xfpb="http://schemas.microsoft.com/office/spreadsheetml/2022/featurepropertybag" i="0"/>
        </x:ext>
      </x:extLst>
    </x:xf>
    <x:xf numFmtId="202" fontId="3" fillId="0" borderId="0" xfId="0" applyNumberFormat="1" applyFont="1" applyFill="1" applyBorder="1" applyAlignment="1">
      <x:alignment vertical="top"/>
    </x:xf>
    <x:xf numFmtId="0" fontId="3"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1" fillId="2" borderId="0" xfId="0" applyNumberFormat="1" applyFont="1" applyFill="1" applyBorder="1" applyAlignment="1">
      <x:alignment vertical="top"/>
    </x:xf>
    <x:xf numFmtId="0" fontId="2" fillId="3" borderId="0" xfId="0" applyNumberFormat="1" applyFont="1" applyFill="1" applyBorder="1" applyAlignment="1">
      <x:alignment vertical="top" wrapText="1"/>
    </x:xf>
    <x:xf numFmtId="0" fontId="3" fillId="0" borderId="0" xfId="0" applyNumberFormat="1" applyFont="1" applyFill="1" applyBorder="1" applyAlignment="1">
      <x:alignment vertical="top" wrapText="1"/>
    </x:xf>
    <x:xf numFmtId="200" fontId="3" fillId="0"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202" fontId="3" fillId="0" borderId="0" xfId="0" applyNumberFormat="1" applyFont="1" applyFill="1" applyBorder="1" applyAlignment="1">
      <x:alignment vertical="top" wrapText="1"/>
    </x:xf>
  </x:cellXfs>
  <x:cellStyles count="1">
    <x:cellStyle name="Normal" xfId="0"/>
  </x:cellStyles>
  <x:dxfs count="9">
    <x:dxf>
      <x:fill>
        <x:patternFill patternType="solid">
          <x:bgColor rgb="FFDCEFE2"/>
        </x:patternFill>
      </x:fill>
    </x:dxf>
    <x:dxf>
      <x:fill>
        <x:patternFill patternType="solid">
          <x:bgColor rgb="FFF7DDDA"/>
        </x:patternFill>
      </x:fill>
    </x:dxf>
    <x:dxf>
      <x:fill>
        <x:patternFill patternType="solid">
          <x:bgColor rgb="FFF6EBCB"/>
        </x:patternFill>
      </x:fill>
    </x:dxf>
    <x:dxf>
      <x:fill>
        <x:patternFill patternType="solid">
          <x:bgColor rgb="FFF6EBCB"/>
        </x:patternFill>
      </x:fill>
    </x:dxf>
    <x:dxf>
      <x:fill>
        <x:patternFill patternType="solid">
          <x:bgColor rgb="FFDCEFE2"/>
        </x:patternFill>
      </x:fill>
    </x:dxf>
    <x:dxf>
      <x:fill>
        <x:patternFill patternType="solid">
          <x:bgColor rgb="FFDCEFE2"/>
        </x:patternFill>
      </x:fill>
    </x:dxf>
    <x:dxf>
      <x:fill>
        <x:patternFill patternType="solid">
          <x:bgColor rgb="FFF6EBCB"/>
        </x:patternFill>
      </x:fill>
    </x:dxf>
    <x:dxf>
      <x:fill>
        <x:patternFill patternType="solid">
          <x:bgColor rgb="FFDCEFE2"/>
        </x:patternFill>
      </x:fill>
    </x:dxf>
    <x:dxf>
      <x:fill>
        <x:patternFill patternType="solid">
          <x:bgColor rgb="FFF7DDDA"/>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f47008ab2f2145b8" /><Relationship Type="http://schemas.openxmlformats.org/officeDocument/2006/relationships/theme" Target="/xl/theme/theme1.xml" Id="R236ff555c1f74623" /><Relationship Type="http://schemas.microsoft.com/office/2022/11/relationships/FeaturePropertyBag" Target="/xl/featurePropertyBag/featurePropertyBag.xml" Id="R74b20abdbd6b4bb3" /><Relationship Type="http://schemas.openxmlformats.org/officeDocument/2006/relationships/sharedStrings" Target="/xl/sharedStrings.xml" Id="Rcdc31f0f2a484c71" /><Relationship Type="http://schemas.openxmlformats.org/officeDocument/2006/relationships/worksheet" Target="/xl/worksheets/sheet1.xml" Id="Rf74f17b92ec64d2e" /><Relationship Type="http://schemas.openxmlformats.org/officeDocument/2006/relationships/worksheet" Target="/xl/worksheets/sheet2.xml" Id="R8dba334666724054" /><Relationship Type="http://schemas.openxmlformats.org/officeDocument/2006/relationships/worksheet" Target="/xl/worksheets/sheet3.xml" Id="R081672703ebb43ba" /><Relationship Type="http://schemas.openxmlformats.org/officeDocument/2006/relationships/worksheet" Target="/xl/worksheets/sheet4.xml" Id="R1a1cccb1791a46c3" /><Relationship Type="http://schemas.openxmlformats.org/officeDocument/2006/relationships/worksheet" Target="/xl/worksheets/sheet5.xml" Id="Reccad6311ded4e8e"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PaperSummaryTable" displayName="PaperSummaryTable" ref="A21:J31" headerRowCount="1" totalsRowCount="0" totalsRowShown="0">
  <x:tableColumns count="10">
    <x:tableColumn id="1" name="REFNO"/>
    <x:tableColumn id="2" name="Paper"/>
    <x:tableColumn id="3" name="Targets"/>
    <x:tableColumn id="4" name="Historical nonempty"/>
    <x:tableColumn id="5" name="Historical R3=1"/>
    <x:tableColumn id="6" name="Strict present"/>
    <x:tableColumn id="7" name="Practical present"/>
    <x:tableColumn id="8" name="Practical field acc."/>
    <x:tableColumn id="9" name="Practical R3 acc."/>
    <x:tableColumn id="10" name="Dominant issue"/>
  </x:tableColumns>
  <x:tableStyleInfo name="TableStyleMedium2" showFirstColumn="0" showLastColumn="0" showRowStripes="1" showColumnStripes="0"/>
</x:table>
</file>

<file path=xl/tables/table2.xml><?xml version="1.0" encoding="utf-8"?>
<x:table xmlns:x="http://schemas.openxmlformats.org/spreadsheetml/2006/main" id="3" name="TargetReviewTable" displayName="TargetReviewTable" ref="A1:M63" headerRowCount="1" totalsRowCount="0" totalsRowShown="0">
  <x:tableColumns count="13">
    <x:tableColumn id="1" name="REFNO"/>
    <x:tableColumn id="2" name="RESULTNO"/>
    <x:tableColumn id="3" name="ROCKNAME"/>
    <x:tableColumn id="4" name="PRACTICAL_STATUS"/>
    <x:tableColumn id="5" name="PREDICTED_ROCKMAG"/>
    <x:tableColumn id="6" name="DIRECT_R3"/>
    <x:tableColumn id="7" name="HIST_ROCKMAG"/>
    <x:tableColumn id="8" name="HIST_R3"/>
    <x:tableColumn id="9" name="ERROR_TYPE"/>
    <x:tableColumn id="10" name="EVIDENCE_PAGES"/>
    <x:tableColumn id="11" name="TARGET_ANCHOR"/>
    <x:tableColumn id="12" name="HAS_FIELD_MATCH"/>
    <x:tableColumn id="13" name="R3_MATCH"/>
  </x:tableColumns>
  <x:tableStyleInfo name="TableStyleMedium2" showFirstColumn="0" showLastColumn="0" showRowStripes="1" showColumnStripes="0"/>
</x:table>
</file>

<file path=xl/tables/table3.xml><?xml version="1.0" encoding="utf-8"?>
<x:table xmlns:x="http://schemas.openxmlformats.org/spreadsheetml/2006/main" id="2" name="PredictionAuditTable" displayName="PredictionAuditTable" ref="A1:AA63" headerRowCount="1" totalsRowCount="0" totalsRowShown="0">
  <x:tableColumns count="27">
    <x:tableColumn id="1" name="REFNO"/>
    <x:tableColumn id="2" name="RESULTNO"/>
    <x:tableColumn id="3" name="ROCKNAME"/>
    <x:tableColumn id="4" name="HIST_ROCKMAG"/>
    <x:tableColumn id="5" name="HIST_R3"/>
    <x:tableColumn id="6" name="HIST_HAS_ROCKMAG"/>
    <x:tableColumn id="7" name="STRICT_STATUS"/>
    <x:tableColumn id="8" name="STRICT_ROCKMAG"/>
    <x:tableColumn id="9" name="STRICT_R3_DIRECT"/>
    <x:tableColumn id="10" name="PRACTICAL_STATUS"/>
    <x:tableColumn id="11" name="PRACTICAL_ROCKMAG"/>
    <x:tableColumn id="12" name="PRACTICAL_R3_DIRECT"/>
    <x:tableColumn id="13" name="STRICT_FIELD_MATCH"/>
    <x:tableColumn id="14" name="PRACTICAL_FIELD_MATCH"/>
    <x:tableColumn id="15" name="STRICT_R3_MATCH"/>
    <x:tableColumn id="16" name="PRACTICAL_R3_MATCH"/>
    <x:tableColumn id="17" name="PRACT_METHOD_OVERLAP"/>
    <x:tableColumn id="18" name="PRACT_CARRIER_OVERLAP"/>
    <x:tableColumn id="19" name="PRACT_SEMANTIC_JACCARD"/>
    <x:tableColumn id="20" name="ERROR_TYPE"/>
    <x:tableColumn id="21" name="PRACT_CONFIDENCE"/>
    <x:tableColumn id="22" name="TARGET_ANCHOR"/>
    <x:tableColumn id="23" name="EVIDENCE_PAGES"/>
    <x:tableColumn id="24" name="EVIDENCE_QUOTE"/>
    <x:tableColumn id="25" name="SOURCE_TEXT"/>
    <x:tableColumn id="26" name="IDENTITY_AMBIGUOUS"/>
    <x:tableColumn id="27" name="HIST_FIELD_R3_MATCH"/>
  </x:tableColumns>
  <x:tableStyleInfo name="TableStyleMedium2" showFirstColumn="0" showLastColumn="0" showRowStripes="1" showColumnStripes="0"/>
</x:table>
</file>

<file path=xl/tables/table4.xml><?xml version="1.0" encoding="utf-8"?>
<x:table xmlns:x="http://schemas.openxmlformats.org/spreadsheetml/2006/main" id="4" name="EvidenceAuditTable" displayName="EvidenceAuditTable" ref="A1:K143" headerRowCount="1" totalsRowCount="0" totalsRowShown="0">
  <x:tableColumns count="11">
    <x:tableColumn id="1" name="POLICY"/>
    <x:tableColumn id="2" name="REFNO"/>
    <x:tableColumn id="3" name="RESULTNO"/>
    <x:tableColumn id="4" name="ROCKNAME"/>
    <x:tableColumn id="5" name="STATUS"/>
    <x:tableColumn id="6" name="PREDICTED_ROCKMAG"/>
    <x:tableColumn id="7" name="CATEGORY"/>
    <x:tableColumn id="8" name="PAGE"/>
    <x:tableColumn id="9" name="TARGET_BINDING"/>
    <x:tableColumn id="10" name="QUOTE"/>
    <x:tableColumn id="11" name="SOURCE_TEXT"/>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b5acfea2abca46c2" /></Relationships>
</file>

<file path=xl/worksheets/_rels/sheet2.xml.rels>&#65279;<?xml version="1.0" encoding="utf-8"?><Relationships xmlns="http://schemas.openxmlformats.org/package/2006/relationships"><Relationship Type="http://schemas.openxmlformats.org/officeDocument/2006/relationships/table" Target="/xl/tables/table2.xml" Id="R7d71996642904f30" /></Relationships>
</file>

<file path=xl/worksheets/_rels/sheet3.xml.rels>&#65279;<?xml version="1.0" encoding="utf-8"?><Relationships xmlns="http://schemas.openxmlformats.org/package/2006/relationships"><Relationship Type="http://schemas.openxmlformats.org/officeDocument/2006/relationships/table" Target="/xl/tables/table3.xml" Id="R7e7ed653f66c48d1" /></Relationships>
</file>

<file path=xl/worksheets/_rels/sheet4.xml.rels>&#65279;<?xml version="1.0" encoding="utf-8"?><Relationships xmlns="http://schemas.openxmlformats.org/package/2006/relationships"><Relationship Type="http://schemas.openxmlformats.org/officeDocument/2006/relationships/table" Target="/xl/tables/table4.xml" Id="R750f0620728e45f7" /></Relationships>
</file>

<file path=xl/worksheets/sheet1.xml><?xml version="1.0" encoding="utf-8"?>
<x:worksheet xmlns:x="http://schemas.openxmlformats.org/spreadsheetml/2006/main">
  <x:sheetViews>
    <x:sheetView showGridLines="0" workbookViewId="0"/>
  </x:sheetViews>
  <x:sheetFormatPr defaultRowHeight="15"/>
  <x:cols>
    <x:col min="1" max="1" width="25" hidden="0" customWidth="1"/>
    <x:col min="2" max="2" width="48" hidden="0" customWidth="1"/>
    <x:col min="3" max="3" width="16" hidden="0" customWidth="1"/>
    <x:col min="4" max="4" width="34" hidden="0" customWidth="1"/>
    <x:col min="5" max="5" width="16" hidden="0" customWidth="1"/>
    <x:col min="6" max="6" width="16" hidden="0" customWidth="1"/>
    <x:col min="7" max="7" width="16" hidden="0" customWidth="1"/>
    <x:col min="8" max="8" width="16" hidden="0" customWidth="1"/>
    <x:col min="9" max="9" width="16" hidden="0" customWidth="1"/>
    <x:col min="10" max="10" width="30" hidden="0" customWidth="1"/>
  </x:cols>
  <x:sheetData>
    <x:row r="1">
      <x:c r="A1" s="23" t="str">
        <x:v>Target-specific ROCKMAG reconstruction pilot</x:v>
      </x:c>
      <x:c r="B1" s="23"/>
      <x:c r="C1" s="23"/>
      <x:c r="D1" s="23"/>
      <x:c r="E1" s="15"/>
      <x:c r="F1" s="15"/>
      <x:c r="G1" s="15"/>
      <x:c r="H1" s="15"/>
      <x:c r="I1" s="15"/>
      <x:c r="J1" s="15"/>
    </x:row>
    <x:row r="2">
      <x:c r="A2" s="15"/>
      <x:c r="B2" s="15"/>
      <x:c r="C2" s="15"/>
      <x:c r="D2" s="15"/>
      <x:c r="E2" s="15"/>
      <x:c r="F2" s="15"/>
      <x:c r="G2" s="15"/>
      <x:c r="H2" s="15"/>
      <x:c r="I2" s="15"/>
      <x:c r="J2" s="15"/>
    </x:row>
    <x:row r="3">
      <x:c r="A3" s="24" t="str">
        <x:v>Design</x:v>
      </x:c>
      <x:c r="B3" s="24" t="str">
        <x:v>Value</x:v>
      </x:c>
      <x:c r="C3" s="15"/>
      <x:c r="D3" s="15"/>
      <x:c r="E3" s="15"/>
      <x:c r="F3" s="15"/>
      <x:c r="G3" s="15"/>
      <x:c r="H3" s="15"/>
      <x:c r="I3" s="15"/>
      <x:c r="J3" s="15"/>
    </x:row>
    <x:row r="4">
      <x:c r="A4" s="25" t="str">
        <x:v>Papers</x:v>
      </x:c>
      <x:c r="B4" s="25" t="n">
        <x:v>10</x:v>
      </x:c>
      <x:c r="C4" s="15"/>
      <x:c r="D4" s="15"/>
      <x:c r="E4" s="15"/>
      <x:c r="F4" s="15"/>
      <x:c r="G4" s="15"/>
      <x:c r="H4" s="15"/>
      <x:c r="I4" s="15"/>
      <x:c r="J4" s="15"/>
    </x:row>
    <x:row r="5">
      <x:c r="A5" s="25" t="str">
        <x:v>Targets</x:v>
      </x:c>
      <x:c r="B5" s="25" t="n">
        <x:v>62</x:v>
      </x:c>
      <x:c r="C5" s="15"/>
      <x:c r="D5" s="15"/>
      <x:c r="E5" s="15"/>
      <x:c r="F5" s="15"/>
      <x:c r="G5" s="15"/>
      <x:c r="H5" s="15"/>
      <x:c r="I5" s="15"/>
      <x:c r="J5" s="15"/>
    </x:row>
    <x:row r="6">
      <x:c r="A6" s="25" t="str">
        <x:v>Blind prediction policies</x:v>
      </x:c>
      <x:c r="B6" s="25" t="str">
        <x:v>strict + practical</x:v>
      </x:c>
      <x:c r="C6" s="15"/>
      <x:c r="D6" s="15"/>
      <x:c r="E6" s="15"/>
      <x:c r="F6" s="15"/>
      <x:c r="G6" s="15"/>
      <x:c r="H6" s="15"/>
      <x:c r="I6" s="15"/>
      <x:c r="J6" s="15"/>
    </x:row>
    <x:row r="7">
      <x:c r="A7" s="25" t="str">
        <x:v>Historical fields opened</x:v>
      </x:c>
      <x:c r="B7" s="25" t="str">
        <x:v>Only after both prediction files were frozen</x:v>
      </x:c>
      <x:c r="C7" s="15"/>
      <x:c r="D7" s="15"/>
      <x:c r="E7" s="15"/>
      <x:c r="F7" s="15"/>
      <x:c r="G7" s="15"/>
      <x:c r="H7" s="15"/>
      <x:c r="I7" s="15"/>
      <x:c r="J7" s="15"/>
    </x:row>
    <x:row r="8">
      <x:c r="A8" s="25" t="str">
        <x:v>Interpretation</x:v>
      </x:c>
      <x:c r="B8" s="25" t="str">
        <x:v>Deliberately difficult multi-target pilot; not an independent validation set</x:v>
      </x:c>
      <x:c r="C8" s="15"/>
      <x:c r="D8" s="15"/>
      <x:c r="E8" s="15"/>
      <x:c r="F8" s="15"/>
      <x:c r="G8" s="15"/>
      <x:c r="H8" s="15"/>
      <x:c r="I8" s="15"/>
      <x:c r="J8" s="15"/>
    </x:row>
    <x:row r="9">
      <x:c r="A9" s="15"/>
      <x:c r="B9" s="15"/>
      <x:c r="C9" s="15"/>
      <x:c r="D9" s="15"/>
      <x:c r="E9" s="15"/>
      <x:c r="F9" s="15"/>
      <x:c r="G9" s="15"/>
      <x:c r="H9" s="15"/>
      <x:c r="I9" s="15"/>
      <x:c r="J9" s="15"/>
    </x:row>
    <x:row r="10">
      <x:c r="A10" s="16" t="str">
        <x:v>Metric</x:v>
      </x:c>
      <x:c r="B10" s="16" t="str">
        <x:v>Strict</x:v>
      </x:c>
      <x:c r="C10" s="16" t="str">
        <x:v>Practical</x:v>
      </x:c>
      <x:c r="D10" s="16" t="str">
        <x:v>Oracle historical ROCKMAG presence</x:v>
      </x:c>
      <x:c r="E10" s="15"/>
      <x:c r="F10" s="15"/>
      <x:c r="G10" s="15"/>
      <x:c r="H10" s="15"/>
      <x:c r="I10" s="15"/>
      <x:c r="J10" s="15"/>
    </x:row>
    <x:row r="11">
      <x:c r="A11" s="15" t="str">
        <x:v>Predicted ROCKMAG fields</x:v>
      </x:c>
      <x:c r="B11" s="17" t="n">
        <x:f>COUNTIF('Predictions'!$G$2:$G$63,"PRESENT")</x:f>
        <x:v>1</x:v>
      </x:c>
      <x:c r="C11" s="17" t="n">
        <x:f>COUNTIF('Predictions'!$J$2:$J$63,"PRESENT")</x:f>
        <x:v>12</x:v>
      </x:c>
      <x:c r="D11" s="17" t="n">
        <x:f>COUNTIF('Predictions'!$F$2:$F$63,1)</x:f>
        <x:v>30</x:v>
      </x:c>
      <x:c r="E11" s="15"/>
      <x:c r="F11" s="15"/>
      <x:c r="G11" s="15"/>
      <x:c r="H11" s="15"/>
      <x:c r="I11" s="15"/>
      <x:c r="J11" s="15"/>
    </x:row>
    <x:row r="12">
      <x:c r="A12" s="15" t="str">
        <x:v>Decision coverage</x:v>
      </x:c>
      <x:c r="B12" s="18" t="n">
        <x:f>(COUNTIF('Predictions'!$G$2:$G$63,"PRESENT")+COUNTIF('Predictions'!$G$2:$G$63,"ABSENT"))/62</x:f>
        <x:v>0.45161290322580644</x:v>
      </x:c>
      <x:c r="C12" s="18" t="n">
        <x:f>(COUNTIF('Predictions'!$J$2:$J$63,"PRESENT")+COUNTIF('Predictions'!$J$2:$J$63,"ABSENT"))/62</x:f>
        <x:v>0.20967741935483872</x:v>
      </x:c>
      <x:c r="D12" s="18" t="n">
        <x:f>1</x:f>
        <x:v>1</x:v>
      </x:c>
      <x:c r="E12" s="15"/>
      <x:c r="F12" s="15"/>
      <x:c r="G12" s="15"/>
      <x:c r="H12" s="15"/>
      <x:c r="I12" s="15"/>
      <x:c r="J12" s="15"/>
    </x:row>
    <x:row r="13">
      <x:c r="A13" s="15" t="str">
        <x:v>Field-presence accuracy</x:v>
      </x:c>
      <x:c r="B13" s="18" t="n">
        <x:f>AVERAGE('Predictions'!$M$2:$M$63)</x:f>
        <x:v>0.532258064516129</x:v>
      </x:c>
      <x:c r="C13" s="18" t="n">
        <x:f>AVERAGE('Predictions'!$N$2:$N$63)</x:f>
        <x:v>0.5806451612903226</x:v>
      </x:c>
      <x:c r="D13" s="18" t="n">
        <x:f>AVERAGE('Predictions'!$AA$2:$AA$63)</x:f>
        <x:v>0.9193548387096774</x:v>
      </x:c>
      <x:c r="E13" s="15"/>
      <x:c r="F13" s="15"/>
      <x:c r="G13" s="15"/>
      <x:c r="H13" s="15"/>
      <x:c r="I13" s="15"/>
      <x:c r="J13" s="15"/>
    </x:row>
    <x:row r="14">
      <x:c r="A14" s="15" t="str">
        <x:v>Field-presence precision</x:v>
      </x:c>
      <x:c r="B14" s="18" t="n">
        <x:f>1</x:f>
        <x:v>1</x:v>
      </x:c>
      <x:c r="C14" s="18" t="n">
        <x:f>0.6666666666666666</x:f>
        <x:v>0.6666666666666666</x:v>
      </x:c>
      <x:c r="D14" s="18" t="n">
        <x:f>0.9</x:f>
        <x:v>0.9</x:v>
      </x:c>
      <x:c r="E14" s="15"/>
      <x:c r="F14" s="15"/>
      <x:c r="G14" s="15"/>
      <x:c r="H14" s="15"/>
      <x:c r="I14" s="15"/>
      <x:c r="J14" s="15"/>
    </x:row>
    <x:row r="15">
      <x:c r="A15" s="15" t="str">
        <x:v>Field-presence recall</x:v>
      </x:c>
      <x:c r="B15" s="18" t="n">
        <x:f>0.03333333333333333</x:f>
        <x:v>0.03333333333333333</x:v>
      </x:c>
      <x:c r="C15" s="18" t="n">
        <x:f>0.26666666666666666</x:f>
        <x:v>0.26666666666666666</x:v>
      </x:c>
      <x:c r="D15" s="18" t="n">
        <x:f>0.9310344827586207</x:f>
        <x:v>0.9310344827586207</x:v>
      </x:c>
      <x:c r="E15" s="15"/>
      <x:c r="F15" s="15"/>
      <x:c r="G15" s="15"/>
      <x:c r="H15" s="15"/>
      <x:c r="I15" s="15"/>
      <x:c r="J15" s="15"/>
    </x:row>
    <x:row r="16">
      <x:c r="A16" s="15" t="str">
        <x:v>Field-presence F1</x:v>
      </x:c>
      <x:c r="B16" s="18" t="n">
        <x:f>0.06451612903225806</x:f>
        <x:v>0.06451612903225806</x:v>
      </x:c>
      <x:c r="C16" s="18" t="n">
        <x:f>0.3809523809523809</x:f>
        <x:v>0.3809523809523809</x:v>
      </x:c>
      <x:c r="D16" s="18" t="n">
        <x:f>0.9152542372881356</x:f>
        <x:v>0.9152542372881356</x:v>
      </x:c>
      <x:c r="E16" s="15"/>
      <x:c r="F16" s="15"/>
      <x:c r="G16" s="15"/>
      <x:c r="H16" s="15"/>
      <x:c r="I16" s="15"/>
      <x:c r="J16" s="15"/>
    </x:row>
    <x:row r="17">
      <x:c r="A17" s="15" t="str">
        <x:v>Direct R3 accuracy</x:v>
      </x:c>
      <x:c r="B17" s="18" t="n">
        <x:f>AVERAGE('Predictions'!$O$2:$O$63)</x:f>
        <x:v>0.5483870967741935</x:v>
      </x:c>
      <x:c r="C17" s="18" t="n">
        <x:f>AVERAGE('Predictions'!$P$2:$P$63)</x:f>
        <x:v>0.6290322580645161</x:v>
      </x:c>
      <x:c r="D17" s="18" t="n">
        <x:f>AVERAGE('Predictions'!$AA$2:$AA$63)</x:f>
        <x:v>0.9193548387096774</x:v>
      </x:c>
      <x:c r="E17" s="15"/>
      <x:c r="F17" s="15"/>
      <x:c r="G17" s="15"/>
      <x:c r="H17" s="15"/>
      <x:c r="I17" s="15"/>
      <x:c r="J17" s="15"/>
    </x:row>
    <x:row r="18">
      <x:c r="A18" s="15" t="str">
        <x:v>Direct R3 precision</x:v>
      </x:c>
      <x:c r="B18" s="18" t="n">
        <x:f>1</x:f>
        <x:v>1</x:v>
      </x:c>
      <x:c r="C18" s="18" t="n">
        <x:f>0.75</x:f>
        <x:v>0.75</x:v>
      </x:c>
      <x:c r="D18" s="18" t="n">
        <x:f>0.9</x:f>
        <x:v>0.9</x:v>
      </x:c>
      <x:c r="E18" s="15"/>
      <x:c r="F18" s="15"/>
      <x:c r="G18" s="15"/>
      <x:c r="H18" s="15"/>
      <x:c r="I18" s="15"/>
      <x:c r="J18" s="15"/>
    </x:row>
    <x:row r="19">
      <x:c r="A19" s="15" t="str">
        <x:v>Direct R3 recall</x:v>
      </x:c>
      <x:c r="B19" s="18" t="n">
        <x:f>0.034482758620689655</x:f>
        <x:v>0.034482758620689655</x:v>
      </x:c>
      <x:c r="C19" s="18" t="n">
        <x:f>0.3103448275862069</x:f>
        <x:v>0.3103448275862069</x:v>
      </x:c>
      <x:c r="D19" s="18" t="n">
        <x:f>0.9310344827586207</x:f>
        <x:v>0.9310344827586207</x:v>
      </x:c>
      <x:c r="E19" s="15"/>
      <x:c r="F19" s="15"/>
      <x:c r="G19" s="15"/>
      <x:c r="H19" s="15"/>
      <x:c r="I19" s="15"/>
      <x:c r="J19" s="15"/>
    </x:row>
    <x:row r="20">
      <x:c r="A20" s="15"/>
      <x:c r="B20" s="15"/>
      <x:c r="C20" s="15"/>
      <x:c r="D20" s="15"/>
      <x:c r="E20" s="15"/>
      <x:c r="F20" s="15"/>
      <x:c r="G20" s="15"/>
      <x:c r="H20" s="15"/>
      <x:c r="I20" s="15"/>
      <x:c r="J20" s="15"/>
    </x:row>
    <x:row r="21">
      <x:c r="A21" s="24" t="str">
        <x:v>REFNO</x:v>
      </x:c>
      <x:c r="B21" s="24" t="str">
        <x:v>Paper</x:v>
      </x:c>
      <x:c r="C21" s="24" t="str">
        <x:v>Targets</x:v>
      </x:c>
      <x:c r="D21" s="24" t="str">
        <x:v>Historical nonempty</x:v>
      </x:c>
      <x:c r="E21" s="24" t="str">
        <x:v>Historical R3=1</x:v>
      </x:c>
      <x:c r="F21" s="24" t="str">
        <x:v>Strict present</x:v>
      </x:c>
      <x:c r="G21" s="24" t="str">
        <x:v>Practical present</x:v>
      </x:c>
      <x:c r="H21" s="24" t="str">
        <x:v>Practical field acc.</x:v>
      </x:c>
      <x:c r="I21" s="24" t="str">
        <x:v>Practical R3 acc.</x:v>
      </x:c>
      <x:c r="J21" s="24" t="str">
        <x:v>Dominant issue</x:v>
      </x:c>
    </x:row>
    <x:row r="22" ht="36" customHeight="1">
      <x:c r="A22" s="25" t="str">
        <x:v>1152</x:v>
      </x:c>
      <x:c r="B22" s="25" t="str">
        <x:v>Duff (1979), Armorican redbeds, Erquy Spilite and Tregastel granite</x:v>
      </x:c>
      <x:c r="C22" s="25" t="n">
        <x:v>4</x:v>
      </x:c>
      <x:c r="D22" s="25" t="n">
        <x:v>2</x:v>
      </x:c>
      <x:c r="E22" s="25" t="n">
        <x:v>3</x:v>
      </x:c>
      <x:c r="F22" s="25" t="n">
        <x:v>0</x:v>
      </x:c>
      <x:c r="G22" s="25" t="n">
        <x:v>0</x:v>
      </x:c>
      <x:c r="H22" s="26" t="n">
        <x:v>0.5</x:v>
      </x:c>
      <x:c r="I22" s="26" t="n">
        <x:v>0.25</x:v>
      </x:c>
      <x:c r="J22" s="25" t="str">
        <x:v>IDENTITY_GRANULARITY</x:v>
      </x:c>
    </x:row>
    <x:row r="23" ht="36" customHeight="1">
      <x:c r="A23" s="25" t="str">
        <x:v>3434</x:v>
      </x:c>
      <x:c r="B23" s="25" t="str">
        <x:v>Idnurm (2000), northern Australia APWP</x:v>
      </x:c>
      <x:c r="C23" s="25" t="n">
        <x:v>22</x:v>
      </x:c>
      <x:c r="D23" s="25" t="n">
        <x:v>1</x:v>
      </x:c>
      <x:c r="E23" s="25" t="n">
        <x:v>1</x:v>
      </x:c>
      <x:c r="F23" s="25" t="n">
        <x:v>0</x:v>
      </x:c>
      <x:c r="G23" s="25" t="n">
        <x:v>4</x:v>
      </x:c>
      <x:c r="H23" s="26" t="n">
        <x:v>0.8636363636363636</x:v>
      </x:c>
      <x:c r="I23" s="26" t="n">
        <x:v>0.8636363636363636</x:v>
      </x:c>
      <x:c r="J23" s="25" t="str">
        <x:v>TRUE_BLANK</x:v>
      </x:c>
    </x:row>
    <x:row r="24" ht="36" customHeight="1">
      <x:c r="A24" s="25" t="str">
        <x:v>3765</x:v>
      </x:c>
      <x:c r="B24" s="25" t="str">
        <x:v>Strik et al. (2007), Pongola and Ventersdorp Supergroups</x:v>
      </x:c>
      <x:c r="C24" s="25" t="n">
        <x:v>2</x:v>
      </x:c>
      <x:c r="D24" s="25" t="n">
        <x:v>1</x:v>
      </x:c>
      <x:c r="E24" s="25" t="n">
        <x:v>1</x:v>
      </x:c>
      <x:c r="F24" s="25" t="n">
        <x:v>0</x:v>
      </x:c>
      <x:c r="G24" s="25" t="n">
        <x:v>0</x:v>
      </x:c>
      <x:c r="H24" s="26" t="n">
        <x:v>0.5</x:v>
      </x:c>
      <x:c r="I24" s="26" t="n">
        <x:v>0.5</x:v>
      </x:c>
      <x:c r="J24" s="25" t="str">
        <x:v>TARGET_ANCHOR_OR_OCR</x:v>
      </x:c>
    </x:row>
    <x:row r="25" ht="36" customHeight="1">
      <x:c r="A25" s="25" t="str">
        <x:v>3774</x:v>
      </x:c>
      <x:c r="B25" s="25" t="str">
        <x:v>Muxworthy et al. (2013), Modipe Gabbro paleointensity</x:v>
      </x:c>
      <x:c r="C25" s="25" t="n">
        <x:v>2</x:v>
      </x:c>
      <x:c r="D25" s="25" t="n">
        <x:v>1</x:v>
      </x:c>
      <x:c r="E25" s="25" t="n">
        <x:v>1</x:v>
      </x:c>
      <x:c r="F25" s="25" t="n">
        <x:v>0</x:v>
      </x:c>
      <x:c r="G25" s="25" t="n">
        <x:v>0</x:v>
      </x:c>
      <x:c r="H25" s="26" t="n">
        <x:v>0.5</x:v>
      </x:c>
      <x:c r="I25" s="26" t="n">
        <x:v>0.5</x:v>
      </x:c>
      <x:c r="J25" s="25" t="str">
        <x:v>TRUE_BLANK</x:v>
      </x:c>
    </x:row>
    <x:row r="26" ht="36" customHeight="1">
      <x:c r="A26" s="25" t="str">
        <x:v>3792</x:v>
      </x:c>
      <x:c r="B26" s="25" t="str">
        <x:v>Elming et al. (2014), southern Sweden mafic dykes</x:v>
      </x:c>
      <x:c r="C26" s="25" t="n">
        <x:v>6</x:v>
      </x:c>
      <x:c r="D26" s="25" t="n">
        <x:v>4</x:v>
      </x:c>
      <x:c r="E26" s="25" t="n">
        <x:v>4</x:v>
      </x:c>
      <x:c r="F26" s="25" t="n">
        <x:v>0</x:v>
      </x:c>
      <x:c r="G26" s="25" t="n">
        <x:v>0</x:v>
      </x:c>
      <x:c r="H26" s="26" t="n">
        <x:v>0.3333333333333333</x:v>
      </x:c>
      <x:c r="I26" s="26" t="n">
        <x:v>0.3333333333333333</x:v>
      </x:c>
      <x:c r="J26" s="25" t="str">
        <x:v>TARGET_ANCHOR_OR_OCR</x:v>
      </x:c>
    </x:row>
    <x:row r="27" ht="36" customHeight="1">
      <x:c r="A27" s="25" t="str">
        <x:v>4168</x:v>
      </x:c>
      <x:c r="B27" s="25" t="str">
        <x:v>Salminen et al. (2021), Fennoscandian rapakivi complexes</x:v>
      </x:c>
      <x:c r="C27" s="25" t="n">
        <x:v>8</x:v>
      </x:c>
      <x:c r="D27" s="25" t="n">
        <x:v>8</x:v>
      </x:c>
      <x:c r="E27" s="25" t="n">
        <x:v>7</x:v>
      </x:c>
      <x:c r="F27" s="25" t="n">
        <x:v>0</x:v>
      </x:c>
      <x:c r="G27" s="25" t="n">
        <x:v>3</x:v>
      </x:c>
      <x:c r="H27" s="26" t="n">
        <x:v>0.375</x:v>
      </x:c>
      <x:c r="I27" s="26" t="n">
        <x:v>0.5</x:v>
      </x:c>
      <x:c r="J27" s="25" t="str">
        <x:v>TARGET_ANCHOR_OR_OCR</x:v>
      </x:c>
    </x:row>
    <x:row r="28" ht="36" customHeight="1">
      <x:c r="A28" s="25" t="str">
        <x:v>4181</x:v>
      </x:c>
      <x:c r="B28" s="25" t="str">
        <x:v>Wen et al. (2020), Avalonia paleogeography</x:v>
      </x:c>
      <x:c r="C28" s="25" t="n">
        <x:v>2</x:v>
      </x:c>
      <x:c r="D28" s="25" t="n">
        <x:v>1</x:v>
      </x:c>
      <x:c r="E28" s="25" t="n">
        <x:v>1</x:v>
      </x:c>
      <x:c r="F28" s="25" t="n">
        <x:v>0</x:v>
      </x:c>
      <x:c r="G28" s="25" t="n">
        <x:v>0</x:v>
      </x:c>
      <x:c r="H28" s="26" t="n">
        <x:v>0.5</x:v>
      </x:c>
      <x:c r="I28" s="26" t="n">
        <x:v>0.5</x:v>
      </x:c>
      <x:c r="J28" s="25" t="str">
        <x:v>EVIDENCE_CHAIN_INCOMPLETE</x:v>
      </x:c>
    </x:row>
    <x:row r="29" ht="36" customHeight="1">
      <x:c r="A29" s="25" t="str">
        <x:v>4298</x:v>
      </x:c>
      <x:c r="B29" s="25" t="str">
        <x:v>Iosifidi et al. (2018), Carboniferous Moscow Syneclise</x:v>
      </x:c>
      <x:c r="C29" s="25" t="n">
        <x:v>6</x:v>
      </x:c>
      <x:c r="D29" s="25" t="n">
        <x:v>6</x:v>
      </x:c>
      <x:c r="E29" s="25" t="n">
        <x:v>6</x:v>
      </x:c>
      <x:c r="F29" s="25" t="n">
        <x:v>0</x:v>
      </x:c>
      <x:c r="G29" s="25" t="n">
        <x:v>1</x:v>
      </x:c>
      <x:c r="H29" s="26" t="n">
        <x:v>0.16666666666666666</x:v>
      </x:c>
      <x:c r="I29" s="26" t="n">
        <x:v>0.16666666666666666</x:v>
      </x:c>
      <x:c r="J29" s="25" t="str">
        <x:v>IDENTITY_GRANULARITY</x:v>
      </x:c>
    </x:row>
    <x:row r="30" ht="36" customHeight="1">
      <x:c r="A30" s="25" t="str">
        <x:v>4324</x:v>
      </x:c>
      <x:c r="B30" s="25" t="str">
        <x:v>Luoto et al. (2023), Svecofennian intrusions</x:v>
      </x:c>
      <x:c r="C30" s="25" t="n">
        <x:v>7</x:v>
      </x:c>
      <x:c r="D30" s="25" t="n">
        <x:v>4</x:v>
      </x:c>
      <x:c r="E30" s="25" t="n">
        <x:v>5</x:v>
      </x:c>
      <x:c r="F30" s="25" t="n">
        <x:v>1</x:v>
      </x:c>
      <x:c r="G30" s="25" t="n">
        <x:v>4</x:v>
      </x:c>
      <x:c r="H30" s="26" t="n">
        <x:v>0.7142857142857143</x:v>
      </x:c>
      <x:c r="I30" s="26" t="n">
        <x:v>0.8571428571428571</x:v>
      </x:c>
      <x:c r="J30" s="25" t="str">
        <x:v>SEMANTIC_MATCH</x:v>
      </x:c>
    </x:row>
    <x:row r="31" ht="36" customHeight="1">
      <x:c r="A31" s="25" t="str">
        <x:v>4339</x:v>
      </x:c>
      <x:c r="B31" s="25" t="str">
        <x:v>Ernesto et al., CAMP activity in northeastern Brazil</x:v>
      </x:c>
      <x:c r="C31" s="25" t="n">
        <x:v>3</x:v>
      </x:c>
      <x:c r="D31" s="25" t="n">
        <x:v>2</x:v>
      </x:c>
      <x:c r="E31" s="25" t="n">
        <x:v>0</x:v>
      </x:c>
      <x:c r="F31" s="25" t="n">
        <x:v>0</x:v>
      </x:c>
      <x:c r="G31" s="25" t="n">
        <x:v>0</x:v>
      </x:c>
      <x:c r="H31" s="26" t="n">
        <x:v>0.3333333333333333</x:v>
      </x:c>
      <x:c r="I31" s="26" t="n">
        <x:v>1</x:v>
      </x:c>
      <x:c r="J31" s="25" t="str">
        <x:v>EVIDENCE_CHAIN_INCOMPLETE</x:v>
      </x:c>
    </x:row>
  </x:sheetData>
  <x:pageMargins left="0.7" right="0.7" top="0.75" bottom="0.75" header="0.3" footer="0.3"/>
  <x:tableParts count="1">
    <x:tablePart xmlns:r="http://schemas.openxmlformats.org/officeDocument/2006/relationships" r:id="Rb5acfea2abca46c2"/>
  </x:tableParts>
</x:worksheet>
</file>

<file path=xl/worksheets/sheet2.xml><?xml version="1.0" encoding="utf-8"?>
<x:worksheet xmlns:x="http://schemas.openxmlformats.org/spreadsheetml/2006/main">
  <x:sheetViews>
    <x:sheetView showGridLines="0" workbookViewId="0"/>
  </x:sheetViews>
  <x:sheetFormatPr defaultRowHeight="15"/>
  <x:cols>
    <x:col min="1" max="1" width="12" hidden="0" customWidth="1"/>
    <x:col min="2" max="2" width="12" hidden="0" customWidth="1"/>
    <x:col min="3" max="3" width="34" hidden="0" customWidth="1"/>
    <x:col min="4" max="4" width="22" hidden="0" customWidth="1"/>
    <x:col min="5" max="5" width="32" hidden="0" customWidth="1"/>
    <x:col min="6" max="6" width="12" hidden="0" customWidth="1"/>
    <x:col min="7" max="7" width="32" hidden="0" customWidth="1"/>
    <x:col min="8" max="8" width="12" hidden="0" customWidth="1"/>
    <x:col min="9" max="9" width="30" hidden="0" customWidth="1"/>
    <x:col min="10" max="10" width="18" hidden="0" customWidth="1"/>
    <x:col min="11" max="11" width="28" hidden="0" customWidth="1"/>
    <x:col min="12" max="12" width="18" hidden="0" customWidth="1"/>
    <x:col min="13" max="13" width="18" hidden="0" customWidth="1"/>
  </x:cols>
  <x:sheetData>
    <x:row r="1" ht="30" customHeight="1">
      <x:c r="A1" s="27" t="str">
        <x:v>REFNO</x:v>
      </x:c>
      <x:c r="B1" s="27" t="str">
        <x:v>RESULTNO</x:v>
      </x:c>
      <x:c r="C1" s="27" t="str">
        <x:v>ROCKNAME</x:v>
      </x:c>
      <x:c r="D1" s="27" t="str">
        <x:v>PRACTICAL_STATUS</x:v>
      </x:c>
      <x:c r="E1" s="27" t="str">
        <x:v>PREDICTED_ROCKMAG</x:v>
      </x:c>
      <x:c r="F1" s="27" t="str">
        <x:v>DIRECT_R3</x:v>
      </x:c>
      <x:c r="G1" s="27" t="str">
        <x:v>HIST_ROCKMAG</x:v>
      </x:c>
      <x:c r="H1" s="27" t="str">
        <x:v>HIST_R3</x:v>
      </x:c>
      <x:c r="I1" s="27" t="str">
        <x:v>ERROR_TYPE</x:v>
      </x:c>
      <x:c r="J1" s="27" t="str">
        <x:v>EVIDENCE_PAGES</x:v>
      </x:c>
      <x:c r="K1" s="27" t="str">
        <x:v>TARGET_ANCHOR</x:v>
      </x:c>
      <x:c r="L1" s="27" t="str">
        <x:v>HAS_FIELD_MATCH</x:v>
      </x:c>
      <x:c r="M1" s="27" t="str">
        <x:v>R3_MATCH</x:v>
      </x:c>
    </x:row>
    <x:row r="2" ht="42" customHeight="1">
      <x:c r="A2" s="25" t="str">
        <x:f>'Predictions'!A2</x:f>
        <x:v>1152</x:v>
      </x:c>
      <x:c r="B2" s="25" t="str">
        <x:f>'Predictions'!B2</x:f>
        <x:v>29</x:v>
      </x:c>
      <x:c r="C2" s="25" t="str">
        <x:f>'Predictions'!C2</x:f>
        <x:v>Armorican redbeds</x:v>
      </x:c>
      <x:c r="D2" s="25" t="str">
        <x:f>'Predictions'!J2</x:f>
        <x:v>ABSTAIN_IDENTITY</x:v>
      </x:c>
      <x:c r="E2" s="25" t="str">
        <x:f>'Predictions'!K2</x:f>
      </x:c>
      <x:c r="F2" s="25" t="n">
        <x:f>'Predictions'!L2</x:f>
        <x:v>0</x:v>
      </x:c>
      <x:c r="G2" s="25" t="str">
        <x:f>'Predictions'!D2</x:f>
        <x:v>IRM(compar.of leached &amp; unleached:mag.in insol.specularite).</x:v>
      </x:c>
      <x:c r="H2" s="25" t="n">
        <x:f>'Predictions'!E2</x:f>
        <x:v>1</x:v>
      </x:c>
      <x:c r="I2" s="25" t="str">
        <x:f>'Predictions'!T2</x:f>
        <x:v>IDENTITY_GRANULARITY</x:v>
      </x:c>
      <x:c r="J2" s="25" t="n">
        <x:f>'Predictions'!W2</x:f>
        <x:v>0</x:v>
      </x:c>
      <x:c r="K2" s="25" t="str">
        <x:f>'Predictions'!V2</x:f>
        <x:v>exact/strong</x:v>
      </x:c>
      <x:c r="L2" s="25" t="n">
        <x:f>'Predictions'!N2</x:f>
        <x:v>0</x:v>
      </x:c>
      <x:c r="M2" s="25" t="n">
        <x:f>'Predictions'!P2</x:f>
        <x:v>0</x:v>
      </x:c>
    </x:row>
    <x:row r="3" ht="42" customHeight="1">
      <x:c r="A3" s="25" t="str">
        <x:f>'Predictions'!A3</x:f>
        <x:v>1152</x:v>
      </x:c>
      <x:c r="B3" s="25" t="str">
        <x:f>'Predictions'!B3</x:f>
        <x:v>30</x:v>
      </x:c>
      <x:c r="C3" s="25" t="str">
        <x:f>'Predictions'!C3</x:f>
        <x:v>Armorican redbeds</x:v>
      </x:c>
      <x:c r="D3" s="25" t="str">
        <x:f>'Predictions'!J3</x:f>
        <x:v>ABSTAIN_IDENTITY</x:v>
      </x:c>
      <x:c r="E3" s="25" t="str">
        <x:f>'Predictions'!K3</x:f>
      </x:c>
      <x:c r="F3" s="25" t="n">
        <x:f>'Predictions'!L3</x:f>
        <x:v>0</x:v>
      </x:c>
      <x:c r="G3" s="25" t="str">
        <x:f>'Predictions'!D3</x:f>
        <x:v>IRM(leached &amp; unleached:B3 comp.in soluble HEM pigment)</x:v>
      </x:c>
      <x:c r="H3" s="25" t="n">
        <x:f>'Predictions'!E3</x:f>
        <x:v>1</x:v>
      </x:c>
      <x:c r="I3" s="25" t="str">
        <x:f>'Predictions'!T3</x:f>
        <x:v>IDENTITY_GRANULARITY</x:v>
      </x:c>
      <x:c r="J3" s="25" t="n">
        <x:f>'Predictions'!W3</x:f>
        <x:v>0</x:v>
      </x:c>
      <x:c r="K3" s="25" t="str">
        <x:f>'Predictions'!V3</x:f>
        <x:v>exact/strong</x:v>
      </x:c>
      <x:c r="L3" s="25" t="n">
        <x:f>'Predictions'!N3</x:f>
        <x:v>0</x:v>
      </x:c>
      <x:c r="M3" s="25" t="n">
        <x:f>'Predictions'!P3</x:f>
        <x:v>0</x:v>
      </x:c>
    </x:row>
    <x:row r="4" ht="42" customHeight="1">
      <x:c r="A4" s="25" t="str">
        <x:f>'Predictions'!A4</x:f>
        <x:v>1152</x:v>
      </x:c>
      <x:c r="B4" s="25" t="str">
        <x:f>'Predictions'!B4</x:f>
        <x:v>31</x:v>
      </x:c>
      <x:c r="C4" s="25" t="str">
        <x:f>'Predictions'!C4</x:f>
        <x:v>Erquy spillite series</x:v>
      </x:c>
      <x:c r="D4" s="25" t="str">
        <x:f>'Predictions'!J4</x:f>
        <x:v>ABSTAIN_ANCHOR</x:v>
      </x:c>
      <x:c r="E4" s="25" t="str">
        <x:f>'Predictions'!K4</x:f>
      </x:c>
      <x:c r="F4" s="25" t="n">
        <x:f>'Predictions'!L4</x:f>
        <x:v>0</x:v>
      </x:c>
      <x:c r="G4" s="25" t="str">
        <x:f>'Predictions'!D4</x:f>
      </x:c>
      <x:c r="H4" s="25" t="n">
        <x:f>'Predictions'!E4</x:f>
        <x:v>1</x:v>
      </x:c>
      <x:c r="I4" s="25" t="str">
        <x:f>'Predictions'!T4</x:f>
        <x:v>TRUE_BLANK</x:v>
      </x:c>
      <x:c r="J4" s="25" t="n">
        <x:f>'Predictions'!W4</x:f>
        <x:v>0</x:v>
      </x:c>
      <x:c r="K4" s="25" t="str">
        <x:f>'Predictions'!V4</x:f>
        <x:v>missing/missing</x:v>
      </x:c>
      <x:c r="L4" s="25" t="n">
        <x:f>'Predictions'!N4</x:f>
        <x:v>1</x:v>
      </x:c>
      <x:c r="M4" s="25" t="n">
        <x:f>'Predictions'!P4</x:f>
        <x:v>0</x:v>
      </x:c>
    </x:row>
    <x:row r="5" ht="42" customHeight="1">
      <x:c r="A5" s="25" t="str">
        <x:f>'Predictions'!A5</x:f>
        <x:v>1152</x:v>
      </x:c>
      <x:c r="B5" s="25" t="str">
        <x:f>'Predictions'!B5</x:f>
        <x:v>32</x:v>
      </x:c>
      <x:c r="C5" s="25" t="str">
        <x:f>'Predictions'!C5</x:f>
        <x:v>Tregastel Ploumanac'h granite</x:v>
      </x:c>
      <x:c r="D5" s="25" t="str">
        <x:f>'Predictions'!J5</x:f>
        <x:v>ABSTAIN_INSUFFICIENT</x:v>
      </x:c>
      <x:c r="E5" s="25" t="str">
        <x:f>'Predictions'!K5</x:f>
      </x:c>
      <x:c r="F5" s="25" t="n">
        <x:f>'Predictions'!L5</x:f>
        <x:v>0</x:v>
      </x:c>
      <x:c r="G5" s="25" t="str">
        <x:f>'Predictions'!D5</x:f>
      </x:c>
      <x:c r="H5" s="25" t="n">
        <x:f>'Predictions'!E5</x:f>
        <x:v>0</x:v>
      </x:c>
      <x:c r="I5" s="25" t="str">
        <x:f>'Predictions'!T5</x:f>
        <x:v>TRUE_BLANK</x:v>
      </x:c>
      <x:c r="J5" s="25" t="str">
        <x:f>'Predictions'!W5</x:f>
      </x:c>
      <x:c r="K5" s="25" t="str">
        <x:f>'Predictions'!V5</x:f>
        <x:v>exact/strong</x:v>
      </x:c>
      <x:c r="L5" s="25" t="n">
        <x:f>'Predictions'!N5</x:f>
        <x:v>1</x:v>
      </x:c>
      <x:c r="M5" s="25" t="n">
        <x:f>'Predictions'!P5</x:f>
        <x:v>1</x:v>
      </x:c>
    </x:row>
    <x:row r="6" ht="42" customHeight="1">
      <x:c r="A6" s="25" t="str">
        <x:f>'Predictions'!A6</x:f>
        <x:v>3434</x:v>
      </x:c>
      <x:c r="B6" s="25" t="str">
        <x:f>'Predictions'!B6</x:f>
        <x:v>8719</x:v>
      </x:c>
      <x:c r="C6" s="25" t="str">
        <x:f>'Predictions'!C6</x:f>
        <x:v>West Branch Volcanics</x:v>
      </x:c>
      <x:c r="D6" s="25" t="str">
        <x:f>'Predictions'!J6</x:f>
        <x:v>PRESENT</x:v>
      </x:c>
      <x:c r="E6" s="25" t="str">
        <x:f>'Predictions'!K6</x:f>
        <x:v>SUSC-T(MAGN,HEM)</x:v>
      </x:c>
      <x:c r="F6" s="25" t="n">
        <x:f>'Predictions'!L6</x:f>
        <x:v>1</x:v>
      </x:c>
      <x:c r="G6" s="25" t="str">
        <x:f>'Predictions'!D6</x:f>
        <x:v>SUSC-T(MAGN,HEM)</x:v>
      </x:c>
      <x:c r="H6" s="25" t="n">
        <x:f>'Predictions'!E6</x:f>
        <x:v>1</x:v>
      </x:c>
      <x:c r="I6" s="25" t="str">
        <x:f>'Predictions'!T6</x:f>
        <x:v>EXACT_FIELD</x:v>
      </x:c>
      <x:c r="J6" s="25" t="str">
        <x:f>'Predictions'!W6</x:f>
        <x:v>8, 5</x:v>
      </x:c>
      <x:c r="K6" s="25" t="str">
        <x:f>'Predictions'!V6</x:f>
        <x:v>exact/strong</x:v>
      </x:c>
      <x:c r="L6" s="25" t="n">
        <x:f>'Predictions'!N6</x:f>
        <x:v>1</x:v>
      </x:c>
      <x:c r="M6" s="25" t="n">
        <x:f>'Predictions'!P6</x:f>
        <x:v>1</x:v>
      </x:c>
    </x:row>
    <x:row r="7" ht="42" customHeight="1">
      <x:c r="A7" s="25" t="str">
        <x:f>'Predictions'!A7</x:f>
        <x:v>3434</x:v>
      </x:c>
      <x:c r="B7" s="25" t="str">
        <x:f>'Predictions'!B7</x:f>
        <x:v>8720</x:v>
      </x:c>
      <x:c r="C7" s="25" t="str">
        <x:f>'Predictions'!C7</x:f>
        <x:v>Masterson Sandstone</x:v>
      </x:c>
      <x:c r="D7" s="25" t="str">
        <x:f>'Predictions'!J7</x:f>
        <x:v>ABSTAIN_ANCHOR</x:v>
      </x:c>
      <x:c r="E7" s="25" t="str">
        <x:f>'Predictions'!K7</x:f>
      </x:c>
      <x:c r="F7" s="25" t="n">
        <x:f>'Predictions'!L7</x:f>
        <x:v>0</x:v>
      </x:c>
      <x:c r="G7" s="25" t="str">
        <x:f>'Predictions'!D7</x:f>
      </x:c>
      <x:c r="H7" s="25" t="n">
        <x:f>'Predictions'!E7</x:f>
        <x:v>0</x:v>
      </x:c>
      <x:c r="I7" s="25" t="str">
        <x:f>'Predictions'!T7</x:f>
        <x:v>TRUE_BLANK</x:v>
      </x:c>
      <x:c r="J7" s="25" t="n">
        <x:f>'Predictions'!W7</x:f>
        <x:v>0</x:v>
      </x:c>
      <x:c r="K7" s="25" t="str">
        <x:f>'Predictions'!V7</x:f>
        <x:v>missing/missing</x:v>
      </x:c>
      <x:c r="L7" s="25" t="n">
        <x:f>'Predictions'!N7</x:f>
        <x:v>1</x:v>
      </x:c>
      <x:c r="M7" s="25" t="n">
        <x:f>'Predictions'!P7</x:f>
        <x:v>1</x:v>
      </x:c>
    </x:row>
    <x:row r="8" ht="42" customHeight="1">
      <x:c r="A8" s="25" t="str">
        <x:f>'Predictions'!A8</x:f>
        <x:v>3434</x:v>
      </x:c>
      <x:c r="B8" s="25" t="str">
        <x:f>'Predictions'!B8</x:f>
        <x:v>8721</x:v>
      </x:c>
      <x:c r="C8" s="25" t="str">
        <x:f>'Predictions'!C8</x:f>
        <x:v>Lynott Formation</x:v>
      </x:c>
      <x:c r="D8" s="25" t="str">
        <x:f>'Predictions'!J8</x:f>
        <x:v>ABSTAIN_INSUFFICIENT</x:v>
      </x:c>
      <x:c r="E8" s="25" t="str">
        <x:f>'Predictions'!K8</x:f>
      </x:c>
      <x:c r="F8" s="25" t="n">
        <x:f>'Predictions'!L8</x:f>
        <x:v>0</x:v>
      </x:c>
      <x:c r="G8" s="25" t="str">
        <x:f>'Predictions'!D8</x:f>
      </x:c>
      <x:c r="H8" s="25" t="n">
        <x:f>'Predictions'!E8</x:f>
        <x:v>0</x:v>
      </x:c>
      <x:c r="I8" s="25" t="str">
        <x:f>'Predictions'!T8</x:f>
        <x:v>TRUE_BLANK</x:v>
      </x:c>
      <x:c r="J8" s="25" t="n">
        <x:f>'Predictions'!W8</x:f>
        <x:v>0</x:v>
      </x:c>
      <x:c r="K8" s="25" t="str">
        <x:f>'Predictions'!V8</x:f>
        <x:v>exact/strong</x:v>
      </x:c>
      <x:c r="L8" s="25" t="n">
        <x:f>'Predictions'!N8</x:f>
        <x:v>1</x:v>
      </x:c>
      <x:c r="M8" s="25" t="n">
        <x:f>'Predictions'!P8</x:f>
        <x:v>1</x:v>
      </x:c>
    </x:row>
    <x:row r="9" ht="42" customHeight="1">
      <x:c r="A9" s="25" t="str">
        <x:f>'Predictions'!A9</x:f>
        <x:v>3434</x:v>
      </x:c>
      <x:c r="B9" s="25" t="str">
        <x:f>'Predictions'!B9</x:f>
        <x:v>8722</x:v>
      </x:c>
      <x:c r="C9" s="25" t="str">
        <x:f>'Predictions'!C9</x:f>
        <x:v>Amos Formation</x:v>
      </x:c>
      <x:c r="D9" s="25" t="str">
        <x:f>'Predictions'!J9</x:f>
        <x:v>ABSTAIN_INSUFFICIENT</x:v>
      </x:c>
      <x:c r="E9" s="25" t="str">
        <x:f>'Predictions'!K9</x:f>
      </x:c>
      <x:c r="F9" s="25" t="n">
        <x:f>'Predictions'!L9</x:f>
        <x:v>0</x:v>
      </x:c>
      <x:c r="G9" s="25" t="str">
        <x:f>'Predictions'!D9</x:f>
      </x:c>
      <x:c r="H9" s="25" t="n">
        <x:f>'Predictions'!E9</x:f>
        <x:v>0</x:v>
      </x:c>
      <x:c r="I9" s="25" t="str">
        <x:f>'Predictions'!T9</x:f>
        <x:v>TRUE_BLANK</x:v>
      </x:c>
      <x:c r="J9" s="25" t="n">
        <x:f>'Predictions'!W9</x:f>
        <x:v>0</x:v>
      </x:c>
      <x:c r="K9" s="25" t="str">
        <x:f>'Predictions'!V9</x:f>
        <x:v>exact/strong</x:v>
      </x:c>
      <x:c r="L9" s="25" t="n">
        <x:f>'Predictions'!N9</x:f>
        <x:v>1</x:v>
      </x:c>
      <x:c r="M9" s="25" t="n">
        <x:f>'Predictions'!P9</x:f>
        <x:v>1</x:v>
      </x:c>
    </x:row>
    <x:row r="10" ht="42" customHeight="1">
      <x:c r="A10" s="25" t="str">
        <x:f>'Predictions'!A10</x:f>
        <x:v>3434</x:v>
      </x:c>
      <x:c r="B10" s="25" t="str">
        <x:f>'Predictions'!B10</x:f>
        <x:v>8723</x:v>
      </x:c>
      <x:c r="C10" s="25" t="str">
        <x:f>'Predictions'!C10</x:f>
        <x:v>Balbirini Dolomite, lower part</x:v>
      </x:c>
      <x:c r="D10" s="25" t="str">
        <x:f>'Predictions'!J10</x:f>
        <x:v>ABSTAIN_INSUFFICIENT</x:v>
      </x:c>
      <x:c r="E10" s="25" t="str">
        <x:f>'Predictions'!K10</x:f>
      </x:c>
      <x:c r="F10" s="25" t="n">
        <x:f>'Predictions'!L10</x:f>
        <x:v>0</x:v>
      </x:c>
      <x:c r="G10" s="25" t="str">
        <x:f>'Predictions'!D10</x:f>
      </x:c>
      <x:c r="H10" s="25" t="n">
        <x:f>'Predictions'!E10</x:f>
        <x:v>0</x:v>
      </x:c>
      <x:c r="I10" s="25" t="str">
        <x:f>'Predictions'!T10</x:f>
        <x:v>TRUE_BLANK</x:v>
      </x:c>
      <x:c r="J10" s="25" t="n">
        <x:f>'Predictions'!W10</x:f>
        <x:v>0</x:v>
      </x:c>
      <x:c r="K10" s="25" t="str">
        <x:f>'Predictions'!V10</x:f>
        <x:v>token/strong</x:v>
      </x:c>
      <x:c r="L10" s="25" t="n">
        <x:f>'Predictions'!N10</x:f>
        <x:v>1</x:v>
      </x:c>
      <x:c r="M10" s="25" t="n">
        <x:f>'Predictions'!P10</x:f>
        <x:v>1</x:v>
      </x:c>
    </x:row>
    <x:row r="11" ht="42" customHeight="1">
      <x:c r="A11" s="25" t="str">
        <x:f>'Predictions'!A11</x:f>
        <x:v>3434</x:v>
      </x:c>
      <x:c r="B11" s="25" t="str">
        <x:f>'Predictions'!B11</x:f>
        <x:v>8724</x:v>
      </x:c>
      <x:c r="C11" s="25" t="str">
        <x:f>'Predictions'!C11</x:f>
        <x:v>Balbirini Dolomite, upper part</x:v>
      </x:c>
      <x:c r="D11" s="25" t="str">
        <x:f>'Predictions'!J11</x:f>
        <x:v>ABSTAIN_INSUFFICIENT</x:v>
      </x:c>
      <x:c r="E11" s="25" t="str">
        <x:f>'Predictions'!K11</x:f>
      </x:c>
      <x:c r="F11" s="25" t="n">
        <x:f>'Predictions'!L11</x:f>
        <x:v>0</x:v>
      </x:c>
      <x:c r="G11" s="25" t="str">
        <x:f>'Predictions'!D11</x:f>
      </x:c>
      <x:c r="H11" s="25" t="n">
        <x:f>'Predictions'!E11</x:f>
        <x:v>0</x:v>
      </x:c>
      <x:c r="I11" s="25" t="str">
        <x:f>'Predictions'!T11</x:f>
        <x:v>TRUE_BLANK</x:v>
      </x:c>
      <x:c r="J11" s="25" t="n">
        <x:f>'Predictions'!W11</x:f>
        <x:v>0</x:v>
      </x:c>
      <x:c r="K11" s="25" t="str">
        <x:f>'Predictions'!V11</x:f>
        <x:v>token/strong</x:v>
      </x:c>
      <x:c r="L11" s="25" t="n">
        <x:f>'Predictions'!N11</x:f>
        <x:v>1</x:v>
      </x:c>
      <x:c r="M11" s="25" t="n">
        <x:f>'Predictions'!P11</x:f>
        <x:v>1</x:v>
      </x:c>
    </x:row>
    <x:row r="12" ht="42" customHeight="1">
      <x:c r="A12" s="25" t="str">
        <x:f>'Predictions'!A12</x:f>
        <x:v>3434</x:v>
      </x:c>
      <x:c r="B12" s="25" t="str">
        <x:f>'Predictions'!B12</x:f>
        <x:v>8725</x:v>
      </x:c>
      <x:c r="C12" s="25" t="str">
        <x:f>'Predictions'!C12</x:f>
        <x:v>Peters Creek Volcanics, upper part</x:v>
      </x:c>
      <x:c r="D12" s="25" t="str">
        <x:f>'Predictions'!J12</x:f>
        <x:v>ABSTAIN_INSUFFICIENT</x:v>
      </x:c>
      <x:c r="E12" s="25" t="str">
        <x:f>'Predictions'!K12</x:f>
      </x:c>
      <x:c r="F12" s="25" t="n">
        <x:f>'Predictions'!L12</x:f>
        <x:v>0</x:v>
      </x:c>
      <x:c r="G12" s="25" t="str">
        <x:f>'Predictions'!D12</x:f>
      </x:c>
      <x:c r="H12" s="25" t="n">
        <x:f>'Predictions'!E12</x:f>
        <x:v>0</x:v>
      </x:c>
      <x:c r="I12" s="25" t="str">
        <x:f>'Predictions'!T12</x:f>
        <x:v>TRUE_BLANK</x:v>
      </x:c>
      <x:c r="J12" s="25" t="n">
        <x:f>'Predictions'!W12</x:f>
        <x:v>0</x:v>
      </x:c>
      <x:c r="K12" s="25" t="str">
        <x:f>'Predictions'!V12</x:f>
        <x:v>token/strong</x:v>
      </x:c>
      <x:c r="L12" s="25" t="n">
        <x:f>'Predictions'!N12</x:f>
        <x:v>1</x:v>
      </x:c>
      <x:c r="M12" s="25" t="n">
        <x:f>'Predictions'!P12</x:f>
        <x:v>1</x:v>
      </x:c>
    </x:row>
    <x:row r="13" ht="42" customHeight="1">
      <x:c r="A13" s="25" t="str">
        <x:f>'Predictions'!A13</x:f>
        <x:v>3434</x:v>
      </x:c>
      <x:c r="B13" s="25" t="str">
        <x:f>'Predictions'!B13</x:f>
        <x:v>8726</x:v>
      </x:c>
      <x:c r="C13" s="25" t="str">
        <x:f>'Predictions'!C13</x:f>
        <x:v>Buddawadda Basalt (intrusives)</x:v>
      </x:c>
      <x:c r="D13" s="25" t="str">
        <x:f>'Predictions'!J13</x:f>
        <x:v>ABSTAIN_INSUFFICIENT</x:v>
      </x:c>
      <x:c r="E13" s="25" t="str">
        <x:f>'Predictions'!K13</x:f>
      </x:c>
      <x:c r="F13" s="25" t="n">
        <x:f>'Predictions'!L13</x:f>
        <x:v>0</x:v>
      </x:c>
      <x:c r="G13" s="25" t="str">
        <x:f>'Predictions'!D13</x:f>
      </x:c>
      <x:c r="H13" s="25" t="n">
        <x:f>'Predictions'!E13</x:f>
        <x:v>0</x:v>
      </x:c>
      <x:c r="I13" s="25" t="str">
        <x:f>'Predictions'!T13</x:f>
        <x:v>TRUE_BLANK</x:v>
      </x:c>
      <x:c r="J13" s="25" t="n">
        <x:f>'Predictions'!W13</x:f>
        <x:v>0</x:v>
      </x:c>
      <x:c r="K13" s="25" t="str">
        <x:f>'Predictions'!V13</x:f>
        <x:v>token/strong</x:v>
      </x:c>
      <x:c r="L13" s="25" t="n">
        <x:f>'Predictions'!N13</x:f>
        <x:v>1</x:v>
      </x:c>
      <x:c r="M13" s="25" t="n">
        <x:f>'Predictions'!P13</x:f>
        <x:v>1</x:v>
      </x:c>
    </x:row>
    <x:row r="14" ht="42" customHeight="1">
      <x:c r="A14" s="25" t="str">
        <x:f>'Predictions'!A14</x:f>
        <x:v>3434</x:v>
      </x:c>
      <x:c r="B14" s="25" t="str">
        <x:f>'Predictions'!B14</x:f>
        <x:v>8727</x:v>
      </x:c>
      <x:c r="C14" s="25" t="str">
        <x:f>'Predictions'!C14</x:f>
        <x:v>Buddawadda Basalt</x:v>
      </x:c>
      <x:c r="D14" s="25" t="str">
        <x:f>'Predictions'!J14</x:f>
        <x:v>ABSTAIN_INSUFFICIENT</x:v>
      </x:c>
      <x:c r="E14" s="25" t="str">
        <x:f>'Predictions'!K14</x:f>
      </x:c>
      <x:c r="F14" s="25" t="n">
        <x:f>'Predictions'!L14</x:f>
        <x:v>0</x:v>
      </x:c>
      <x:c r="G14" s="25" t="str">
        <x:f>'Predictions'!D14</x:f>
      </x:c>
      <x:c r="H14" s="25" t="n">
        <x:f>'Predictions'!E14</x:f>
        <x:v>0</x:v>
      </x:c>
      <x:c r="I14" s="25" t="str">
        <x:f>'Predictions'!T14</x:f>
        <x:v>TRUE_BLANK</x:v>
      </x:c>
      <x:c r="J14" s="25" t="n">
        <x:f>'Predictions'!W14</x:f>
        <x:v>0</x:v>
      </x:c>
      <x:c r="K14" s="25" t="str">
        <x:f>'Predictions'!V14</x:f>
        <x:v>exact/strong</x:v>
      </x:c>
      <x:c r="L14" s="25" t="n">
        <x:f>'Predictions'!N14</x:f>
        <x:v>1</x:v>
      </x:c>
      <x:c r="M14" s="25" t="n">
        <x:f>'Predictions'!P14</x:f>
        <x:v>1</x:v>
      </x:c>
    </x:row>
    <x:row r="15" ht="42" customHeight="1">
      <x:c r="A15" s="25" t="str">
        <x:f>'Predictions'!A15</x:f>
        <x:v>3434</x:v>
      </x:c>
      <x:c r="B15" s="25" t="str">
        <x:f>'Predictions'!B15</x:f>
        <x:v>8728</x:v>
      </x:c>
      <x:c r="C15" s="25" t="str">
        <x:f>'Predictions'!C15</x:f>
        <x:v>Fish River Formation (Pff1)</x:v>
      </x:c>
      <x:c r="D15" s="25" t="str">
        <x:f>'Predictions'!J15</x:f>
        <x:v>ABSTAIN_INSUFFICIENT</x:v>
      </x:c>
      <x:c r="E15" s="25" t="str">
        <x:f>'Predictions'!K15</x:f>
      </x:c>
      <x:c r="F15" s="25" t="n">
        <x:f>'Predictions'!L15</x:f>
        <x:v>0</x:v>
      </x:c>
      <x:c r="G15" s="25" t="str">
        <x:f>'Predictions'!D15</x:f>
      </x:c>
      <x:c r="H15" s="25" t="n">
        <x:f>'Predictions'!E15</x:f>
        <x:v>0</x:v>
      </x:c>
      <x:c r="I15" s="25" t="str">
        <x:f>'Predictions'!T15</x:f>
        <x:v>TRUE_BLANK</x:v>
      </x:c>
      <x:c r="J15" s="25" t="n">
        <x:f>'Predictions'!W15</x:f>
        <x:v>0</x:v>
      </x:c>
      <x:c r="K15" s="25" t="str">
        <x:f>'Predictions'!V15</x:f>
        <x:v>token/strong</x:v>
      </x:c>
      <x:c r="L15" s="25" t="n">
        <x:f>'Predictions'!N15</x:f>
        <x:v>1</x:v>
      </x:c>
      <x:c r="M15" s="25" t="n">
        <x:f>'Predictions'!P15</x:f>
        <x:v>1</x:v>
      </x:c>
    </x:row>
    <x:row r="16" ht="42" customHeight="1">
      <x:c r="A16" s="25" t="str">
        <x:f>'Predictions'!A16</x:f>
        <x:v>3434</x:v>
      </x:c>
      <x:c r="B16" s="25" t="str">
        <x:f>'Predictions'!B16</x:f>
        <x:v>8729</x:v>
      </x:c>
      <x:c r="C16" s="25" t="str">
        <x:f>'Predictions'!C16</x:f>
        <x:v>Fish River Formation (Pff2)</x:v>
      </x:c>
      <x:c r="D16" s="25" t="str">
        <x:f>'Predictions'!J16</x:f>
        <x:v>ABSTAIN_INSUFFICIENT</x:v>
      </x:c>
      <x:c r="E16" s="25" t="str">
        <x:f>'Predictions'!K16</x:f>
      </x:c>
      <x:c r="F16" s="25" t="n">
        <x:f>'Predictions'!L16</x:f>
        <x:v>0</x:v>
      </x:c>
      <x:c r="G16" s="25" t="str">
        <x:f>'Predictions'!D16</x:f>
      </x:c>
      <x:c r="H16" s="25" t="n">
        <x:f>'Predictions'!E16</x:f>
        <x:v>0</x:v>
      </x:c>
      <x:c r="I16" s="25" t="str">
        <x:f>'Predictions'!T16</x:f>
        <x:v>TRUE_BLANK</x:v>
      </x:c>
      <x:c r="J16" s="25" t="n">
        <x:f>'Predictions'!W16</x:f>
        <x:v>0</x:v>
      </x:c>
      <x:c r="K16" s="25" t="str">
        <x:f>'Predictions'!V16</x:f>
        <x:v>token/strong</x:v>
      </x:c>
      <x:c r="L16" s="25" t="n">
        <x:f>'Predictions'!N16</x:f>
        <x:v>1</x:v>
      </x:c>
      <x:c r="M16" s="25" t="n">
        <x:f>'Predictions'!P16</x:f>
        <x:v>1</x:v>
      </x:c>
    </x:row>
    <x:row r="17" ht="42" customHeight="1">
      <x:c r="A17" s="25" t="str">
        <x:f>'Predictions'!A17</x:f>
        <x:v>3434</x:v>
      </x:c>
      <x:c r="B17" s="25" t="str">
        <x:f>'Predictions'!B17</x:f>
        <x:v>8730</x:v>
      </x:c>
      <x:c r="C17" s="25" t="str">
        <x:f>'Predictions'!C17</x:f>
        <x:v>Mt Les Siltstone</x:v>
      </x:c>
      <x:c r="D17" s="25" t="str">
        <x:f>'Predictions'!J17</x:f>
        <x:v>ABSTAIN_INSUFFICIENT</x:v>
      </x:c>
      <x:c r="E17" s="25" t="str">
        <x:f>'Predictions'!K17</x:f>
      </x:c>
      <x:c r="F17" s="25" t="n">
        <x:f>'Predictions'!L17</x:f>
        <x:v>0</x:v>
      </x:c>
      <x:c r="G17" s="25" t="str">
        <x:f>'Predictions'!D17</x:f>
      </x:c>
      <x:c r="H17" s="25" t="n">
        <x:f>'Predictions'!E17</x:f>
        <x:v>0</x:v>
      </x:c>
      <x:c r="I17" s="25" t="str">
        <x:f>'Predictions'!T17</x:f>
        <x:v>TRUE_BLANK</x:v>
      </x:c>
      <x:c r="J17" s="25" t="n">
        <x:f>'Predictions'!W17</x:f>
        <x:v>0</x:v>
      </x:c>
      <x:c r="K17" s="25" t="str">
        <x:f>'Predictions'!V17</x:f>
        <x:v>exact/strong</x:v>
      </x:c>
      <x:c r="L17" s="25" t="n">
        <x:f>'Predictions'!N17</x:f>
        <x:v>1</x:v>
      </x:c>
      <x:c r="M17" s="25" t="n">
        <x:f>'Predictions'!P17</x:f>
        <x:v>1</x:v>
      </x:c>
    </x:row>
    <x:row r="18" ht="42" customHeight="1">
      <x:c r="A18" s="25" t="str">
        <x:f>'Predictions'!A18</x:f>
        <x:v>3434</x:v>
      </x:c>
      <x:c r="B18" s="25" t="str">
        <x:f>'Predictions'!B18</x:f>
        <x:v>8731</x:v>
      </x:c>
      <x:c r="C18" s="25" t="str">
        <x:f>'Predictions'!C18</x:f>
        <x:v>Lochness Formation</x:v>
      </x:c>
      <x:c r="D18" s="25" t="str">
        <x:f>'Predictions'!J18</x:f>
        <x:v>ABSTAIN_IDENTITY</x:v>
      </x:c>
      <x:c r="E18" s="25" t="str">
        <x:f>'Predictions'!K18</x:f>
      </x:c>
      <x:c r="F18" s="25" t="n">
        <x:f>'Predictions'!L18</x:f>
        <x:v>0</x:v>
      </x:c>
      <x:c r="G18" s="25" t="str">
        <x:f>'Predictions'!D18</x:f>
      </x:c>
      <x:c r="H18" s="25" t="n">
        <x:f>'Predictions'!E18</x:f>
        <x:v>0</x:v>
      </x:c>
      <x:c r="I18" s="25" t="str">
        <x:f>'Predictions'!T18</x:f>
        <x:v>TRUE_BLANK</x:v>
      </x:c>
      <x:c r="J18" s="25" t="n">
        <x:f>'Predictions'!W18</x:f>
        <x:v>0</x:v>
      </x:c>
      <x:c r="K18" s="25" t="str">
        <x:f>'Predictions'!V18</x:f>
        <x:v>exact/strong</x:v>
      </x:c>
      <x:c r="L18" s="25" t="n">
        <x:f>'Predictions'!N18</x:f>
        <x:v>1</x:v>
      </x:c>
      <x:c r="M18" s="25" t="n">
        <x:f>'Predictions'!P18</x:f>
        <x:v>1</x:v>
      </x:c>
    </x:row>
    <x:row r="19" ht="42" customHeight="1">
      <x:c r="A19" s="25" t="str">
        <x:f>'Predictions'!A19</x:f>
        <x:v>3434</x:v>
      </x:c>
      <x:c r="B19" s="25" t="str">
        <x:f>'Predictions'!B19</x:f>
        <x:v>8732</x:v>
      </x:c>
      <x:c r="C19" s="25" t="str">
        <x:f>'Predictions'!C19</x:f>
        <x:v>Lochness Formation</x:v>
      </x:c>
      <x:c r="D19" s="25" t="str">
        <x:f>'Predictions'!J19</x:f>
        <x:v>ABSTAIN_IDENTITY</x:v>
      </x:c>
      <x:c r="E19" s="25" t="str">
        <x:f>'Predictions'!K19</x:f>
      </x:c>
      <x:c r="F19" s="25" t="n">
        <x:f>'Predictions'!L19</x:f>
        <x:v>0</x:v>
      </x:c>
      <x:c r="G19" s="25" t="str">
        <x:f>'Predictions'!D19</x:f>
      </x:c>
      <x:c r="H19" s="25" t="n">
        <x:f>'Predictions'!E19</x:f>
        <x:v>0</x:v>
      </x:c>
      <x:c r="I19" s="25" t="str">
        <x:f>'Predictions'!T19</x:f>
        <x:v>TRUE_BLANK</x:v>
      </x:c>
      <x:c r="J19" s="25" t="n">
        <x:f>'Predictions'!W19</x:f>
        <x:v>0</x:v>
      </x:c>
      <x:c r="K19" s="25" t="str">
        <x:f>'Predictions'!V19</x:f>
        <x:v>exact/strong</x:v>
      </x:c>
      <x:c r="L19" s="25" t="n">
        <x:f>'Predictions'!N19</x:f>
        <x:v>1</x:v>
      </x:c>
      <x:c r="M19" s="25" t="n">
        <x:f>'Predictions'!P19</x:f>
        <x:v>1</x:v>
      </x:c>
    </x:row>
    <x:row r="20" ht="42" customHeight="1">
      <x:c r="A20" s="25" t="str">
        <x:f>'Predictions'!A20</x:f>
        <x:v>3434</x:v>
      </x:c>
      <x:c r="B20" s="25" t="str">
        <x:f>'Predictions'!B20</x:f>
        <x:v>8733</x:v>
      </x:c>
      <x:c r="C20" s="25" t="str">
        <x:f>'Predictions'!C20</x:f>
        <x:v>Fiery Creek Formation</x:v>
      </x:c>
      <x:c r="D20" s="25" t="str">
        <x:f>'Predictions'!J20</x:f>
        <x:v>ABSTAIN_IDENTITY</x:v>
      </x:c>
      <x:c r="E20" s="25" t="str">
        <x:f>'Predictions'!K20</x:f>
      </x:c>
      <x:c r="F20" s="25" t="n">
        <x:f>'Predictions'!L20</x:f>
        <x:v>0</x:v>
      </x:c>
      <x:c r="G20" s="25" t="str">
        <x:f>'Predictions'!D20</x:f>
      </x:c>
      <x:c r="H20" s="25" t="n">
        <x:f>'Predictions'!E20</x:f>
        <x:v>0</x:v>
      </x:c>
      <x:c r="I20" s="25" t="str">
        <x:f>'Predictions'!T20</x:f>
        <x:v>TRUE_BLANK</x:v>
      </x:c>
      <x:c r="J20" s="25" t="n">
        <x:f>'Predictions'!W20</x:f>
        <x:v>0</x:v>
      </x:c>
      <x:c r="K20" s="25" t="str">
        <x:f>'Predictions'!V20</x:f>
        <x:v>token/strong</x:v>
      </x:c>
      <x:c r="L20" s="25" t="n">
        <x:f>'Predictions'!N20</x:f>
        <x:v>1</x:v>
      </x:c>
      <x:c r="M20" s="25" t="n">
        <x:f>'Predictions'!P20</x:f>
        <x:v>1</x:v>
      </x:c>
    </x:row>
    <x:row r="21" ht="42" customHeight="1">
      <x:c r="A21" s="25" t="str">
        <x:f>'Predictions'!A21</x:f>
        <x:v>3434</x:v>
      </x:c>
      <x:c r="B21" s="25" t="str">
        <x:f>'Predictions'!B21</x:f>
        <x:v>8734</x:v>
      </x:c>
      <x:c r="C21" s="25" t="str">
        <x:f>'Predictions'!C21</x:f>
        <x:v>Fiery Creek Formation</x:v>
      </x:c>
      <x:c r="D21" s="25" t="str">
        <x:f>'Predictions'!J21</x:f>
        <x:v>ABSTAIN_IDENTITY</x:v>
      </x:c>
      <x:c r="E21" s="25" t="str">
        <x:f>'Predictions'!K21</x:f>
      </x:c>
      <x:c r="F21" s="25" t="n">
        <x:f>'Predictions'!L21</x:f>
        <x:v>0</x:v>
      </x:c>
      <x:c r="G21" s="25" t="str">
        <x:f>'Predictions'!D21</x:f>
      </x:c>
      <x:c r="H21" s="25" t="n">
        <x:f>'Predictions'!E21</x:f>
        <x:v>0</x:v>
      </x:c>
      <x:c r="I21" s="25" t="str">
        <x:f>'Predictions'!T21</x:f>
        <x:v>TRUE_BLANK</x:v>
      </x:c>
      <x:c r="J21" s="25" t="n">
        <x:f>'Predictions'!W21</x:f>
        <x:v>0</x:v>
      </x:c>
      <x:c r="K21" s="25" t="str">
        <x:f>'Predictions'!V21</x:f>
        <x:v>token/strong</x:v>
      </x:c>
      <x:c r="L21" s="25" t="n">
        <x:f>'Predictions'!N21</x:f>
        <x:v>1</x:v>
      </x:c>
      <x:c r="M21" s="25" t="n">
        <x:f>'Predictions'!P21</x:f>
        <x:v>1</x:v>
      </x:c>
    </x:row>
    <x:row r="22" ht="42" customHeight="1">
      <x:c r="A22" s="25" t="str">
        <x:f>'Predictions'!A22</x:f>
        <x:v>3434</x:v>
      </x:c>
      <x:c r="B22" s="25" t="str">
        <x:f>'Predictions'!B22</x:f>
        <x:v>8735</x:v>
      </x:c>
      <x:c r="C22" s="25" t="str">
        <x:f>'Predictions'!C22</x:f>
        <x:v>Gunpowder Creek Formation</x:v>
      </x:c>
      <x:c r="D22" s="25" t="str">
        <x:f>'Predictions'!J22</x:f>
        <x:v>ABSTAIN_IDENTITY</x:v>
      </x:c>
      <x:c r="E22" s="25" t="str">
        <x:f>'Predictions'!K22</x:f>
      </x:c>
      <x:c r="F22" s="25" t="n">
        <x:f>'Predictions'!L22</x:f>
        <x:v>0</x:v>
      </x:c>
      <x:c r="G22" s="25" t="str">
        <x:f>'Predictions'!D22</x:f>
      </x:c>
      <x:c r="H22" s="25" t="n">
        <x:f>'Predictions'!E22</x:f>
        <x:v>0</x:v>
      </x:c>
      <x:c r="I22" s="25" t="str">
        <x:f>'Predictions'!T22</x:f>
        <x:v>TRUE_BLANK</x:v>
      </x:c>
      <x:c r="J22" s="25" t="n">
        <x:f>'Predictions'!W22</x:f>
        <x:v>0</x:v>
      </x:c>
      <x:c r="K22" s="25" t="str">
        <x:f>'Predictions'!V22</x:f>
        <x:v>exact/strong</x:v>
      </x:c>
      <x:c r="L22" s="25" t="n">
        <x:f>'Predictions'!N22</x:f>
        <x:v>1</x:v>
      </x:c>
      <x:c r="M22" s="25" t="n">
        <x:f>'Predictions'!P22</x:f>
        <x:v>1</x:v>
      </x:c>
    </x:row>
    <x:row r="23" ht="42" customHeight="1">
      <x:c r="A23" s="25" t="str">
        <x:f>'Predictions'!A23</x:f>
        <x:v>3434</x:v>
      </x:c>
      <x:c r="B23" s="25" t="str">
        <x:f>'Predictions'!B23</x:f>
        <x:v>8736</x:v>
      </x:c>
      <x:c r="C23" s="25" t="str">
        <x:f>'Predictions'!C23</x:f>
        <x:v>Gunpowder Creek Formation</x:v>
      </x:c>
      <x:c r="D23" s="25" t="str">
        <x:f>'Predictions'!J23</x:f>
        <x:v>ABSTAIN_IDENTITY</x:v>
      </x:c>
      <x:c r="E23" s="25" t="str">
        <x:f>'Predictions'!K23</x:f>
      </x:c>
      <x:c r="F23" s="25" t="n">
        <x:f>'Predictions'!L23</x:f>
        <x:v>0</x:v>
      </x:c>
      <x:c r="G23" s="25" t="str">
        <x:f>'Predictions'!D23</x:f>
      </x:c>
      <x:c r="H23" s="25" t="n">
        <x:f>'Predictions'!E23</x:f>
        <x:v>0</x:v>
      </x:c>
      <x:c r="I23" s="25" t="str">
        <x:f>'Predictions'!T23</x:f>
        <x:v>TRUE_BLANK</x:v>
      </x:c>
      <x:c r="J23" s="25" t="n">
        <x:f>'Predictions'!W23</x:f>
        <x:v>0</x:v>
      </x:c>
      <x:c r="K23" s="25" t="str">
        <x:f>'Predictions'!V23</x:f>
        <x:v>exact/strong</x:v>
      </x:c>
      <x:c r="L23" s="25" t="n">
        <x:f>'Predictions'!N23</x:f>
        <x:v>1</x:v>
      </x:c>
      <x:c r="M23" s="25" t="n">
        <x:f>'Predictions'!P23</x:f>
        <x:v>1</x:v>
      </x:c>
    </x:row>
    <x:row r="24" ht="42" customHeight="1">
      <x:c r="A24" s="25" t="str">
        <x:f>'Predictions'!A24</x:f>
        <x:v>3434</x:v>
      </x:c>
      <x:c r="B24" s="25" t="str">
        <x:f>'Predictions'!B24</x:f>
        <x:v>8737</x:v>
      </x:c>
      <x:c r="C24" s="25" t="str">
        <x:f>'Predictions'!C24</x:f>
        <x:v>Gunpowder Creek Formation</x:v>
      </x:c>
      <x:c r="D24" s="25" t="str">
        <x:f>'Predictions'!J24</x:f>
        <x:v>ABSTAIN_IDENTITY</x:v>
      </x:c>
      <x:c r="E24" s="25" t="str">
        <x:f>'Predictions'!K24</x:f>
      </x:c>
      <x:c r="F24" s="25" t="n">
        <x:f>'Predictions'!L24</x:f>
        <x:v>0</x:v>
      </x:c>
      <x:c r="G24" s="25" t="str">
        <x:f>'Predictions'!D24</x:f>
      </x:c>
      <x:c r="H24" s="25" t="n">
        <x:f>'Predictions'!E24</x:f>
        <x:v>0</x:v>
      </x:c>
      <x:c r="I24" s="25" t="str">
        <x:f>'Predictions'!T24</x:f>
        <x:v>TRUE_BLANK</x:v>
      </x:c>
      <x:c r="J24" s="25" t="str">
        <x:f>'Predictions'!W24</x:f>
      </x:c>
      <x:c r="K24" s="25" t="str">
        <x:f>'Predictions'!V24</x:f>
        <x:v>exact/strong</x:v>
      </x:c>
      <x:c r="L24" s="25" t="n">
        <x:f>'Predictions'!N24</x:f>
        <x:v>1</x:v>
      </x:c>
      <x:c r="M24" s="25" t="n">
        <x:f>'Predictions'!P24</x:f>
        <x:v>1</x:v>
      </x:c>
    </x:row>
    <x:row r="25" ht="42" customHeight="1">
      <x:c r="A25" s="25" t="str">
        <x:f>'Predictions'!A25</x:f>
        <x:v>3434</x:v>
      </x:c>
      <x:c r="B25" s="25" t="str">
        <x:f>'Predictions'!B25</x:f>
        <x:v>8738</x:v>
      </x:c>
      <x:c r="C25" s="25" t="str">
        <x:f>'Predictions'!C25</x:f>
        <x:v>Paradise Creek Formation</x:v>
      </x:c>
      <x:c r="D25" s="25" t="str">
        <x:f>'Predictions'!J25</x:f>
        <x:v>PRESENT</x:v>
      </x:c>
      <x:c r="E25" s="25" t="str">
        <x:f>'Predictions'!K25</x:f>
        <x:v>IRM,SUSC-T</x:v>
      </x:c>
      <x:c r="F25" s="25" t="n">
        <x:f>'Predictions'!L25</x:f>
        <x:v>1</x:v>
      </x:c>
      <x:c r="G25" s="25" t="str">
        <x:f>'Predictions'!D25</x:f>
      </x:c>
      <x:c r="H25" s="25" t="n">
        <x:f>'Predictions'!E25</x:f>
        <x:v>0</x:v>
      </x:c>
      <x:c r="I25" s="25" t="str">
        <x:f>'Predictions'!T25</x:f>
        <x:v>PREDICTED_FIELD_OR_GOLD_OMISSION</x:v>
      </x:c>
      <x:c r="J25" s="25" t="str">
        <x:f>'Predictions'!W25</x:f>
        <x:v>5</x:v>
      </x:c>
      <x:c r="K25" s="25" t="str">
        <x:f>'Predictions'!V25</x:f>
        <x:v>exact/strong</x:v>
      </x:c>
      <x:c r="L25" s="25" t="n">
        <x:f>'Predictions'!N25</x:f>
        <x:v>0</x:v>
      </x:c>
      <x:c r="M25" s="25" t="n">
        <x:f>'Predictions'!P25</x:f>
        <x:v>0</x:v>
      </x:c>
    </x:row>
    <x:row r="26" ht="42" customHeight="1">
      <x:c r="A26" s="25" t="str">
        <x:f>'Predictions'!A26</x:f>
        <x:v>3434</x:v>
      </x:c>
      <x:c r="B26" s="25" t="str">
        <x:f>'Predictions'!B26</x:f>
        <x:v>8739</x:v>
      </x:c>
      <x:c r="C26" s="25" t="str">
        <x:f>'Predictions'!C26</x:f>
        <x:v>Esperanza Formation</x:v>
      </x:c>
      <x:c r="D26" s="25" t="str">
        <x:f>'Predictions'!J26</x:f>
        <x:v>PRESENT</x:v>
      </x:c>
      <x:c r="E26" s="25" t="str">
        <x:f>'Predictions'!K26</x:f>
        <x:v>IRM,SUSC-T</x:v>
      </x:c>
      <x:c r="F26" s="25" t="n">
        <x:f>'Predictions'!L26</x:f>
        <x:v>1</x:v>
      </x:c>
      <x:c r="G26" s="25" t="str">
        <x:f>'Predictions'!D26</x:f>
      </x:c>
      <x:c r="H26" s="25" t="n">
        <x:f>'Predictions'!E26</x:f>
        <x:v>0</x:v>
      </x:c>
      <x:c r="I26" s="25" t="str">
        <x:f>'Predictions'!T26</x:f>
        <x:v>PREDICTED_FIELD_OR_GOLD_OMISSION</x:v>
      </x:c>
      <x:c r="J26" s="25" t="str">
        <x:f>'Predictions'!W26</x:f>
        <x:v>5</x:v>
      </x:c>
      <x:c r="K26" s="25" t="str">
        <x:f>'Predictions'!V26</x:f>
        <x:v>exact/strong</x:v>
      </x:c>
      <x:c r="L26" s="25" t="n">
        <x:f>'Predictions'!N26</x:f>
        <x:v>0</x:v>
      </x:c>
      <x:c r="M26" s="25" t="n">
        <x:f>'Predictions'!P26</x:f>
        <x:v>0</x:v>
      </x:c>
    </x:row>
    <x:row r="27" ht="42" customHeight="1">
      <x:c r="A27" s="25" t="str">
        <x:f>'Predictions'!A27</x:f>
        <x:v>3434</x:v>
      </x:c>
      <x:c r="B27" s="25" t="str">
        <x:f>'Predictions'!B27</x:f>
        <x:v>8740</x:v>
      </x:c>
      <x:c r="C27" s="25" t="str">
        <x:f>'Predictions'!C27</x:f>
        <x:v>Lawn Hill Formation</x:v>
      </x:c>
      <x:c r="D27" s="25" t="str">
        <x:f>'Predictions'!J27</x:f>
        <x:v>PRESENT</x:v>
      </x:c>
      <x:c r="E27" s="25" t="str">
        <x:f>'Predictions'!K27</x:f>
        <x:v>IRM,SUSC-T</x:v>
      </x:c>
      <x:c r="F27" s="25" t="n">
        <x:f>'Predictions'!L27</x:f>
        <x:v>1</x:v>
      </x:c>
      <x:c r="G27" s="25" t="str">
        <x:f>'Predictions'!D27</x:f>
      </x:c>
      <x:c r="H27" s="25" t="n">
        <x:f>'Predictions'!E27</x:f>
        <x:v>0</x:v>
      </x:c>
      <x:c r="I27" s="25" t="str">
        <x:f>'Predictions'!T27</x:f>
        <x:v>PREDICTED_FIELD_OR_GOLD_OMISSION</x:v>
      </x:c>
      <x:c r="J27" s="25" t="str">
        <x:f>'Predictions'!W27</x:f>
        <x:v>5</x:v>
      </x:c>
      <x:c r="K27" s="25" t="str">
        <x:f>'Predictions'!V27</x:f>
        <x:v>exact/strong</x:v>
      </x:c>
      <x:c r="L27" s="25" t="n">
        <x:f>'Predictions'!N27</x:f>
        <x:v>0</x:v>
      </x:c>
      <x:c r="M27" s="25" t="n">
        <x:f>'Predictions'!P27</x:f>
        <x:v>0</x:v>
      </x:c>
    </x:row>
    <x:row r="28" ht="42" customHeight="1">
      <x:c r="A28" s="25" t="str">
        <x:f>'Predictions'!A28</x:f>
        <x:v>3765</x:v>
      </x:c>
      <x:c r="B28" s="25" t="str">
        <x:f>'Predictions'!B28</x:f>
        <x:v>9400</x:v>
      </x:c>
      <x:c r="C28" s="25" t="str">
        <x:f>'Predictions'!C28</x:f>
        <x:v>Allanbridge Formation</x:v>
      </x:c>
      <x:c r="D28" s="25" t="str">
        <x:f>'Predictions'!J28</x:f>
        <x:v>ABSTAIN_ANCHOR</x:v>
      </x:c>
      <x:c r="E28" s="25" t="str">
        <x:f>'Predictions'!K28</x:f>
      </x:c>
      <x:c r="F28" s="25" t="n">
        <x:f>'Predictions'!L28</x:f>
        <x:v>0</x:v>
      </x:c>
      <x:c r="G28" s="25" t="str">
        <x:f>'Predictions'!D28</x:f>
        <x:v>IRM(MAGN)</x:v>
      </x:c>
      <x:c r="H28" s="25" t="n">
        <x:f>'Predictions'!E28</x:f>
        <x:v>1</x:v>
      </x:c>
      <x:c r="I28" s="25" t="str">
        <x:f>'Predictions'!T28</x:f>
        <x:v>TARGET_ANCHOR_OR_OCR</x:v>
      </x:c>
      <x:c r="J28" s="25" t="n">
        <x:f>'Predictions'!W28</x:f>
        <x:v>0</x:v>
      </x:c>
      <x:c r="K28" s="25" t="str">
        <x:f>'Predictions'!V28</x:f>
        <x:v>missing/missing</x:v>
      </x:c>
      <x:c r="L28" s="25" t="n">
        <x:f>'Predictions'!N28</x:f>
        <x:v>0</x:v>
      </x:c>
      <x:c r="M28" s="25" t="n">
        <x:f>'Predictions'!P28</x:f>
        <x:v>0</x:v>
      </x:c>
    </x:row>
    <x:row r="29" ht="42" customHeight="1">
      <x:c r="A29" s="25" t="str">
        <x:f>'Predictions'!A29</x:f>
        <x:v>3765</x:v>
      </x:c>
      <x:c r="B29" s="25" t="str">
        <x:f>'Predictions'!B29</x:f>
        <x:v>10019</x:v>
      </x:c>
      <x:c r="C29" s="25" t="str">
        <x:f>'Predictions'!C29</x:f>
        <x:v>Westonaria Basalts</x:v>
      </x:c>
      <x:c r="D29" s="25" t="str">
        <x:f>'Predictions'!J29</x:f>
        <x:v>ABSTAIN_INSUFFICIENT</x:v>
      </x:c>
      <x:c r="E29" s="25" t="str">
        <x:f>'Predictions'!K29</x:f>
      </x:c>
      <x:c r="F29" s="25" t="n">
        <x:f>'Predictions'!L29</x:f>
        <x:v>0</x:v>
      </x:c>
      <x:c r="G29" s="25" t="str">
        <x:f>'Predictions'!D29</x:f>
      </x:c>
      <x:c r="H29" s="25" t="n">
        <x:f>'Predictions'!E29</x:f>
        <x:v>0</x:v>
      </x:c>
      <x:c r="I29" s="25" t="str">
        <x:f>'Predictions'!T29</x:f>
        <x:v>TRUE_BLANK</x:v>
      </x:c>
      <x:c r="J29" s="25" t="str">
        <x:f>'Predictions'!W29</x:f>
      </x:c>
      <x:c r="K29" s="25" t="str">
        <x:f>'Predictions'!V29</x:f>
        <x:v>token/moderate</x:v>
      </x:c>
      <x:c r="L29" s="25" t="n">
        <x:f>'Predictions'!N29</x:f>
        <x:v>1</x:v>
      </x:c>
      <x:c r="M29" s="25" t="n">
        <x:f>'Predictions'!P29</x:f>
        <x:v>1</x:v>
      </x:c>
    </x:row>
    <x:row r="30" ht="42" customHeight="1">
      <x:c r="A30" s="25" t="str">
        <x:f>'Predictions'!A30</x:f>
        <x:v>3774</x:v>
      </x:c>
      <x:c r="B30" s="25" t="str">
        <x:f>'Predictions'!B30</x:f>
        <x:v>9410</x:v>
      </x:c>
      <x:c r="C30" s="25" t="str">
        <x:f>'Predictions'!C30</x:f>
        <x:v>Modipe Gabbro</x:v>
      </x:c>
      <x:c r="D30" s="25" t="str">
        <x:f>'Predictions'!J30</x:f>
        <x:v>ABSTAIN_IDENTITY</x:v>
      </x:c>
      <x:c r="E30" s="25" t="str">
        <x:f>'Predictions'!K30</x:f>
      </x:c>
      <x:c r="F30" s="25" t="n">
        <x:f>'Predictions'!L30</x:f>
        <x:v>0</x:v>
      </x:c>
      <x:c r="G30" s="25" t="str">
        <x:f>'Predictions'!D30</x:f>
      </x:c>
      <x:c r="H30" s="25" t="n">
        <x:f>'Predictions'!E30</x:f>
        <x:v>0</x:v>
      </x:c>
      <x:c r="I30" s="25" t="str">
        <x:f>'Predictions'!T30</x:f>
        <x:v>TRUE_BLANK</x:v>
      </x:c>
      <x:c r="J30" s="25" t="str">
        <x:f>'Predictions'!W30</x:f>
        <x:v>3, 8, 1, 4</x:v>
      </x:c>
      <x:c r="K30" s="25" t="str">
        <x:f>'Predictions'!V30</x:f>
        <x:v>exact/strong</x:v>
      </x:c>
      <x:c r="L30" s="25" t="n">
        <x:f>'Predictions'!N30</x:f>
        <x:v>1</x:v>
      </x:c>
      <x:c r="M30" s="25" t="n">
        <x:f>'Predictions'!P30</x:f>
        <x:v>1</x:v>
      </x:c>
    </x:row>
    <x:row r="31" ht="42" customHeight="1">
      <x:c r="A31" s="25" t="str">
        <x:f>'Predictions'!A31</x:f>
        <x:v>3774</x:v>
      </x:c>
      <x:c r="B31" s="25" t="str">
        <x:f>'Predictions'!B31</x:f>
        <x:v>9411</x:v>
      </x:c>
      <x:c r="C31" s="25" t="str">
        <x:f>'Predictions'!C31</x:f>
        <x:v>Modipe Gabbro</x:v>
      </x:c>
      <x:c r="D31" s="25" t="str">
        <x:f>'Predictions'!J31</x:f>
        <x:v>ABSTAIN_IDENTITY</x:v>
      </x:c>
      <x:c r="E31" s="25" t="str">
        <x:f>'Predictions'!K31</x:f>
      </x:c>
      <x:c r="F31" s="25" t="n">
        <x:f>'Predictions'!L31</x:f>
        <x:v>0</x:v>
      </x:c>
      <x:c r="G31" s="25" t="str">
        <x:f>'Predictions'!D31</x:f>
        <x:v>IRM(sat.0.3T),OP(fine MAGN - see REFNO 605),Hc(45mT)</x:v>
      </x:c>
      <x:c r="H31" s="25" t="n">
        <x:f>'Predictions'!E31</x:f>
        <x:v>1</x:v>
      </x:c>
      <x:c r="I31" s="25" t="str">
        <x:f>'Predictions'!T31</x:f>
        <x:v>IDENTITY_GRANULARITY</x:v>
      </x:c>
      <x:c r="J31" s="25" t="str">
        <x:f>'Predictions'!W31</x:f>
        <x:v>3, 8, 1, 4</x:v>
      </x:c>
      <x:c r="K31" s="25" t="str">
        <x:f>'Predictions'!V31</x:f>
        <x:v>exact/strong</x:v>
      </x:c>
      <x:c r="L31" s="25" t="n">
        <x:f>'Predictions'!N31</x:f>
        <x:v>0</x:v>
      </x:c>
      <x:c r="M31" s="25" t="n">
        <x:f>'Predictions'!P31</x:f>
        <x:v>0</x:v>
      </x:c>
    </x:row>
    <x:row r="32" ht="42" customHeight="1">
      <x:c r="A32" s="25" t="str">
        <x:f>'Predictions'!A32</x:f>
        <x:v>3792</x:v>
      </x:c>
      <x:c r="B32" s="25" t="str">
        <x:f>'Predictions'!B32</x:f>
        <x:v>9430</x:v>
      </x:c>
      <x:c r="C32" s="25" t="str">
        <x:f>'Predictions'!C32</x:f>
        <x:v>Y1 Dyke</x:v>
      </x:c>
      <x:c r="D32" s="25" t="str">
        <x:f>'Predictions'!J32</x:f>
        <x:v>ABSTAIN_ANCHOR</x:v>
      </x:c>
      <x:c r="E32" s="25" t="str">
        <x:f>'Predictions'!K32</x:f>
      </x:c>
      <x:c r="F32" s="25" t="n">
        <x:f>'Predictions'!L32</x:f>
        <x:v>0</x:v>
      </x:c>
      <x:c r="G32" s="25" t="str">
        <x:f>'Predictions'!D32</x:f>
        <x:v>SUSC-T(MAGN)</x:v>
      </x:c>
      <x:c r="H32" s="25" t="n">
        <x:f>'Predictions'!E32</x:f>
        <x:v>1</x:v>
      </x:c>
      <x:c r="I32" s="25" t="str">
        <x:f>'Predictions'!T32</x:f>
        <x:v>TARGET_ANCHOR_OR_OCR</x:v>
      </x:c>
      <x:c r="J32" s="25" t="n">
        <x:f>'Predictions'!W32</x:f>
        <x:v>0</x:v>
      </x:c>
      <x:c r="K32" s="25" t="str">
        <x:f>'Predictions'!V32</x:f>
        <x:v>generic_only/weak</x:v>
      </x:c>
      <x:c r="L32" s="25" t="n">
        <x:f>'Predictions'!N32</x:f>
        <x:v>0</x:v>
      </x:c>
      <x:c r="M32" s="25" t="n">
        <x:f>'Predictions'!P32</x:f>
        <x:v>0</x:v>
      </x:c>
    </x:row>
    <x:row r="33" ht="42" customHeight="1">
      <x:c r="A33" s="25" t="str">
        <x:f>'Predictions'!A33</x:f>
        <x:v>3792</x:v>
      </x:c>
      <x:c r="B33" s="25" t="str">
        <x:f>'Predictions'!B33</x:f>
        <x:v>9431</x:v>
      </x:c>
      <x:c r="C33" s="25" t="str">
        <x:f>'Predictions'!C33</x:f>
        <x:v>Y2 Dyke</x:v>
      </x:c>
      <x:c r="D33" s="25" t="str">
        <x:f>'Predictions'!J33</x:f>
        <x:v>ABSTAIN_ANCHOR</x:v>
      </x:c>
      <x:c r="E33" s="25" t="str">
        <x:f>'Predictions'!K33</x:f>
      </x:c>
      <x:c r="F33" s="25" t="n">
        <x:f>'Predictions'!L33</x:f>
        <x:v>0</x:v>
      </x:c>
      <x:c r="G33" s="25" t="str">
        <x:f>'Predictions'!D33</x:f>
        <x:v>SUSC-T(MAGN)</x:v>
      </x:c>
      <x:c r="H33" s="25" t="n">
        <x:f>'Predictions'!E33</x:f>
        <x:v>1</x:v>
      </x:c>
      <x:c r="I33" s="25" t="str">
        <x:f>'Predictions'!T33</x:f>
        <x:v>TARGET_ANCHOR_OR_OCR</x:v>
      </x:c>
      <x:c r="J33" s="25" t="n">
        <x:f>'Predictions'!W33</x:f>
        <x:v>0</x:v>
      </x:c>
      <x:c r="K33" s="25" t="str">
        <x:f>'Predictions'!V33</x:f>
        <x:v>generic_only/weak</x:v>
      </x:c>
      <x:c r="L33" s="25" t="n">
        <x:f>'Predictions'!N33</x:f>
        <x:v>0</x:v>
      </x:c>
      <x:c r="M33" s="25" t="n">
        <x:f>'Predictions'!P33</x:f>
        <x:v>0</x:v>
      </x:c>
    </x:row>
    <x:row r="34" ht="42" customHeight="1">
      <x:c r="A34" s="25" t="str">
        <x:f>'Predictions'!A34</x:f>
        <x:v>3792</x:v>
      </x:c>
      <x:c r="B34" s="25" t="str">
        <x:f>'Predictions'!B34</x:f>
        <x:v>9432</x:v>
      </x:c>
      <x:c r="C34" s="25" t="str">
        <x:f>'Predictions'!C34</x:f>
        <x:v>Falun Dyke</x:v>
      </x:c>
      <x:c r="D34" s="25" t="str">
        <x:f>'Predictions'!J34</x:f>
        <x:v>ABSTAIN_INSUFFICIENT</x:v>
      </x:c>
      <x:c r="E34" s="25" t="str">
        <x:f>'Predictions'!K34</x:f>
      </x:c>
      <x:c r="F34" s="25" t="n">
        <x:f>'Predictions'!L34</x:f>
        <x:v>0</x:v>
      </x:c>
      <x:c r="G34" s="25" t="str">
        <x:f>'Predictions'!D34</x:f>
        <x:v>SUSC-T(MAGN)</x:v>
      </x:c>
      <x:c r="H34" s="25" t="n">
        <x:f>'Predictions'!E34</x:f>
        <x:v>1</x:v>
      </x:c>
      <x:c r="I34" s="25" t="str">
        <x:f>'Predictions'!T34</x:f>
        <x:v>EVIDENCE_CHAIN_INCOMPLETE</x:v>
      </x:c>
      <x:c r="J34" s="25" t="n">
        <x:f>'Predictions'!W34</x:f>
        <x:v>0</x:v>
      </x:c>
      <x:c r="K34" s="25" t="str">
        <x:f>'Predictions'!V34</x:f>
        <x:v>exact/strong</x:v>
      </x:c>
      <x:c r="L34" s="25" t="n">
        <x:f>'Predictions'!N34</x:f>
        <x:v>0</x:v>
      </x:c>
      <x:c r="M34" s="25" t="n">
        <x:f>'Predictions'!P34</x:f>
        <x:v>0</x:v>
      </x:c>
    </x:row>
    <x:row r="35" ht="42" customHeight="1">
      <x:c r="A35" s="25" t="str">
        <x:f>'Predictions'!A35</x:f>
        <x:v>3792</x:v>
      </x:c>
      <x:c r="B35" s="25" t="str">
        <x:f>'Predictions'!B35</x:f>
        <x:v>9433</x:v>
      </x:c>
      <x:c r="C35" s="25" t="str">
        <x:f>'Predictions'!C35</x:f>
        <x:v>MEAN 946-935 Ma Swedish Dolerites</x:v>
      </x:c>
      <x:c r="D35" s="25" t="str">
        <x:f>'Predictions'!J35</x:f>
        <x:v>ABSTAIN_INSUFFICIENT</x:v>
      </x:c>
      <x:c r="E35" s="25" t="str">
        <x:f>'Predictions'!K35</x:f>
      </x:c>
      <x:c r="F35" s="25" t="n">
        <x:f>'Predictions'!L35</x:f>
        <x:v>0</x:v>
      </x:c>
      <x:c r="G35" s="25" t="str">
        <x:f>'Predictions'!D35</x:f>
      </x:c>
      <x:c r="H35" s="25" t="n">
        <x:f>'Predictions'!E35</x:f>
        <x:v>0</x:v>
      </x:c>
      <x:c r="I35" s="25" t="str">
        <x:f>'Predictions'!T35</x:f>
        <x:v>TRUE_BLANK</x:v>
      </x:c>
      <x:c r="J35" s="25" t="n">
        <x:f>'Predictions'!W35</x:f>
        <x:v>0</x:v>
      </x:c>
      <x:c r="K35" s="25" t="str">
        <x:f>'Predictions'!V35</x:f>
        <x:v>token/strong</x:v>
      </x:c>
      <x:c r="L35" s="25" t="n">
        <x:f>'Predictions'!N35</x:f>
        <x:v>1</x:v>
      </x:c>
      <x:c r="M35" s="25" t="n">
        <x:f>'Predictions'!P35</x:f>
        <x:v>1</x:v>
      </x:c>
    </x:row>
    <x:row r="36" ht="42" customHeight="1">
      <x:c r="A36" s="25" t="str">
        <x:f>'Predictions'!A36</x:f>
        <x:v>3792</x:v>
      </x:c>
      <x:c r="B36" s="25" t="str">
        <x:f>'Predictions'!B36</x:f>
        <x:v>9434</x:v>
      </x:c>
      <x:c r="C36" s="25" t="str">
        <x:f>'Predictions'!C36</x:f>
        <x:v>Norrkoping Dykes</x:v>
      </x:c>
      <x:c r="D36" s="25" t="str">
        <x:f>'Predictions'!J36</x:f>
        <x:v>ABSTAIN_INSUFFICIENT</x:v>
      </x:c>
      <x:c r="E36" s="25" t="str">
        <x:f>'Predictions'!K36</x:f>
      </x:c>
      <x:c r="F36" s="25" t="n">
        <x:f>'Predictions'!L36</x:f>
        <x:v>0</x:v>
      </x:c>
      <x:c r="G36" s="25" t="str">
        <x:f>'Predictions'!D36</x:f>
        <x:v>SUSC-T(MAGN)</x:v>
      </x:c>
      <x:c r="H36" s="25" t="n">
        <x:f>'Predictions'!E36</x:f>
        <x:v>1</x:v>
      </x:c>
      <x:c r="I36" s="25" t="str">
        <x:f>'Predictions'!T36</x:f>
        <x:v>EVIDENCE_CHAIN_INCOMPLETE</x:v>
      </x:c>
      <x:c r="J36" s="25" t="n">
        <x:f>'Predictions'!W36</x:f>
        <x:v>0</x:v>
      </x:c>
      <x:c r="K36" s="25" t="str">
        <x:f>'Predictions'!V36</x:f>
        <x:v>exact/strong</x:v>
      </x:c>
      <x:c r="L36" s="25" t="n">
        <x:f>'Predictions'!N36</x:f>
        <x:v>0</x:v>
      </x:c>
      <x:c r="M36" s="25" t="n">
        <x:f>'Predictions'!P36</x:f>
        <x:v>0</x:v>
      </x:c>
    </x:row>
    <x:row r="37" ht="42" customHeight="1">
      <x:c r="A37" s="25" t="str">
        <x:f>'Predictions'!A37</x:f>
        <x:v>3792</x:v>
      </x:c>
      <x:c r="B37" s="25" t="str">
        <x:f>'Predictions'!B37</x:f>
        <x:v>9435</x:v>
      </x:c>
      <x:c r="C37" s="25" t="str">
        <x:f>'Predictions'!C37</x:f>
        <x:v>Rejmyre Dyke</x:v>
      </x:c>
      <x:c r="D37" s="25" t="str">
        <x:f>'Predictions'!J37</x:f>
        <x:v>ABSTAIN_INSUFFICIENT</x:v>
      </x:c>
      <x:c r="E37" s="25" t="str">
        <x:f>'Predictions'!K37</x:f>
      </x:c>
      <x:c r="F37" s="25" t="n">
        <x:f>'Predictions'!L37</x:f>
        <x:v>0</x:v>
      </x:c>
      <x:c r="G37" s="25" t="str">
        <x:f>'Predictions'!D37</x:f>
      </x:c>
      <x:c r="H37" s="25" t="n">
        <x:f>'Predictions'!E37</x:f>
        <x:v>0</x:v>
      </x:c>
      <x:c r="I37" s="25" t="str">
        <x:f>'Predictions'!T37</x:f>
        <x:v>TRUE_BLANK</x:v>
      </x:c>
      <x:c r="J37" s="25" t="str">
        <x:f>'Predictions'!W37</x:f>
      </x:c>
      <x:c r="K37" s="25" t="str">
        <x:f>'Predictions'!V37</x:f>
        <x:v>exact/strong</x:v>
      </x:c>
      <x:c r="L37" s="25" t="n">
        <x:f>'Predictions'!N37</x:f>
        <x:v>1</x:v>
      </x:c>
      <x:c r="M37" s="25" t="n">
        <x:f>'Predictions'!P37</x:f>
        <x:v>1</x:v>
      </x:c>
    </x:row>
    <x:row r="38" ht="42" customHeight="1">
      <x:c r="A38" s="25" t="str">
        <x:f>'Predictions'!A38</x:f>
        <x:v>4168</x:v>
      </x:c>
      <x:c r="B38" s="25" t="str">
        <x:f>'Predictions'!B38</x:f>
        <x:v>10005</x:v>
      </x:c>
      <x:c r="C38" s="25" t="str">
        <x:f>'Predictions'!C38</x:f>
        <x:v>Kopparnäs Dykes</x:v>
      </x:c>
      <x:c r="D38" s="25" t="str">
        <x:f>'Predictions'!J38</x:f>
        <x:v>PRESENT</x:v>
      </x:c>
      <x:c r="E38" s="25" t="str">
        <x:f>'Predictions'!K38</x:f>
        <x:v>IRM,SUSC-T,HYST,SEM,OP(TM,PYRR,ILM,MAGN)</x:v>
      </x:c>
      <x:c r="F38" s="25" t="n">
        <x:f>'Predictions'!L38</x:f>
        <x:v>1</x:v>
      </x:c>
      <x:c r="G38" s="25" t="str">
        <x:f>'Predictions'!D38</x:f>
        <x:v>SUSC-T,3-axis Jrs-T, IRM (MAGN,TM)</x:v>
      </x:c>
      <x:c r="H38" s="25" t="n">
        <x:f>'Predictions'!E38</x:f>
        <x:v>1</x:v>
      </x:c>
      <x:c r="I38" s="25" t="str">
        <x:f>'Predictions'!T38</x:f>
        <x:v>SEMANTIC_MATCH</x:v>
      </x:c>
      <x:c r="J38" s="25" t="str">
        <x:f>'Predictions'!W38</x:f>
        <x:v>6, 7, 5</x:v>
      </x:c>
      <x:c r="K38" s="25" t="str">
        <x:f>'Predictions'!V38</x:f>
        <x:v>token/moderate</x:v>
      </x:c>
      <x:c r="L38" s="25" t="n">
        <x:f>'Predictions'!N38</x:f>
        <x:v>1</x:v>
      </x:c>
      <x:c r="M38" s="25" t="n">
        <x:f>'Predictions'!P38</x:f>
        <x:v>1</x:v>
      </x:c>
    </x:row>
    <x:row r="39" ht="42" customHeight="1">
      <x:c r="A39" s="25" t="str">
        <x:f>'Predictions'!A39</x:f>
        <x:v>4168</x:v>
      </x:c>
      <x:c r="B39" s="25" t="str">
        <x:f>'Predictions'!B39</x:f>
        <x:v>10006</x:v>
      </x:c>
      <x:c r="C39" s="25" t="str">
        <x:f>'Predictions'!C39</x:f>
        <x:v>Ragunda Dykes, Group 2+host</x:v>
      </x:c>
      <x:c r="D39" s="25" t="str">
        <x:f>'Predictions'!J39</x:f>
        <x:v>PRESENT</x:v>
      </x:c>
      <x:c r="E39" s="25" t="str">
        <x:f>'Predictions'!K39</x:f>
        <x:v>IRM,SUSC-T,HYST(PYRR,MAGN,TM)</x:v>
      </x:c>
      <x:c r="F39" s="25" t="n">
        <x:f>'Predictions'!L39</x:f>
        <x:v>1</x:v>
      </x:c>
      <x:c r="G39" s="25" t="str">
        <x:f>'Predictions'!D39</x:f>
        <x:v>SUSC-T,3-axis Jrs-T, IRM (MAGN,TM)</x:v>
      </x:c>
      <x:c r="H39" s="25" t="n">
        <x:f>'Predictions'!E39</x:f>
        <x:v>1</x:v>
      </x:c>
      <x:c r="I39" s="25" t="str">
        <x:f>'Predictions'!T39</x:f>
        <x:v>SEMANTIC_MATCH</x:v>
      </x:c>
      <x:c r="J39" s="25" t="str">
        <x:f>'Predictions'!W39</x:f>
        <x:v>5, 6, 9</x:v>
      </x:c>
      <x:c r="K39" s="25" t="str">
        <x:f>'Predictions'!V39</x:f>
        <x:v>token/strong</x:v>
      </x:c>
      <x:c r="L39" s="25" t="n">
        <x:f>'Predictions'!N39</x:f>
        <x:v>1</x:v>
      </x:c>
      <x:c r="M39" s="25" t="n">
        <x:f>'Predictions'!P39</x:f>
        <x:v>1</x:v>
      </x:c>
    </x:row>
    <x:row r="40" ht="42" customHeight="1">
      <x:c r="A40" s="25" t="str">
        <x:f>'Predictions'!A40</x:f>
        <x:v>4168</x:v>
      </x:c>
      <x:c r="B40" s="25" t="str">
        <x:f>'Predictions'!B40</x:f>
        <x:v>10007</x:v>
      </x:c>
      <x:c r="C40" s="25" t="str">
        <x:f>'Predictions'!C40</x:f>
        <x:v>Ragunda Dykes, Group 1</x:v>
      </x:c>
      <x:c r="D40" s="25" t="str">
        <x:f>'Predictions'!J40</x:f>
        <x:v>ABSENT</x:v>
      </x:c>
      <x:c r="E40" s="25" t="str">
        <x:f>'Predictions'!K40</x:f>
      </x:c>
      <x:c r="F40" s="25" t="n">
        <x:f>'Predictions'!L40</x:f>
        <x:v>0</x:v>
      </x:c>
      <x:c r="G40" s="25" t="str">
        <x:f>'Predictions'!D40</x:f>
        <x:v>SUSC-T,3-axis Jrs-T, IRM (MAGN,TM)</x:v>
      </x:c>
      <x:c r="H40" s="25" t="n">
        <x:f>'Predictions'!E40</x:f>
        <x:v>1</x:v>
      </x:c>
      <x:c r="I40" s="25" t="str">
        <x:f>'Predictions'!T40</x:f>
        <x:v>FIELD_FALSE_NEGATIVE</x:v>
      </x:c>
      <x:c r="J40" s="25" t="n">
        <x:f>'Predictions'!W40</x:f>
        <x:v>0</x:v>
      </x:c>
      <x:c r="K40" s="25" t="str">
        <x:f>'Predictions'!V40</x:f>
        <x:v>token/moderate</x:v>
      </x:c>
      <x:c r="L40" s="25" t="n">
        <x:f>'Predictions'!N40</x:f>
        <x:v>0</x:v>
      </x:c>
      <x:c r="M40" s="25" t="n">
        <x:f>'Predictions'!P40</x:f>
        <x:v>0</x:v>
      </x:c>
    </x:row>
    <x:row r="41" ht="42" customHeight="1">
      <x:c r="A41" s="25" t="str">
        <x:f>'Predictions'!A41</x:f>
        <x:v>4168</x:v>
      </x:c>
      <x:c r="B41" s="25" t="str">
        <x:f>'Predictions'!B41</x:f>
        <x:v>10008</x:v>
      </x:c>
      <x:c r="C41" s="25" t="str">
        <x:f>'Predictions'!C41</x:f>
        <x:v>Strömsbro Rapakivi Complex</x:v>
      </x:c>
      <x:c r="D41" s="25" t="str">
        <x:f>'Predictions'!J41</x:f>
        <x:v>ABSTAIN_ANCHOR</x:v>
      </x:c>
      <x:c r="E41" s="25" t="str">
        <x:f>'Predictions'!K41</x:f>
      </x:c>
      <x:c r="F41" s="25" t="n">
        <x:f>'Predictions'!L41</x:f>
        <x:v>0</x:v>
      </x:c>
      <x:c r="G41" s="25" t="str">
        <x:f>'Predictions'!D41</x:f>
        <x:v>SUSC-T,3-axis Jrs-T, IRM (MAGN,TM)</x:v>
      </x:c>
      <x:c r="H41" s="25" t="n">
        <x:f>'Predictions'!E41</x:f>
        <x:v>1</x:v>
      </x:c>
      <x:c r="I41" s="25" t="str">
        <x:f>'Predictions'!T41</x:f>
        <x:v>TARGET_ANCHOR_OR_OCR</x:v>
      </x:c>
      <x:c r="J41" s="25" t="n">
        <x:f>'Predictions'!W41</x:f>
        <x:v>0</x:v>
      </x:c>
      <x:c r="K41" s="25" t="str">
        <x:f>'Predictions'!V41</x:f>
        <x:v>missing/missing</x:v>
      </x:c>
      <x:c r="L41" s="25" t="n">
        <x:f>'Predictions'!N41</x:f>
        <x:v>0</x:v>
      </x:c>
      <x:c r="M41" s="25" t="n">
        <x:f>'Predictions'!P41</x:f>
        <x:v>0</x:v>
      </x:c>
    </x:row>
    <x:row r="42" ht="42" customHeight="1">
      <x:c r="A42" s="25" t="str">
        <x:f>'Predictions'!A42</x:f>
        <x:v>4168</x:v>
      </x:c>
      <x:c r="B42" s="25" t="str">
        <x:f>'Predictions'!B42</x:f>
        <x:v>10009</x:v>
      </x:c>
      <x:c r="C42" s="25" t="str">
        <x:f>'Predictions'!C42</x:f>
        <x:v>Strömsbro Dykes</x:v>
      </x:c>
      <x:c r="D42" s="25" t="str">
        <x:f>'Predictions'!J42</x:f>
        <x:v>ABSTAIN_ANCHOR</x:v>
      </x:c>
      <x:c r="E42" s="25" t="str">
        <x:f>'Predictions'!K42</x:f>
      </x:c>
      <x:c r="F42" s="25" t="n">
        <x:f>'Predictions'!L42</x:f>
        <x:v>0</x:v>
      </x:c>
      <x:c r="G42" s="25" t="str">
        <x:f>'Predictions'!D42</x:f>
        <x:v>SUSC-T,3-axis Jrs-T, IRM (MAGN,TM)</x:v>
      </x:c>
      <x:c r="H42" s="25" t="n">
        <x:f>'Predictions'!E42</x:f>
        <x:v>0</x:v>
      </x:c>
      <x:c r="I42" s="25" t="str">
        <x:f>'Predictions'!T42</x:f>
        <x:v>TARGET_ANCHOR_OR_OCR</x:v>
      </x:c>
      <x:c r="J42" s="25" t="n">
        <x:f>'Predictions'!W42</x:f>
        <x:v>0</x:v>
      </x:c>
      <x:c r="K42" s="25" t="str">
        <x:f>'Predictions'!V42</x:f>
        <x:v>missing/missing</x:v>
      </x:c>
      <x:c r="L42" s="25" t="n">
        <x:f>'Predictions'!N42</x:f>
        <x:v>0</x:v>
      </x:c>
      <x:c r="M42" s="25" t="n">
        <x:f>'Predictions'!P42</x:f>
        <x:v>1</x:v>
      </x:c>
    </x:row>
    <x:row r="43" ht="42" customHeight="1">
      <x:c r="A43" s="25" t="str">
        <x:f>'Predictions'!A43</x:f>
        <x:v>4168</x:v>
      </x:c>
      <x:c r="B43" s="25" t="str">
        <x:f>'Predictions'!B43</x:f>
        <x:v>10010</x:v>
      </x:c>
      <x:c r="C43" s="25" t="str">
        <x:f>'Predictions'!C43</x:f>
        <x:v>Rödö Rapakivi Complex</x:v>
      </x:c>
      <x:c r="D43" s="25" t="str">
        <x:f>'Predictions'!J43</x:f>
        <x:v>ABSTAIN_ANCHOR</x:v>
      </x:c>
      <x:c r="E43" s="25" t="str">
        <x:f>'Predictions'!K43</x:f>
      </x:c>
      <x:c r="F43" s="25" t="n">
        <x:f>'Predictions'!L43</x:f>
        <x:v>0</x:v>
      </x:c>
      <x:c r="G43" s="25" t="str">
        <x:f>'Predictions'!D43</x:f>
        <x:v>SUSC-T,3-axis Jrs-T, IRM (MAGN,TM)</x:v>
      </x:c>
      <x:c r="H43" s="25" t="n">
        <x:f>'Predictions'!E43</x:f>
        <x:v>1</x:v>
      </x:c>
      <x:c r="I43" s="25" t="str">
        <x:f>'Predictions'!T43</x:f>
        <x:v>TARGET_ANCHOR_OR_OCR</x:v>
      </x:c>
      <x:c r="J43" s="25" t="n">
        <x:f>'Predictions'!W43</x:f>
        <x:v>0</x:v>
      </x:c>
      <x:c r="K43" s="25" t="str">
        <x:f>'Predictions'!V43</x:f>
        <x:v>missing/missing</x:v>
      </x:c>
      <x:c r="L43" s="25" t="n">
        <x:f>'Predictions'!N43</x:f>
        <x:v>0</x:v>
      </x:c>
      <x:c r="M43" s="25" t="n">
        <x:f>'Predictions'!P43</x:f>
        <x:v>0</x:v>
      </x:c>
    </x:row>
    <x:row r="44" ht="42" customHeight="1">
      <x:c r="A44" s="25" t="str">
        <x:f>'Predictions'!A44</x:f>
        <x:v>4168</x:v>
      </x:c>
      <x:c r="B44" s="25" t="str">
        <x:f>'Predictions'!B44</x:f>
        <x:v>10011</x:v>
      </x:c>
      <x:c r="C44" s="25" t="str">
        <x:f>'Predictions'!C44</x:f>
        <x:v>Rödö Dykes</x:v>
      </x:c>
      <x:c r="D44" s="25" t="str">
        <x:f>'Predictions'!J44</x:f>
        <x:v>ABSTAIN_ANCHOR</x:v>
      </x:c>
      <x:c r="E44" s="25" t="str">
        <x:f>'Predictions'!K44</x:f>
      </x:c>
      <x:c r="F44" s="25" t="n">
        <x:f>'Predictions'!L44</x:f>
        <x:v>0</x:v>
      </x:c>
      <x:c r="G44" s="25" t="str">
        <x:f>'Predictions'!D44</x:f>
        <x:v>SUSC-T,3-axis Jrs-T, IRM (MAGN,TM)</x:v>
      </x:c>
      <x:c r="H44" s="25" t="n">
        <x:f>'Predictions'!E44</x:f>
        <x:v>1</x:v>
      </x:c>
      <x:c r="I44" s="25" t="str">
        <x:f>'Predictions'!T44</x:f>
        <x:v>TARGET_ANCHOR_OR_OCR</x:v>
      </x:c>
      <x:c r="J44" s="25" t="str">
        <x:f>'Predictions'!W44</x:f>
      </x:c>
      <x:c r="K44" s="25" t="str">
        <x:f>'Predictions'!V44</x:f>
        <x:v>missing/missing</x:v>
      </x:c>
      <x:c r="L44" s="25" t="n">
        <x:f>'Predictions'!N44</x:f>
        <x:v>0</x:v>
      </x:c>
      <x:c r="M44" s="25" t="n">
        <x:f>'Predictions'!P44</x:f>
        <x:v>0</x:v>
      </x:c>
    </x:row>
    <x:row r="45" ht="42" customHeight="1">
      <x:c r="A45" s="25" t="str">
        <x:f>'Predictions'!A45</x:f>
        <x:v>4168</x:v>
      </x:c>
      <x:c r="B45" s="25" t="str">
        <x:f>'Predictions'!B45</x:f>
        <x:v>10012</x:v>
      </x:c>
      <x:c r="C45" s="25" t="str">
        <x:f>'Predictions'!C45</x:f>
        <x:v>Noran Rapakivi Complex</x:v>
      </x:c>
      <x:c r="D45" s="25" t="str">
        <x:f>'Predictions'!J45</x:f>
        <x:v>PRESENT</x:v>
      </x:c>
      <x:c r="E45" s="25" t="str">
        <x:f>'Predictions'!K45</x:f>
        <x:v>SUSC-T(MAGN,TM,PYRR)</x:v>
      </x:c>
      <x:c r="F45" s="25" t="n">
        <x:f>'Predictions'!L45</x:f>
        <x:v>1</x:v>
      </x:c>
      <x:c r="G45" s="25" t="str">
        <x:f>'Predictions'!D45</x:f>
        <x:v>SUSC-T,3-axis Jrs-T, IRM (MAGN,TM)</x:v>
      </x:c>
      <x:c r="H45" s="25" t="n">
        <x:f>'Predictions'!E45</x:f>
        <x:v>1</x:v>
      </x:c>
      <x:c r="I45" s="25" t="str">
        <x:f>'Predictions'!T45</x:f>
        <x:v>SEMANTIC_MATCH</x:v>
      </x:c>
      <x:c r="J45" s="25" t="str">
        <x:f>'Predictions'!W45</x:f>
        <x:v>5, 6</x:v>
      </x:c>
      <x:c r="K45" s="25" t="str">
        <x:f>'Predictions'!V45</x:f>
        <x:v>exact/strong</x:v>
      </x:c>
      <x:c r="L45" s="25" t="n">
        <x:f>'Predictions'!N45</x:f>
        <x:v>1</x:v>
      </x:c>
      <x:c r="M45" s="25" t="n">
        <x:f>'Predictions'!P45</x:f>
        <x:v>1</x:v>
      </x:c>
    </x:row>
    <x:row r="46" ht="42" customHeight="1">
      <x:c r="A46" s="25" t="str">
        <x:f>'Predictions'!A46</x:f>
        <x:v>4181</x:v>
      </x:c>
      <x:c r="B46" s="25" t="str">
        <x:f>'Predictions'!B46</x:f>
        <x:v>10029</x:v>
      </x:c>
      <x:c r="C46" s="25" t="str">
        <x:f>'Predictions'!C46</x:f>
        <x:v>Bull Arm Formation, Bonavista</x:v>
      </x:c>
      <x:c r="D46" s="25" t="str">
        <x:f>'Predictions'!J46</x:f>
        <x:v>ABSTAIN_INSUFFICIENT</x:v>
      </x:c>
      <x:c r="E46" s="25" t="str">
        <x:f>'Predictions'!K46</x:f>
      </x:c>
      <x:c r="F46" s="25" t="n">
        <x:f>'Predictions'!L46</x:f>
        <x:v>0</x:v>
      </x:c>
      <x:c r="G46" s="25" t="str">
        <x:f>'Predictions'!D46</x:f>
        <x:v>SUSC-T,OP(MAGN,HEM)</x:v>
      </x:c>
      <x:c r="H46" s="25" t="n">
        <x:f>'Predictions'!E46</x:f>
        <x:v>1</x:v>
      </x:c>
      <x:c r="I46" s="25" t="str">
        <x:f>'Predictions'!T46</x:f>
        <x:v>EVIDENCE_CHAIN_INCOMPLETE</x:v>
      </x:c>
      <x:c r="J46" s="25" t="n">
        <x:f>'Predictions'!W46</x:f>
        <x:v>0</x:v>
      </x:c>
      <x:c r="K46" s="25" t="str">
        <x:f>'Predictions'!V46</x:f>
        <x:v>token/strong</x:v>
      </x:c>
      <x:c r="L46" s="25" t="n">
        <x:f>'Predictions'!N46</x:f>
        <x:v>0</x:v>
      </x:c>
      <x:c r="M46" s="25" t="n">
        <x:f>'Predictions'!P46</x:f>
        <x:v>0</x:v>
      </x:c>
    </x:row>
    <x:row r="47" ht="42" customHeight="1">
      <x:c r="A47" s="25" t="str">
        <x:f>'Predictions'!A47</x:f>
        <x:v>4181</x:v>
      </x:c>
      <x:c r="B47" s="25" t="str">
        <x:f>'Predictions'!B47</x:f>
        <x:v>10030</x:v>
      </x:c>
      <x:c r="C47" s="25" t="str">
        <x:f>'Predictions'!C47</x:f>
        <x:v>Crown Hill Formation</x:v>
      </x:c>
      <x:c r="D47" s="25" t="str">
        <x:f>'Predictions'!J47</x:f>
        <x:v>ABSTAIN_INSUFFICIENT</x:v>
      </x:c>
      <x:c r="E47" s="25" t="str">
        <x:f>'Predictions'!K47</x:f>
      </x:c>
      <x:c r="F47" s="25" t="n">
        <x:f>'Predictions'!L47</x:f>
        <x:v>0</x:v>
      </x:c>
      <x:c r="G47" s="25" t="str">
        <x:f>'Predictions'!D47</x:f>
      </x:c>
      <x:c r="H47" s="25" t="n">
        <x:f>'Predictions'!E47</x:f>
        <x:v>0</x:v>
      </x:c>
      <x:c r="I47" s="25" t="str">
        <x:f>'Predictions'!T47</x:f>
        <x:v>TRUE_BLANK</x:v>
      </x:c>
      <x:c r="J47" s="25" t="str">
        <x:f>'Predictions'!W47</x:f>
      </x:c>
      <x:c r="K47" s="25" t="str">
        <x:f>'Predictions'!V47</x:f>
        <x:v>exact/strong</x:v>
      </x:c>
      <x:c r="L47" s="25" t="n">
        <x:f>'Predictions'!N47</x:f>
        <x:v>1</x:v>
      </x:c>
      <x:c r="M47" s="25" t="n">
        <x:f>'Predictions'!P47</x:f>
        <x:v>1</x:v>
      </x:c>
    </x:row>
    <x:row r="48" ht="42" customHeight="1">
      <x:c r="A48" s="25" t="str">
        <x:f>'Predictions'!A48</x:f>
        <x:v>4298</x:v>
      </x:c>
      <x:c r="B48" s="25" t="str">
        <x:f>'Predictions'!B48</x:f>
        <x:v>10189</x:v>
      </x:c>
      <x:c r="C48" s="25" t="str">
        <x:f>'Predictions'!C48</x:f>
        <x:v>Gzhelian Sediments</x:v>
      </x:c>
      <x:c r="D48" s="25" t="str">
        <x:f>'Predictions'!J48</x:f>
        <x:v>PRESENT</x:v>
      </x:c>
      <x:c r="E48" s="25" t="str">
        <x:f>'Predictions'!K48</x:f>
        <x:v>SUSC-T,OP(MAGN,HEM)</x:v>
      </x:c>
      <x:c r="F48" s="25" t="n">
        <x:f>'Predictions'!L48</x:f>
        <x:v>1</x:v>
      </x:c>
      <x:c r="G48" s="25" t="str">
        <x:f>'Predictions'!D48</x:f>
        <x:v>OP,SUSC-T(MAGN)</x:v>
      </x:c>
      <x:c r="H48" s="25" t="n">
        <x:f>'Predictions'!E48</x:f>
        <x:v>1</x:v>
      </x:c>
      <x:c r="I48" s="25" t="str">
        <x:f>'Predictions'!T48</x:f>
        <x:v>SEMANTIC_MATCH</x:v>
      </x:c>
      <x:c r="J48" s="25" t="str">
        <x:f>'Predictions'!W48</x:f>
        <x:v>4, 6</x:v>
      </x:c>
      <x:c r="K48" s="25" t="str">
        <x:f>'Predictions'!V48</x:f>
        <x:v>token/moderate</x:v>
      </x:c>
      <x:c r="L48" s="25" t="n">
        <x:f>'Predictions'!N48</x:f>
        <x:v>1</x:v>
      </x:c>
      <x:c r="M48" s="25" t="n">
        <x:f>'Predictions'!P48</x:f>
        <x:v>1</x:v>
      </x:c>
    </x:row>
    <x:row r="49" ht="42" customHeight="1">
      <x:c r="A49" s="25" t="str">
        <x:f>'Predictions'!A49</x:f>
        <x:v>4298</x:v>
      </x:c>
      <x:c r="B49" s="25" t="str">
        <x:f>'Predictions'!B49</x:f>
        <x:v>10190</x:v>
      </x:c>
      <x:c r="C49" s="25" t="str">
        <x:f>'Predictions'!C49</x:f>
        <x:v>Visean Sediments</x:v>
      </x:c>
      <x:c r="D49" s="25" t="str">
        <x:f>'Predictions'!J49</x:f>
        <x:v>ABSTAIN_IDENTITY</x:v>
      </x:c>
      <x:c r="E49" s="25" t="str">
        <x:f>'Predictions'!K49</x:f>
      </x:c>
      <x:c r="F49" s="25" t="n">
        <x:f>'Predictions'!L49</x:f>
        <x:v>0</x:v>
      </x:c>
      <x:c r="G49" s="25" t="str">
        <x:f>'Predictions'!D49</x:f>
        <x:v>OP,SUSC-T(HEM)</x:v>
      </x:c>
      <x:c r="H49" s="25" t="n">
        <x:f>'Predictions'!E49</x:f>
        <x:v>1</x:v>
      </x:c>
      <x:c r="I49" s="25" t="str">
        <x:f>'Predictions'!T49</x:f>
        <x:v>IDENTITY_GRANULARITY</x:v>
      </x:c>
      <x:c r="J49" s="25" t="str">
        <x:f>'Predictions'!W49</x:f>
        <x:v>6, 5</x:v>
      </x:c>
      <x:c r="K49" s="25" t="str">
        <x:f>'Predictions'!V49</x:f>
        <x:v>token/moderate</x:v>
      </x:c>
      <x:c r="L49" s="25" t="n">
        <x:f>'Predictions'!N49</x:f>
        <x:v>0</x:v>
      </x:c>
      <x:c r="M49" s="25" t="n">
        <x:f>'Predictions'!P49</x:f>
        <x:v>0</x:v>
      </x:c>
    </x:row>
    <x:row r="50" ht="42" customHeight="1">
      <x:c r="A50" s="25" t="str">
        <x:f>'Predictions'!A50</x:f>
        <x:v>4298</x:v>
      </x:c>
      <x:c r="B50" s="25" t="str">
        <x:f>'Predictions'!B50</x:f>
        <x:v>10191</x:v>
      </x:c>
      <x:c r="C50" s="25" t="str">
        <x:f>'Predictions'!C50</x:f>
        <x:v>Visean Sediments</x:v>
      </x:c>
      <x:c r="D50" s="25" t="str">
        <x:f>'Predictions'!J50</x:f>
        <x:v>ABSTAIN_IDENTITY</x:v>
      </x:c>
      <x:c r="E50" s="25" t="str">
        <x:f>'Predictions'!K50</x:f>
      </x:c>
      <x:c r="F50" s="25" t="n">
        <x:f>'Predictions'!L50</x:f>
        <x:v>0</x:v>
      </x:c>
      <x:c r="G50" s="25" t="str">
        <x:f>'Predictions'!D50</x:f>
        <x:v>OP,SUSC-T(HEM)</x:v>
      </x:c>
      <x:c r="H50" s="25" t="n">
        <x:f>'Predictions'!E50</x:f>
        <x:v>1</x:v>
      </x:c>
      <x:c r="I50" s="25" t="str">
        <x:f>'Predictions'!T50</x:f>
        <x:v>IDENTITY_GRANULARITY</x:v>
      </x:c>
      <x:c r="J50" s="25" t="str">
        <x:f>'Predictions'!W50</x:f>
        <x:v>6, 5</x:v>
      </x:c>
      <x:c r="K50" s="25" t="str">
        <x:f>'Predictions'!V50</x:f>
        <x:v>token/moderate</x:v>
      </x:c>
      <x:c r="L50" s="25" t="n">
        <x:f>'Predictions'!N50</x:f>
        <x:v>0</x:v>
      </x:c>
      <x:c r="M50" s="25" t="n">
        <x:f>'Predictions'!P50</x:f>
        <x:v>0</x:v>
      </x:c>
    </x:row>
    <x:row r="51" ht="42" customHeight="1">
      <x:c r="A51" s="25" t="str">
        <x:f>'Predictions'!A51</x:f>
        <x:v>4298</x:v>
      </x:c>
      <x:c r="B51" s="25" t="str">
        <x:f>'Predictions'!B51</x:f>
        <x:v>10192</x:v>
      </x:c>
      <x:c r="C51" s="25" t="str">
        <x:f>'Predictions'!C51</x:f>
        <x:v>Visean Sediments, Priksha River</x:v>
      </x:c>
      <x:c r="D51" s="25" t="str">
        <x:f>'Predictions'!J51</x:f>
        <x:v>ABSTAIN_IDENTITY</x:v>
      </x:c>
      <x:c r="E51" s="25" t="str">
        <x:f>'Predictions'!K51</x:f>
      </x:c>
      <x:c r="F51" s="25" t="n">
        <x:f>'Predictions'!L51</x:f>
        <x:v>0</x:v>
      </x:c>
      <x:c r="G51" s="25" t="str">
        <x:f>'Predictions'!D51</x:f>
        <x:v>OP,SUSC-T(HEM)</x:v>
      </x:c>
      <x:c r="H51" s="25" t="n">
        <x:f>'Predictions'!E51</x:f>
        <x:v>1</x:v>
      </x:c>
      <x:c r="I51" s="25" t="str">
        <x:f>'Predictions'!T51</x:f>
        <x:v>IDENTITY_GRANULARITY</x:v>
      </x:c>
      <x:c r="J51" s="25" t="str">
        <x:f>'Predictions'!W51</x:f>
        <x:v>6, 4, 5</x:v>
      </x:c>
      <x:c r="K51" s="25" t="str">
        <x:f>'Predictions'!V51</x:f>
        <x:v>token/strong</x:v>
      </x:c>
      <x:c r="L51" s="25" t="n">
        <x:f>'Predictions'!N51</x:f>
        <x:v>0</x:v>
      </x:c>
      <x:c r="M51" s="25" t="n">
        <x:f>'Predictions'!P51</x:f>
        <x:v>0</x:v>
      </x:c>
    </x:row>
    <x:row r="52" ht="42" customHeight="1">
      <x:c r="A52" s="25" t="str">
        <x:f>'Predictions'!A52</x:f>
        <x:v>4298</x:v>
      </x:c>
      <x:c r="B52" s="25" t="str">
        <x:f>'Predictions'!B52</x:f>
        <x:v>10193</x:v>
      </x:c>
      <x:c r="C52" s="25" t="str">
        <x:f>'Predictions'!C52</x:f>
        <x:v>Visean Sediments, Priksha River</x:v>
      </x:c>
      <x:c r="D52" s="25" t="str">
        <x:f>'Predictions'!J52</x:f>
        <x:v>ABSTAIN_IDENTITY</x:v>
      </x:c>
      <x:c r="E52" s="25" t="str">
        <x:f>'Predictions'!K52</x:f>
      </x:c>
      <x:c r="F52" s="25" t="n">
        <x:f>'Predictions'!L52</x:f>
        <x:v>0</x:v>
      </x:c>
      <x:c r="G52" s="25" t="str">
        <x:f>'Predictions'!D52</x:f>
        <x:v>OP,SUSC-T(HEM)</x:v>
      </x:c>
      <x:c r="H52" s="25" t="n">
        <x:f>'Predictions'!E52</x:f>
        <x:v>1</x:v>
      </x:c>
      <x:c r="I52" s="25" t="str">
        <x:f>'Predictions'!T52</x:f>
        <x:v>IDENTITY_GRANULARITY</x:v>
      </x:c>
      <x:c r="J52" s="25" t="str">
        <x:f>'Predictions'!W52</x:f>
        <x:v>6, 4, 5</x:v>
      </x:c>
      <x:c r="K52" s="25" t="str">
        <x:f>'Predictions'!V52</x:f>
        <x:v>token/strong</x:v>
      </x:c>
      <x:c r="L52" s="25" t="n">
        <x:f>'Predictions'!N52</x:f>
        <x:v>0</x:v>
      </x:c>
      <x:c r="M52" s="25" t="n">
        <x:f>'Predictions'!P52</x:f>
        <x:v>0</x:v>
      </x:c>
    </x:row>
    <x:row r="53" ht="42" customHeight="1">
      <x:c r="A53" s="25" t="str">
        <x:f>'Predictions'!A53</x:f>
        <x:v>4298</x:v>
      </x:c>
      <x:c r="B53" s="25" t="str">
        <x:f>'Predictions'!B53</x:f>
        <x:v>10194</x:v>
      </x:c>
      <x:c r="C53" s="25" t="str">
        <x:f>'Predictions'!C53</x:f>
        <x:v>Visean Sediments, Priksha River</x:v>
      </x:c>
      <x:c r="D53" s="25" t="str">
        <x:f>'Predictions'!J53</x:f>
        <x:v>ABSTAIN_IDENTITY</x:v>
      </x:c>
      <x:c r="E53" s="25" t="str">
        <x:f>'Predictions'!K53</x:f>
      </x:c>
      <x:c r="F53" s="25" t="n">
        <x:f>'Predictions'!L53</x:f>
        <x:v>0</x:v>
      </x:c>
      <x:c r="G53" s="25" t="str">
        <x:f>'Predictions'!D53</x:f>
        <x:v>OP,SUSC-T(HEM)</x:v>
      </x:c>
      <x:c r="H53" s="25" t="n">
        <x:f>'Predictions'!E53</x:f>
        <x:v>1</x:v>
      </x:c>
      <x:c r="I53" s="25" t="str">
        <x:f>'Predictions'!T53</x:f>
        <x:v>IDENTITY_GRANULARITY</x:v>
      </x:c>
      <x:c r="J53" s="25" t="str">
        <x:f>'Predictions'!W53</x:f>
        <x:v>6, 4, 5</x:v>
      </x:c>
      <x:c r="K53" s="25" t="str">
        <x:f>'Predictions'!V53</x:f>
        <x:v>token/strong</x:v>
      </x:c>
      <x:c r="L53" s="25" t="n">
        <x:f>'Predictions'!N53</x:f>
        <x:v>0</x:v>
      </x:c>
      <x:c r="M53" s="25" t="n">
        <x:f>'Predictions'!P53</x:f>
        <x:v>0</x:v>
      </x:c>
    </x:row>
    <x:row r="54" ht="42" customHeight="1">
      <x:c r="A54" s="25" t="str">
        <x:f>'Predictions'!A54</x:f>
        <x:v>4324</x:v>
      </x:c>
      <x:c r="B54" s="25" t="str">
        <x:f>'Predictions'!B54</x:f>
        <x:v>10236</x:v>
      </x:c>
      <x:c r="C54" s="25" t="str">
        <x:f>'Predictions'!C54</x:f>
        <x:v>Kiuruvesi Gabbrodiorite</x:v>
      </x:c>
      <x:c r="D54" s="25" t="str">
        <x:f>'Predictions'!J54</x:f>
        <x:v>PRESENT</x:v>
      </x:c>
      <x:c r="E54" s="25" t="str">
        <x:f>'Predictions'!K54</x:f>
        <x:v>IRM,3-axis Jrs-T,HYST(MAGN,MAGH,TM)</x:v>
      </x:c>
      <x:c r="F54" s="25" t="n">
        <x:f>'Predictions'!L54</x:f>
        <x:v>1</x:v>
      </x:c>
      <x:c r="G54" s="25" t="str">
        <x:f>'Predictions'!D54</x:f>
        <x:v>SUSC-T,3-axis Jrs-T(MAGN)</x:v>
      </x:c>
      <x:c r="H54" s="25" t="n">
        <x:f>'Predictions'!E54</x:f>
        <x:v>1</x:v>
      </x:c>
      <x:c r="I54" s="25" t="str">
        <x:f>'Predictions'!T54</x:f>
        <x:v>SEMANTIC_MATCH</x:v>
      </x:c>
      <x:c r="J54" s="25" t="str">
        <x:f>'Predictions'!W54</x:f>
        <x:v>4, 6, 5</x:v>
      </x:c>
      <x:c r="K54" s="25" t="str">
        <x:f>'Predictions'!V54</x:f>
        <x:v>exact/strong</x:v>
      </x:c>
      <x:c r="L54" s="25" t="n">
        <x:f>'Predictions'!N54</x:f>
        <x:v>1</x:v>
      </x:c>
      <x:c r="M54" s="25" t="n">
        <x:f>'Predictions'!P54</x:f>
        <x:v>1</x:v>
      </x:c>
    </x:row>
    <x:row r="55" ht="42" customHeight="1">
      <x:c r="A55" s="25" t="str">
        <x:f>'Predictions'!A55</x:f>
        <x:v>4324</x:v>
      </x:c>
      <x:c r="B55" s="25" t="str">
        <x:f>'Predictions'!B55</x:f>
        <x:v>10237</x:v>
      </x:c>
      <x:c r="C55" s="25" t="str">
        <x:f>'Predictions'!C55</x:f>
        <x:v>Ylivieska Gabbro</x:v>
      </x:c>
      <x:c r="D55" s="25" t="str">
        <x:f>'Predictions'!J55</x:f>
        <x:v>PRESENT</x:v>
      </x:c>
      <x:c r="E55" s="25" t="str">
        <x:f>'Predictions'!K55</x:f>
        <x:v>IRM,3-axis Jrs-T,HYST(SD/MD MAGN)</x:v>
      </x:c>
      <x:c r="F55" s="25" t="n">
        <x:f>'Predictions'!L55</x:f>
        <x:v>1</x:v>
      </x:c>
      <x:c r="G55" s="25" t="str">
        <x:f>'Predictions'!D55</x:f>
        <x:v>SUSC-T,3-axis Jrs-T(SD MAGN)</x:v>
      </x:c>
      <x:c r="H55" s="25" t="n">
        <x:f>'Predictions'!E55</x:f>
        <x:v>1</x:v>
      </x:c>
      <x:c r="I55" s="25" t="str">
        <x:f>'Predictions'!T55</x:f>
        <x:v>SEMANTIC_MATCH</x:v>
      </x:c>
      <x:c r="J55" s="25" t="str">
        <x:f>'Predictions'!W55</x:f>
        <x:v>11, 4, 5</x:v>
      </x:c>
      <x:c r="K55" s="25" t="str">
        <x:f>'Predictions'!V55</x:f>
        <x:v>exact/strong</x:v>
      </x:c>
      <x:c r="L55" s="25" t="n">
        <x:f>'Predictions'!N55</x:f>
        <x:v>1</x:v>
      </x:c>
      <x:c r="M55" s="25" t="n">
        <x:f>'Predictions'!P55</x:f>
        <x:v>1</x:v>
      </x:c>
    </x:row>
    <x:row r="56" ht="42" customHeight="1">
      <x:c r="A56" s="25" t="str">
        <x:f>'Predictions'!A56</x:f>
        <x:v>4324</x:v>
      </x:c>
      <x:c r="B56" s="25" t="str">
        <x:f>'Predictions'!B56</x:f>
        <x:v>10238</x:v>
      </x:c>
      <x:c r="C56" s="25" t="str">
        <x:f>'Predictions'!C56</x:f>
        <x:v>Mertuanoja Gabbro</x:v>
      </x:c>
      <x:c r="D56" s="25" t="str">
        <x:f>'Predictions'!J56</x:f>
        <x:v>PRESENT</x:v>
      </x:c>
      <x:c r="E56" s="25" t="str">
        <x:f>'Predictions'!K56</x:f>
        <x:v>IRM,HYST(MAGN,MAGH,TM)</x:v>
      </x:c>
      <x:c r="F56" s="25" t="n">
        <x:f>'Predictions'!L56</x:f>
        <x:v>1</x:v>
      </x:c>
      <x:c r="G56" s="25" t="str">
        <x:f>'Predictions'!D56</x:f>
        <x:v>SUSC-T,3-axis Jrs-T(SD MAGN)</x:v>
      </x:c>
      <x:c r="H56" s="25" t="n">
        <x:f>'Predictions'!E56</x:f>
        <x:v>1</x:v>
      </x:c>
      <x:c r="I56" s="25" t="str">
        <x:f>'Predictions'!T56</x:f>
        <x:v>CODE_MISMATCH</x:v>
      </x:c>
      <x:c r="J56" s="25" t="str">
        <x:f>'Predictions'!W56</x:f>
        <x:v>4, 5, 6</x:v>
      </x:c>
      <x:c r="K56" s="25" t="str">
        <x:f>'Predictions'!V56</x:f>
        <x:v>exact/strong</x:v>
      </x:c>
      <x:c r="L56" s="25" t="n">
        <x:f>'Predictions'!N56</x:f>
        <x:v>1</x:v>
      </x:c>
      <x:c r="M56" s="25" t="n">
        <x:f>'Predictions'!P56</x:f>
        <x:v>1</x:v>
      </x:c>
    </x:row>
    <x:row r="57" ht="42" customHeight="1">
      <x:c r="A57" s="25" t="str">
        <x:f>'Predictions'!A57</x:f>
        <x:v>4324</x:v>
      </x:c>
      <x:c r="B57" s="25" t="str">
        <x:f>'Predictions'!B57</x:f>
        <x:v>10239</x:v>
      </x:c>
      <x:c r="C57" s="25" t="str">
        <x:f>'Predictions'!C57</x:f>
        <x:v>Svecofennian Gabbros Combined</x:v>
      </x:c>
      <x:c r="D57" s="25" t="str">
        <x:f>'Predictions'!J57</x:f>
        <x:v>ABSTAIN_INSUFFICIENT</x:v>
      </x:c>
      <x:c r="E57" s="25" t="str">
        <x:f>'Predictions'!K57</x:f>
      </x:c>
      <x:c r="F57" s="25" t="n">
        <x:f>'Predictions'!L57</x:f>
        <x:v>0</x:v>
      </x:c>
      <x:c r="G57" s="25" t="str">
        <x:f>'Predictions'!D57</x:f>
        <x:v>SUSC-T,3-axis Jrs-T(SD MAGN)</x:v>
      </x:c>
      <x:c r="H57" s="25" t="n">
        <x:f>'Predictions'!E57</x:f>
        <x:v>1</x:v>
      </x:c>
      <x:c r="I57" s="25" t="str">
        <x:f>'Predictions'!T57</x:f>
        <x:v>EVIDENCE_CHAIN_INCOMPLETE</x:v>
      </x:c>
      <x:c r="J57" s="25" t="str">
        <x:f>'Predictions'!W57</x:f>
      </x:c>
      <x:c r="K57" s="25" t="str">
        <x:f>'Predictions'!V57</x:f>
        <x:v>token/strong</x:v>
      </x:c>
      <x:c r="L57" s="25" t="n">
        <x:f>'Predictions'!N57</x:f>
        <x:v>0</x:v>
      </x:c>
      <x:c r="M57" s="25" t="n">
        <x:f>'Predictions'!P57</x:f>
        <x:v>0</x:v>
      </x:c>
    </x:row>
    <x:row r="58" ht="42" customHeight="1">
      <x:c r="A58" s="25" t="str">
        <x:f>'Predictions'!A58</x:f>
        <x:v>4324</x:v>
      </x:c>
      <x:c r="B58" s="25" t="str">
        <x:f>'Predictions'!B58</x:f>
        <x:v>10240</x:v>
      </x:c>
      <x:c r="C58" s="25" t="str">
        <x:f>'Predictions'!C58</x:f>
        <x:v>Jalokoski Gabbro</x:v>
      </x:c>
      <x:c r="D58" s="25" t="str">
        <x:f>'Predictions'!J58</x:f>
        <x:v>PRESENT</x:v>
      </x:c>
      <x:c r="E58" s="25" t="str">
        <x:f>'Predictions'!K58</x:f>
        <x:v>HYST(MAGN,MAGH,TM)</x:v>
      </x:c>
      <x:c r="F58" s="25" t="n">
        <x:f>'Predictions'!L58</x:f>
        <x:v>1</x:v>
      </x:c>
      <x:c r="G58" s="25" t="str">
        <x:f>'Predictions'!D58</x:f>
      </x:c>
      <x:c r="H58" s="25" t="n">
        <x:f>'Predictions'!E58</x:f>
        <x:v>1</x:v>
      </x:c>
      <x:c r="I58" s="25" t="str">
        <x:f>'Predictions'!T58</x:f>
        <x:v>PREDICTED_FIELD_OR_GOLD_OMISSION</x:v>
      </x:c>
      <x:c r="J58" s="25" t="str">
        <x:f>'Predictions'!W58</x:f>
        <x:v>5, 4</x:v>
      </x:c>
      <x:c r="K58" s="25" t="str">
        <x:f>'Predictions'!V58</x:f>
        <x:v>exact/strong</x:v>
      </x:c>
      <x:c r="L58" s="25" t="n">
        <x:f>'Predictions'!N58</x:f>
        <x:v>0</x:v>
      </x:c>
      <x:c r="M58" s="25" t="n">
        <x:f>'Predictions'!P58</x:f>
        <x:v>1</x:v>
      </x:c>
    </x:row>
    <x:row r="59" ht="42" customHeight="1">
      <x:c r="A59" s="25" t="str">
        <x:f>'Predictions'!A59</x:f>
        <x:v>4324</x:v>
      </x:c>
      <x:c r="B59" s="25" t="str">
        <x:f>'Predictions'!B59</x:f>
        <x:v>10241</x:v>
      </x:c>
      <x:c r="C59" s="25" t="str">
        <x:f>'Predictions'!C59</x:f>
        <x:v>Nilsiä Lamprophyre Dyke</x:v>
      </x:c>
      <x:c r="D59" s="25" t="str">
        <x:f>'Predictions'!J59</x:f>
        <x:v>ABSTAIN_ANCHOR</x:v>
      </x:c>
      <x:c r="E59" s="25" t="str">
        <x:f>'Predictions'!K59</x:f>
      </x:c>
      <x:c r="F59" s="25" t="n">
        <x:f>'Predictions'!L59</x:f>
        <x:v>0</x:v>
      </x:c>
      <x:c r="G59" s="25" t="str">
        <x:f>'Predictions'!D59</x:f>
      </x:c>
      <x:c r="H59" s="25" t="n">
        <x:f>'Predictions'!E59</x:f>
        <x:v>0</x:v>
      </x:c>
      <x:c r="I59" s="25" t="str">
        <x:f>'Predictions'!T59</x:f>
        <x:v>TRUE_BLANK</x:v>
      </x:c>
      <x:c r="J59" s="25" t="n">
        <x:f>'Predictions'!W59</x:f>
        <x:v>0</x:v>
      </x:c>
      <x:c r="K59" s="25" t="str">
        <x:f>'Predictions'!V59</x:f>
        <x:v>missing/missing</x:v>
      </x:c>
      <x:c r="L59" s="25" t="n">
        <x:f>'Predictions'!N59</x:f>
        <x:v>1</x:v>
      </x:c>
      <x:c r="M59" s="25" t="n">
        <x:f>'Predictions'!P59</x:f>
        <x:v>1</x:v>
      </x:c>
    </x:row>
    <x:row r="60" ht="42" customHeight="1">
      <x:c r="A60" s="25" t="str">
        <x:f>'Predictions'!A60</x:f>
        <x:v>4324</x:v>
      </x:c>
      <x:c r="B60" s="25" t="str">
        <x:f>'Predictions'!B60</x:f>
        <x:v>10242</x:v>
      </x:c>
      <x:c r="C60" s="25" t="str">
        <x:f>'Predictions'!C60</x:f>
        <x:v>Nilsiä Microtonalite Dykes</x:v>
      </x:c>
      <x:c r="D60" s="25" t="str">
        <x:f>'Predictions'!J60</x:f>
        <x:v>ABSTAIN_ANCHOR</x:v>
      </x:c>
      <x:c r="E60" s="25" t="str">
        <x:f>'Predictions'!K60</x:f>
      </x:c>
      <x:c r="F60" s="25" t="n">
        <x:f>'Predictions'!L60</x:f>
        <x:v>0</x:v>
      </x:c>
      <x:c r="G60" s="25" t="str">
        <x:f>'Predictions'!D60</x:f>
      </x:c>
      <x:c r="H60" s="25" t="n">
        <x:f>'Predictions'!E60</x:f>
        <x:v>0</x:v>
      </x:c>
      <x:c r="I60" s="25" t="str">
        <x:f>'Predictions'!T60</x:f>
        <x:v>TRUE_BLANK</x:v>
      </x:c>
      <x:c r="J60" s="25" t="n">
        <x:f>'Predictions'!W60</x:f>
        <x:v>0</x:v>
      </x:c>
      <x:c r="K60" s="25" t="str">
        <x:f>'Predictions'!V60</x:f>
        <x:v>missing/missing</x:v>
      </x:c>
      <x:c r="L60" s="25" t="n">
        <x:f>'Predictions'!N60</x:f>
        <x:v>1</x:v>
      </x:c>
      <x:c r="M60" s="25" t="n">
        <x:f>'Predictions'!P60</x:f>
        <x:v>1</x:v>
      </x:c>
    </x:row>
    <x:row r="61" ht="42" customHeight="1">
      <x:c r="A61" s="25" t="str">
        <x:f>'Predictions'!A61</x:f>
        <x:v>4339</x:v>
      </x:c>
      <x:c r="B61" s="25" t="str">
        <x:f>'Predictions'!B61</x:f>
        <x:v>10263</x:v>
      </x:c>
      <x:c r="C61" s="25" t="str">
        <x:f>'Predictions'!C61</x:f>
        <x:v>Northeastern Brazil Magmatism-1</x:v>
      </x:c>
      <x:c r="D61" s="25" t="str">
        <x:f>'Predictions'!J61</x:f>
        <x:v>ABSTAIN_INSUFFICIENT</x:v>
      </x:c>
      <x:c r="E61" s="25" t="str">
        <x:f>'Predictions'!K61</x:f>
      </x:c>
      <x:c r="F61" s="25" t="n">
        <x:f>'Predictions'!L61</x:f>
        <x:v>0</x:v>
      </x:c>
      <x:c r="G61" s="25" t="str">
        <x:f>'Predictions'!D61</x:f>
        <x:v>OP(TM,MAGN)</x:v>
      </x:c>
      <x:c r="H61" s="25" t="n">
        <x:f>'Predictions'!E61</x:f>
        <x:v>0</x:v>
      </x:c>
      <x:c r="I61" s="25" t="str">
        <x:f>'Predictions'!T61</x:f>
        <x:v>EVIDENCE_CHAIN_INCOMPLETE</x:v>
      </x:c>
      <x:c r="J61" s="25" t="n">
        <x:f>'Predictions'!W61</x:f>
        <x:v>0</x:v>
      </x:c>
      <x:c r="K61" s="25" t="str">
        <x:f>'Predictions'!V61</x:f>
        <x:v>token/strong</x:v>
      </x:c>
      <x:c r="L61" s="25" t="n">
        <x:f>'Predictions'!N61</x:f>
        <x:v>0</x:v>
      </x:c>
      <x:c r="M61" s="25" t="n">
        <x:f>'Predictions'!P61</x:f>
        <x:v>1</x:v>
      </x:c>
    </x:row>
    <x:row r="62" ht="42" customHeight="1">
      <x:c r="A62" s="25" t="str">
        <x:f>'Predictions'!A62</x:f>
        <x:v>4339</x:v>
      </x:c>
      <x:c r="B62" s="25" t="str">
        <x:f>'Predictions'!B62</x:f>
        <x:v>10264</x:v>
      </x:c>
      <x:c r="C62" s="25" t="str">
        <x:f>'Predictions'!C62</x:f>
        <x:v>Northeastern Brazil Magmatism-2</x:v>
      </x:c>
      <x:c r="D62" s="25" t="str">
        <x:f>'Predictions'!J62</x:f>
        <x:v>ABSTAIN_INSUFFICIENT</x:v>
      </x:c>
      <x:c r="E62" s="25" t="str">
        <x:f>'Predictions'!K62</x:f>
      </x:c>
      <x:c r="F62" s="25" t="n">
        <x:f>'Predictions'!L62</x:f>
        <x:v>0</x:v>
      </x:c>
      <x:c r="G62" s="25" t="str">
        <x:f>'Predictions'!D62</x:f>
        <x:v>OP(TM,MAGN)</x:v>
      </x:c>
      <x:c r="H62" s="25" t="n">
        <x:f>'Predictions'!E62</x:f>
        <x:v>0</x:v>
      </x:c>
      <x:c r="I62" s="25" t="str">
        <x:f>'Predictions'!T62</x:f>
        <x:v>EVIDENCE_CHAIN_INCOMPLETE</x:v>
      </x:c>
      <x:c r="J62" s="25" t="n">
        <x:f>'Predictions'!W62</x:f>
        <x:v>0</x:v>
      </x:c>
      <x:c r="K62" s="25" t="str">
        <x:f>'Predictions'!V62</x:f>
        <x:v>token/strong</x:v>
      </x:c>
      <x:c r="L62" s="25" t="n">
        <x:f>'Predictions'!N62</x:f>
        <x:v>0</x:v>
      </x:c>
      <x:c r="M62" s="25" t="n">
        <x:f>'Predictions'!P62</x:f>
        <x:v>1</x:v>
      </x:c>
    </x:row>
    <x:row r="63" ht="42" customHeight="1">
      <x:c r="A63" s="25" t="str">
        <x:f>'Predictions'!A63</x:f>
        <x:v>4339</x:v>
      </x:c>
      <x:c r="B63" s="25" t="str">
        <x:f>'Predictions'!B63</x:f>
        <x:v>10265</x:v>
      </x:c>
      <x:c r="C63" s="25" t="str">
        <x:f>'Predictions'!C63</x:f>
        <x:v>Ceara-Mirim Dikes II</x:v>
      </x:c>
      <x:c r="D63" s="25" t="str">
        <x:f>'Predictions'!J63</x:f>
        <x:v>ABSTAIN_INSUFFICIENT</x:v>
      </x:c>
      <x:c r="E63" s="25" t="n">
        <x:f>'Predictions'!K63</x:f>
        <x:v>0</x:v>
      </x:c>
      <x:c r="F63" s="25" t="n">
        <x:f>'Predictions'!L63</x:f>
        <x:v>0</x:v>
      </x:c>
      <x:c r="G63" s="25" t="n">
        <x:f>'Predictions'!D63</x:f>
        <x:v>0</x:v>
      </x:c>
      <x:c r="H63" s="25" t="n">
        <x:f>'Predictions'!E63</x:f>
        <x:v>0</x:v>
      </x:c>
      <x:c r="I63" s="25" t="str">
        <x:f>'Predictions'!T63</x:f>
        <x:v>TRUE_BLANK</x:v>
      </x:c>
      <x:c r="J63" s="25" t="n">
        <x:f>'Predictions'!W63</x:f>
        <x:v>0</x:v>
      </x:c>
      <x:c r="K63" s="25" t="str">
        <x:f>'Predictions'!V63</x:f>
        <x:v>token/strong</x:v>
      </x:c>
      <x:c r="L63" s="25" t="n">
        <x:f>'Predictions'!N63</x:f>
        <x:v>1</x:v>
      </x:c>
      <x:c r="M63" s="25" t="n">
        <x:f>'Predictions'!P63</x:f>
        <x:v>1</x:v>
      </x:c>
    </x:row>
  </x:sheetData>
  <x:conditionalFormatting sqref="D2:D63">
    <x:cfRule type="containsText" dxfId="5" priority="1" operator="containsText" text="PRESENT"/>
    <x:cfRule type="containsText" dxfId="6" priority="2" operator="containsText" text="ABSTAIN"/>
  </x:conditionalFormatting>
  <x:conditionalFormatting sqref="L2:M63">
    <x:cfRule type="cellIs" dxfId="7" priority="3" operator="equal">
      <x:formula>1</x:formula>
    </x:cfRule>
    <x:cfRule type="cellIs" dxfId="8" priority="4" operator="equal">
      <x:formula>0</x:formula>
    </x:cfRule>
  </x:conditionalFormatting>
  <x:pageMargins left="0.7" right="0.7" top="0.75" bottom="0.75" header="0.3" footer="0.3"/>
  <x:tableParts count="1">
    <x:tablePart xmlns:r="http://schemas.openxmlformats.org/officeDocument/2006/relationships" r:id="R7d71996642904f30"/>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2" hidden="0" customWidth="1"/>
    <x:col min="2" max="2" width="12" hidden="0" customWidth="1"/>
    <x:col min="3" max="3" width="34" hidden="0" customWidth="1"/>
    <x:col min="4" max="4" width="42" hidden="0" customWidth="1"/>
    <x:col min="7" max="7" width="22" hidden="0" customWidth="1"/>
    <x:col min="8" max="8" width="22" hidden="0" customWidth="1"/>
    <x:col min="9" max="9" width="22" hidden="0" customWidth="1"/>
    <x:col min="10" max="10" width="22" hidden="0" customWidth="1"/>
    <x:col min="11" max="11" width="22" hidden="0" customWidth="1"/>
    <x:col min="12" max="12" width="22" hidden="0" customWidth="1"/>
    <x:col min="17" max="17" width="20" hidden="0" customWidth="1"/>
    <x:col min="18" max="18" width="20" hidden="0" customWidth="1"/>
    <x:col min="20" max="20" width="24" hidden="0" customWidth="1"/>
    <x:col min="21" max="21" width="24" hidden="0" customWidth="1"/>
    <x:col min="22" max="22" width="24" hidden="0" customWidth="1"/>
    <x:col min="23" max="23" width="24" hidden="0" customWidth="1"/>
    <x:col min="24" max="24" width="70" hidden="0" customWidth="1"/>
    <x:col min="25" max="25" width="48" hidden="0" customWidth="1"/>
  </x:cols>
  <x:sheetData>
    <x:row r="1">
      <x:c r="A1" s="14" t="str">
        <x:v>REFNO</x:v>
      </x:c>
      <x:c r="B1" s="14" t="str">
        <x:v>RESULTNO</x:v>
      </x:c>
      <x:c r="C1" s="14" t="str">
        <x:v>ROCKNAME</x:v>
      </x:c>
      <x:c r="D1" s="14" t="str">
        <x:v>HIST_ROCKMAG</x:v>
      </x:c>
      <x:c r="E1" s="14" t="str">
        <x:v>HIST_R3</x:v>
      </x:c>
      <x:c r="F1" s="14" t="str">
        <x:v>HIST_HAS_ROCKMAG</x:v>
      </x:c>
      <x:c r="G1" s="14" t="str">
        <x:v>STRICT_STATUS</x:v>
      </x:c>
      <x:c r="H1" s="14" t="str">
        <x:v>STRICT_ROCKMAG</x:v>
      </x:c>
      <x:c r="I1" s="14" t="str">
        <x:v>STRICT_R3_DIRECT</x:v>
      </x:c>
      <x:c r="J1" s="14" t="str">
        <x:v>PRACTICAL_STATUS</x:v>
      </x:c>
      <x:c r="K1" s="14" t="str">
        <x:v>PRACTICAL_ROCKMAG</x:v>
      </x:c>
      <x:c r="L1" s="14" t="str">
        <x:v>PRACTICAL_R3_DIRECT</x:v>
      </x:c>
      <x:c r="M1" s="14" t="str">
        <x:v>STRICT_FIELD_MATCH</x:v>
      </x:c>
      <x:c r="N1" s="14" t="str">
        <x:v>PRACTICAL_FIELD_MATCH</x:v>
      </x:c>
      <x:c r="O1" s="14" t="str">
        <x:v>STRICT_R3_MATCH</x:v>
      </x:c>
      <x:c r="P1" s="14" t="str">
        <x:v>PRACTICAL_R3_MATCH</x:v>
      </x:c>
      <x:c r="Q1" s="14" t="str">
        <x:v>PRACT_METHOD_OVERLAP</x:v>
      </x:c>
      <x:c r="R1" s="14" t="str">
        <x:v>PRACT_CARRIER_OVERLAP</x:v>
      </x:c>
      <x:c r="S1" s="14" t="str">
        <x:v>PRACT_SEMANTIC_JACCARD</x:v>
      </x:c>
      <x:c r="T1" s="14" t="str">
        <x:v>ERROR_TYPE</x:v>
      </x:c>
      <x:c r="U1" s="14" t="str">
        <x:v>PRACT_CONFIDENCE</x:v>
      </x:c>
      <x:c r="V1" s="14" t="str">
        <x:v>TARGET_ANCHOR</x:v>
      </x:c>
      <x:c r="W1" s="14" t="str">
        <x:v>EVIDENCE_PAGES</x:v>
      </x:c>
      <x:c r="X1" s="14" t="str">
        <x:v>EVIDENCE_QUOTE</x:v>
      </x:c>
      <x:c r="Y1" s="14" t="str">
        <x:v>SOURCE_TEXT</x:v>
      </x:c>
      <x:c r="Z1" s="14" t="str">
        <x:v>IDENTITY_AMBIGUOUS</x:v>
      </x:c>
      <x:c r="AA1" s="14" t="str">
        <x:v>HIST_FIELD_R3_MATCH</x:v>
      </x:c>
    </x:row>
    <x:row r="2" ht="54" customHeight="1">
      <x:c r="A2" s="15" t="str">
        <x:v>1152</x:v>
      </x:c>
      <x:c r="B2" s="15" t="str">
        <x:v>29</x:v>
      </x:c>
      <x:c r="C2" s="25" t="str">
        <x:v>Armorican redbeds</x:v>
      </x:c>
      <x:c r="D2" s="25" t="str">
        <x:v>IRM(compar.of leached &amp; unleached:mag.in insol.specularite).</x:v>
      </x:c>
      <x:c r="E2" s="25" t="n">
        <x:v>1</x:v>
      </x:c>
      <x:c r="F2" s="25" t="n">
        <x:f>--(LEN(D2)&gt;0)</x:f>
        <x:v>1</x:v>
      </x:c>
      <x:c r="G2" s="25" t="str">
        <x:v>ABSTAIN_IDENTITY</x:v>
      </x:c>
      <x:c r="H2" s="25" t="str"/>
      <x:c r="I2" s="25" t="n">
        <x:v>0</x:v>
      </x:c>
      <x:c r="J2" s="25" t="str">
        <x:v>ABSTAIN_IDENTITY</x:v>
      </x:c>
      <x:c r="K2" s="25" t="str"/>
      <x:c r="L2" s="25" t="n">
        <x:v>0</x:v>
      </x:c>
      <x:c r="M2" s="25" t="n">
        <x:f>--(F2=--(LEN(H2)&gt;0))</x:f>
        <x:v>0</x:v>
      </x:c>
      <x:c r="N2" s="25" t="n">
        <x:f>--(F2=--(LEN(K2)&gt;0))</x:f>
        <x:v>0</x:v>
      </x:c>
      <x:c r="O2" s="25" t="n">
        <x:f>--(E2=I2)</x:f>
        <x:v>0</x:v>
      </x:c>
      <x:c r="P2" s="25" t="n">
        <x:f>--(E2=L2)</x:f>
        <x:v>0</x:v>
      </x:c>
      <x:c r="Q2" s="25" t="str"/>
      <x:c r="R2" s="25" t="str"/>
      <x:c r="S2" s="28" t="n">
        <x:v>0</x:v>
      </x:c>
      <x:c r="T2" s="25" t="str">
        <x:v>IDENTITY_GRANULARITY</x:v>
      </x:c>
      <x:c r="U2" s="25" t="str">
        <x:v>LOW</x:v>
      </x:c>
      <x:c r="V2" s="25" t="str">
        <x:v>exact/strong</x:v>
      </x:c>
      <x:c r="W2" s="25" t="str"/>
      <x:c r="X2" s="25" t="str"/>
      <x:c r="Y2" s="25" t="str">
        <x:v>/Users/lihd/discovery/paleomagnetic-r3-workflow/dist/paleomagnetic-r357-calibrated-workflow-full/data/parsed_mds/1152.txt</x:v>
      </x:c>
      <x:c r="Z2" s="22" t="b">
        <x:v>1</x:v>
      </x:c>
      <x:c r="AA2" s="15" t="n">
        <x:f>--(F2=E2)</x:f>
        <x:v>1</x:v>
      </x:c>
    </x:row>
    <x:row r="3" ht="54" customHeight="1">
      <x:c r="A3" s="15" t="str">
        <x:v>1152</x:v>
      </x:c>
      <x:c r="B3" s="15" t="str">
        <x:v>30</x:v>
      </x:c>
      <x:c r="C3" s="25" t="str">
        <x:v>Armorican redbeds</x:v>
      </x:c>
      <x:c r="D3" s="25" t="str">
        <x:v>IRM(leached &amp; unleached:B3 comp.in soluble HEM pigment)</x:v>
      </x:c>
      <x:c r="E3" s="25" t="n">
        <x:v>1</x:v>
      </x:c>
      <x:c r="F3" s="25" t="n">
        <x:f>--(LEN(D3)&gt;0)</x:f>
        <x:v>1</x:v>
      </x:c>
      <x:c r="G3" s="25" t="str">
        <x:v>ABSTAIN_IDENTITY</x:v>
      </x:c>
      <x:c r="H3" s="25" t="str"/>
      <x:c r="I3" s="25" t="n">
        <x:v>0</x:v>
      </x:c>
      <x:c r="J3" s="25" t="str">
        <x:v>ABSTAIN_IDENTITY</x:v>
      </x:c>
      <x:c r="K3" s="25" t="str"/>
      <x:c r="L3" s="25" t="n">
        <x:v>0</x:v>
      </x:c>
      <x:c r="M3" s="25" t="n">
        <x:f>--(F3=--(LEN(H3)&gt;0))</x:f>
        <x:v>0</x:v>
      </x:c>
      <x:c r="N3" s="25" t="n">
        <x:f>--(F3=--(LEN(K3)&gt;0))</x:f>
        <x:v>0</x:v>
      </x:c>
      <x:c r="O3" s="25" t="n">
        <x:f>--(E3=I3)</x:f>
        <x:v>0</x:v>
      </x:c>
      <x:c r="P3" s="25" t="n">
        <x:f>--(E3=L3)</x:f>
        <x:v>0</x:v>
      </x:c>
      <x:c r="Q3" s="25" t="str"/>
      <x:c r="R3" s="25" t="str"/>
      <x:c r="S3" s="28" t="n">
        <x:v>0</x:v>
      </x:c>
      <x:c r="T3" s="25" t="str">
        <x:v>IDENTITY_GRANULARITY</x:v>
      </x:c>
      <x:c r="U3" s="25" t="str">
        <x:v>LOW</x:v>
      </x:c>
      <x:c r="V3" s="25" t="str">
        <x:v>exact/strong</x:v>
      </x:c>
      <x:c r="W3" s="25" t="str"/>
      <x:c r="X3" s="25" t="str"/>
      <x:c r="Y3" s="25" t="str">
        <x:v>/Users/lihd/discovery/paleomagnetic-r3-workflow/dist/paleomagnetic-r357-calibrated-workflow-full/data/parsed_mds/1152.txt</x:v>
      </x:c>
      <x:c r="Z3" s="22" t="b">
        <x:v>1</x:v>
      </x:c>
      <x:c r="AA3" s="15" t="n">
        <x:f>--(F3=E3)</x:f>
        <x:v>1</x:v>
      </x:c>
    </x:row>
    <x:row r="4" ht="54" customHeight="1">
      <x:c r="A4" s="15" t="str">
        <x:v>1152</x:v>
      </x:c>
      <x:c r="B4" s="15" t="str">
        <x:v>31</x:v>
      </x:c>
      <x:c r="C4" s="25" t="str">
        <x:v>Erquy spillite series</x:v>
      </x:c>
      <x:c r="D4" s="25" t="str"/>
      <x:c r="E4" s="25" t="n">
        <x:v>1</x:v>
      </x:c>
      <x:c r="F4" s="25" t="n">
        <x:f>--(LEN(D4)&gt;0)</x:f>
        <x:v>0</x:v>
      </x:c>
      <x:c r="G4" s="25" t="str">
        <x:v>ABSTAIN_ANCHOR</x:v>
      </x:c>
      <x:c r="H4" s="25" t="str"/>
      <x:c r="I4" s="25" t="n">
        <x:v>0</x:v>
      </x:c>
      <x:c r="J4" s="25" t="str">
        <x:v>ABSTAIN_ANCHOR</x:v>
      </x:c>
      <x:c r="K4" s="25" t="str"/>
      <x:c r="L4" s="25" t="n">
        <x:v>0</x:v>
      </x:c>
      <x:c r="M4" s="25" t="n">
        <x:f>--(F4=--(LEN(H4)&gt;0))</x:f>
        <x:v>1</x:v>
      </x:c>
      <x:c r="N4" s="25" t="n">
        <x:f>--(F4=--(LEN(K4)&gt;0))</x:f>
        <x:v>1</x:v>
      </x:c>
      <x:c r="O4" s="25" t="n">
        <x:f>--(E4=I4)</x:f>
        <x:v>0</x:v>
      </x:c>
      <x:c r="P4" s="25" t="n">
        <x:f>--(E4=L4)</x:f>
        <x:v>0</x:v>
      </x:c>
      <x:c r="Q4" s="25" t="str"/>
      <x:c r="R4" s="25" t="str"/>
      <x:c r="S4" s="28" t="n">
        <x:v>1</x:v>
      </x:c>
      <x:c r="T4" s="25" t="str">
        <x:v>TRUE_BLANK</x:v>
      </x:c>
      <x:c r="U4" s="25" t="str">
        <x:v>LOW</x:v>
      </x:c>
      <x:c r="V4" s="25" t="str">
        <x:v>missing/missing</x:v>
      </x:c>
      <x:c r="W4" s="25" t="str"/>
      <x:c r="X4" s="25" t="str"/>
      <x:c r="Y4" s="25" t="str">
        <x:v>/Users/lihd/discovery/paleomagnetic-r3-workflow/dist/paleomagnetic-r357-calibrated-workflow-full/data/parsed_mds/1152.txt</x:v>
      </x:c>
      <x:c r="Z4" s="22" t="b">
        <x:v>0</x:v>
      </x:c>
      <x:c r="AA4" s="15" t="n">
        <x:f>--(F4=E4)</x:f>
        <x:v>0</x:v>
      </x:c>
    </x:row>
    <x:row r="5" ht="54" customHeight="1">
      <x:c r="A5" s="15" t="str">
        <x:v>1152</x:v>
      </x:c>
      <x:c r="B5" s="15" t="str">
        <x:v>32</x:v>
      </x:c>
      <x:c r="C5" s="25" t="str">
        <x:v>Tregastel Ploumanac'h granite</x:v>
      </x:c>
      <x:c r="D5" s="25" t="str"/>
      <x:c r="E5" s="25" t="n">
        <x:v>0</x:v>
      </x:c>
      <x:c r="F5" s="25" t="n">
        <x:f>--(LEN(D5)&gt;0)</x:f>
        <x:v>0</x:v>
      </x:c>
      <x:c r="G5" s="25" t="str">
        <x:v>ABSENT</x:v>
      </x:c>
      <x:c r="H5" s="25" t="str"/>
      <x:c r="I5" s="25" t="n">
        <x:v>0</x:v>
      </x:c>
      <x:c r="J5" s="25" t="str">
        <x:v>ABSTAIN_INSUFFICIENT</x:v>
      </x:c>
      <x:c r="K5" s="25" t="str"/>
      <x:c r="L5" s="25" t="n">
        <x:v>0</x:v>
      </x:c>
      <x:c r="M5" s="25" t="n">
        <x:f>--(F5=--(LEN(H5)&gt;0))</x:f>
        <x:v>1</x:v>
      </x:c>
      <x:c r="N5" s="25" t="n">
        <x:f>--(F5=--(LEN(K5)&gt;0))</x:f>
        <x:v>1</x:v>
      </x:c>
      <x:c r="O5" s="25" t="n">
        <x:f>--(E5=I5)</x:f>
        <x:v>1</x:v>
      </x:c>
      <x:c r="P5" s="25" t="n">
        <x:f>--(E5=L5)</x:f>
        <x:v>1</x:v>
      </x:c>
      <x:c r="Q5" s="25" t="str"/>
      <x:c r="R5" s="25" t="str"/>
      <x:c r="S5" s="28" t="n">
        <x:v>1</x:v>
      </x:c>
      <x:c r="T5" s="25" t="str">
        <x:v>TRUE_BLANK</x:v>
      </x:c>
      <x:c r="U5" s="25" t="str">
        <x:v>LOW</x:v>
      </x:c>
      <x:c r="V5" s="25" t="str">
        <x:v>exact/strong</x:v>
      </x:c>
      <x:c r="W5" s="25" t="str"/>
      <x:c r="X5" s="25" t="str"/>
      <x:c r="Y5" s="25" t="str">
        <x:v>/Users/lihd/discovery/paleomagnetic-r3-workflow/dist/paleomagnetic-r357-calibrated-workflow-full/data/parsed_mds/1152.txt</x:v>
      </x:c>
      <x:c r="Z5" s="22" t="b">
        <x:v>0</x:v>
      </x:c>
      <x:c r="AA5" s="15" t="n">
        <x:f>--(F5=E5)</x:f>
        <x:v>1</x:v>
      </x:c>
    </x:row>
    <x:row r="6" ht="54" customHeight="1">
      <x:c r="A6" s="15" t="str">
        <x:v>3434</x:v>
      </x:c>
      <x:c r="B6" s="15" t="str">
        <x:v>8719</x:v>
      </x:c>
      <x:c r="C6" s="25" t="str">
        <x:v>West Branch Volcanics</x:v>
      </x:c>
      <x:c r="D6" s="25" t="str">
        <x:v>SUSC-T(MAGN,HEM)</x:v>
      </x:c>
      <x:c r="E6" s="25" t="n">
        <x:v>1</x:v>
      </x:c>
      <x:c r="F6" s="25" t="n">
        <x:f>--(LEN(D6)&gt;0)</x:f>
        <x:v>1</x:v>
      </x:c>
      <x:c r="G6" s="25" t="str">
        <x:v>ABSTAIN_INSUFFICIENT</x:v>
      </x:c>
      <x:c r="H6" s="25" t="str"/>
      <x:c r="I6" s="25" t="n">
        <x:v>0</x:v>
      </x:c>
      <x:c r="J6" s="25" t="str">
        <x:v>PRESENT</x:v>
      </x:c>
      <x:c r="K6" s="25" t="str">
        <x:v>SUSC-T(MAGN,HEM)</x:v>
      </x:c>
      <x:c r="L6" s="25" t="n">
        <x:v>1</x:v>
      </x:c>
      <x:c r="M6" s="25" t="n">
        <x:f>--(F6=--(LEN(H6)&gt;0))</x:f>
        <x:v>0</x:v>
      </x:c>
      <x:c r="N6" s="25" t="n">
        <x:f>--(F6=--(LEN(K6)&gt;0))</x:f>
        <x:v>1</x:v>
      </x:c>
      <x:c r="O6" s="25" t="n">
        <x:f>--(E6=I6)</x:f>
        <x:v>0</x:v>
      </x:c>
      <x:c r="P6" s="25" t="n">
        <x:f>--(E6=L6)</x:f>
        <x:v>1</x:v>
      </x:c>
      <x:c r="Q6" s="25" t="str">
        <x:v>SUSC-T</x:v>
      </x:c>
      <x:c r="R6" s="25" t="str">
        <x:v>MAGN, HEM</x:v>
      </x:c>
      <x:c r="S6" s="28" t="n">
        <x:v>1</x:v>
      </x:c>
      <x:c r="T6" s="25" t="str">
        <x:v>EXACT_FIELD</x:v>
      </x:c>
      <x:c r="U6" s="25" t="str">
        <x:v>HIGH</x:v>
      </x:c>
      <x:c r="V6" s="25" t="str">
        <x:v>exact/strong</x:v>
      </x:c>
      <x:c r="W6" s="25" t="str">
        <x:v>8, 5</x:v>
      </x:c>
      <x:c r="X6" s="25" t="str">
        <x:v>temperature changes of susceptibility | yielding a total volcanics of a mineral with a Curie temperature of ≤580°C | magnetite</x:v>
      </x:c>
      <x:c r="Y6" s="25" t="str">
        <x:v>/Users/lihd/discovery/paleomagnetic-r3-workflow/dist/paleomagnetic-r357-calibrated-workflow-full/data/parsed_mds/3434.txt</x:v>
      </x:c>
      <x:c r="Z6" s="22" t="b">
        <x:v>0</x:v>
      </x:c>
      <x:c r="AA6" s="15" t="n">
        <x:f>--(F6=E6)</x:f>
        <x:v>1</x:v>
      </x:c>
    </x:row>
    <x:row r="7" ht="54" customHeight="1">
      <x:c r="A7" s="15" t="str">
        <x:v>3434</x:v>
      </x:c>
      <x:c r="B7" s="15" t="str">
        <x:v>8720</x:v>
      </x:c>
      <x:c r="C7" s="25" t="str">
        <x:v>Masterson Sandstone</x:v>
      </x:c>
      <x:c r="D7" s="25" t="str"/>
      <x:c r="E7" s="25" t="n">
        <x:v>0</x:v>
      </x:c>
      <x:c r="F7" s="25" t="n">
        <x:f>--(LEN(D7)&gt;0)</x:f>
        <x:v>0</x:v>
      </x:c>
      <x:c r="G7" s="25" t="str">
        <x:v>ABSTAIN_ANCHOR</x:v>
      </x:c>
      <x:c r="H7" s="25" t="str"/>
      <x:c r="I7" s="25" t="n">
        <x:v>0</x:v>
      </x:c>
      <x:c r="J7" s="25" t="str">
        <x:v>ABSTAIN_ANCHOR</x:v>
      </x:c>
      <x:c r="K7" s="25" t="str"/>
      <x:c r="L7" s="25" t="n">
        <x:v>0</x:v>
      </x:c>
      <x:c r="M7" s="25" t="n">
        <x:f>--(F7=--(LEN(H7)&gt;0))</x:f>
        <x:v>1</x:v>
      </x:c>
      <x:c r="N7" s="25" t="n">
        <x:f>--(F7=--(LEN(K7)&gt;0))</x:f>
        <x:v>1</x:v>
      </x:c>
      <x:c r="O7" s="25" t="n">
        <x:f>--(E7=I7)</x:f>
        <x:v>1</x:v>
      </x:c>
      <x:c r="P7" s="25" t="n">
        <x:f>--(E7=L7)</x:f>
        <x:v>1</x:v>
      </x:c>
      <x:c r="Q7" s="25" t="str"/>
      <x:c r="R7" s="25" t="str"/>
      <x:c r="S7" s="28" t="n">
        <x:v>1</x:v>
      </x:c>
      <x:c r="T7" s="25" t="str">
        <x:v>TRUE_BLANK</x:v>
      </x:c>
      <x:c r="U7" s="25" t="str">
        <x:v>LOW</x:v>
      </x:c>
      <x:c r="V7" s="25" t="str">
        <x:v>missing/missing</x:v>
      </x:c>
      <x:c r="W7" s="25" t="str"/>
      <x:c r="X7" s="25" t="str"/>
      <x:c r="Y7" s="25" t="str">
        <x:v>/Users/lihd/discovery/paleomagnetic-r3-workflow/dist/paleomagnetic-r357-calibrated-workflow-full/data/parsed_mds/3434.txt</x:v>
      </x:c>
      <x:c r="Z7" s="22" t="b">
        <x:v>0</x:v>
      </x:c>
      <x:c r="AA7" s="15" t="n">
        <x:f>--(F7=E7)</x:f>
        <x:v>1</x:v>
      </x:c>
    </x:row>
    <x:row r="8" ht="54" customHeight="1">
      <x:c r="A8" s="15" t="str">
        <x:v>3434</x:v>
      </x:c>
      <x:c r="B8" s="15" t="str">
        <x:v>8721</x:v>
      </x:c>
      <x:c r="C8" s="25" t="str">
        <x:v>Lynott Formation</x:v>
      </x:c>
      <x:c r="D8" s="25" t="str"/>
      <x:c r="E8" s="25" t="n">
        <x:v>0</x:v>
      </x:c>
      <x:c r="F8" s="25" t="n">
        <x:f>--(LEN(D8)&gt;0)</x:f>
        <x:v>0</x:v>
      </x:c>
      <x:c r="G8" s="25" t="str">
        <x:v>ABSENT</x:v>
      </x:c>
      <x:c r="H8" s="25" t="str"/>
      <x:c r="I8" s="25" t="n">
        <x:v>0</x:v>
      </x:c>
      <x:c r="J8" s="25" t="str">
        <x:v>ABSTAIN_INSUFFICIENT</x:v>
      </x:c>
      <x:c r="K8" s="25" t="str"/>
      <x:c r="L8" s="25" t="n">
        <x:v>0</x:v>
      </x:c>
      <x:c r="M8" s="25" t="n">
        <x:f>--(F8=--(LEN(H8)&gt;0))</x:f>
        <x:v>1</x:v>
      </x:c>
      <x:c r="N8" s="25" t="n">
        <x:f>--(F8=--(LEN(K8)&gt;0))</x:f>
        <x:v>1</x:v>
      </x:c>
      <x:c r="O8" s="25" t="n">
        <x:f>--(E8=I8)</x:f>
        <x:v>1</x:v>
      </x:c>
      <x:c r="P8" s="25" t="n">
        <x:f>--(E8=L8)</x:f>
        <x:v>1</x:v>
      </x:c>
      <x:c r="Q8" s="25" t="str"/>
      <x:c r="R8" s="25" t="str"/>
      <x:c r="S8" s="28" t="n">
        <x:v>1</x:v>
      </x:c>
      <x:c r="T8" s="25" t="str">
        <x:v>TRUE_BLANK</x:v>
      </x:c>
      <x:c r="U8" s="25" t="str">
        <x:v>LOW</x:v>
      </x:c>
      <x:c r="V8" s="25" t="str">
        <x:v>exact/strong</x:v>
      </x:c>
      <x:c r="W8" s="25" t="str"/>
      <x:c r="X8" s="25" t="str"/>
      <x:c r="Y8" s="25" t="str">
        <x:v>/Users/lihd/discovery/paleomagnetic-r3-workflow/dist/paleomagnetic-r357-calibrated-workflow-full/data/parsed_mds/3434.txt</x:v>
      </x:c>
      <x:c r="Z8" s="22" t="b">
        <x:v>0</x:v>
      </x:c>
      <x:c r="AA8" s="15" t="n">
        <x:f>--(F8=E8)</x:f>
        <x:v>1</x:v>
      </x:c>
    </x:row>
    <x:row r="9" ht="54" customHeight="1">
      <x:c r="A9" s="15" t="str">
        <x:v>3434</x:v>
      </x:c>
      <x:c r="B9" s="15" t="str">
        <x:v>8722</x:v>
      </x:c>
      <x:c r="C9" s="25" t="str">
        <x:v>Amos Formation</x:v>
      </x:c>
      <x:c r="D9" s="25" t="str"/>
      <x:c r="E9" s="25" t="n">
        <x:v>0</x:v>
      </x:c>
      <x:c r="F9" s="25" t="n">
        <x:f>--(LEN(D9)&gt;0)</x:f>
        <x:v>0</x:v>
      </x:c>
      <x:c r="G9" s="25" t="str">
        <x:v>ABSENT</x:v>
      </x:c>
      <x:c r="H9" s="25" t="str"/>
      <x:c r="I9" s="25" t="n">
        <x:v>0</x:v>
      </x:c>
      <x:c r="J9" s="25" t="str">
        <x:v>ABSTAIN_INSUFFICIENT</x:v>
      </x:c>
      <x:c r="K9" s="25" t="str"/>
      <x:c r="L9" s="25" t="n">
        <x:v>0</x:v>
      </x:c>
      <x:c r="M9" s="25" t="n">
        <x:f>--(F9=--(LEN(H9)&gt;0))</x:f>
        <x:v>1</x:v>
      </x:c>
      <x:c r="N9" s="25" t="n">
        <x:f>--(F9=--(LEN(K9)&gt;0))</x:f>
        <x:v>1</x:v>
      </x:c>
      <x:c r="O9" s="25" t="n">
        <x:f>--(E9=I9)</x:f>
        <x:v>1</x:v>
      </x:c>
      <x:c r="P9" s="25" t="n">
        <x:f>--(E9=L9)</x:f>
        <x:v>1</x:v>
      </x:c>
      <x:c r="Q9" s="25" t="str"/>
      <x:c r="R9" s="25" t="str"/>
      <x:c r="S9" s="28" t="n">
        <x:v>1</x:v>
      </x:c>
      <x:c r="T9" s="25" t="str">
        <x:v>TRUE_BLANK</x:v>
      </x:c>
      <x:c r="U9" s="25" t="str">
        <x:v>LOW</x:v>
      </x:c>
      <x:c r="V9" s="25" t="str">
        <x:v>exact/strong</x:v>
      </x:c>
      <x:c r="W9" s="25" t="str"/>
      <x:c r="X9" s="25" t="str"/>
      <x:c r="Y9" s="25" t="str">
        <x:v>/Users/lihd/discovery/paleomagnetic-r3-workflow/dist/paleomagnetic-r357-calibrated-workflow-full/data/parsed_mds/3434.txt</x:v>
      </x:c>
      <x:c r="Z9" s="22" t="b">
        <x:v>0</x:v>
      </x:c>
      <x:c r="AA9" s="15" t="n">
        <x:f>--(F9=E9)</x:f>
        <x:v>1</x:v>
      </x:c>
    </x:row>
    <x:row r="10" ht="54" customHeight="1">
      <x:c r="A10" s="15" t="str">
        <x:v>3434</x:v>
      </x:c>
      <x:c r="B10" s="15" t="str">
        <x:v>8723</x:v>
      </x:c>
      <x:c r="C10" s="25" t="str">
        <x:v>Balbirini Dolomite, lower part</x:v>
      </x:c>
      <x:c r="D10" s="25" t="str"/>
      <x:c r="E10" s="25" t="n">
        <x:v>0</x:v>
      </x:c>
      <x:c r="F10" s="25" t="n">
        <x:f>--(LEN(D10)&gt;0)</x:f>
        <x:v>0</x:v>
      </x:c>
      <x:c r="G10" s="25" t="str">
        <x:v>ABSENT</x:v>
      </x:c>
      <x:c r="H10" s="25" t="str"/>
      <x:c r="I10" s="25" t="n">
        <x:v>0</x:v>
      </x:c>
      <x:c r="J10" s="25" t="str">
        <x:v>ABSTAIN_INSUFFICIENT</x:v>
      </x:c>
      <x:c r="K10" s="25" t="str"/>
      <x:c r="L10" s="25" t="n">
        <x:v>0</x:v>
      </x:c>
      <x:c r="M10" s="25" t="n">
        <x:f>--(F10=--(LEN(H10)&gt;0))</x:f>
        <x:v>1</x:v>
      </x:c>
      <x:c r="N10" s="25" t="n">
        <x:f>--(F10=--(LEN(K10)&gt;0))</x:f>
        <x:v>1</x:v>
      </x:c>
      <x:c r="O10" s="25" t="n">
        <x:f>--(E10=I10)</x:f>
        <x:v>1</x:v>
      </x:c>
      <x:c r="P10" s="25" t="n">
        <x:f>--(E10=L10)</x:f>
        <x:v>1</x:v>
      </x:c>
      <x:c r="Q10" s="25" t="str"/>
      <x:c r="R10" s="25" t="str"/>
      <x:c r="S10" s="28" t="n">
        <x:v>1</x:v>
      </x:c>
      <x:c r="T10" s="25" t="str">
        <x:v>TRUE_BLANK</x:v>
      </x:c>
      <x:c r="U10" s="25" t="str">
        <x:v>LOW</x:v>
      </x:c>
      <x:c r="V10" s="25" t="str">
        <x:v>token/strong</x:v>
      </x:c>
      <x:c r="W10" s="25" t="str"/>
      <x:c r="X10" s="25" t="str"/>
      <x:c r="Y10" s="25" t="str">
        <x:v>/Users/lihd/discovery/paleomagnetic-r3-workflow/dist/paleomagnetic-r357-calibrated-workflow-full/data/parsed_mds/3434.txt</x:v>
      </x:c>
      <x:c r="Z10" s="22" t="b">
        <x:v>0</x:v>
      </x:c>
      <x:c r="AA10" s="15" t="n">
        <x:f>--(F10=E10)</x:f>
        <x:v>1</x:v>
      </x:c>
    </x:row>
    <x:row r="11" ht="54" customHeight="1">
      <x:c r="A11" s="15" t="str">
        <x:v>3434</x:v>
      </x:c>
      <x:c r="B11" s="15" t="str">
        <x:v>8724</x:v>
      </x:c>
      <x:c r="C11" s="25" t="str">
        <x:v>Balbirini Dolomite, upper part</x:v>
      </x:c>
      <x:c r="D11" s="25" t="str"/>
      <x:c r="E11" s="25" t="n">
        <x:v>0</x:v>
      </x:c>
      <x:c r="F11" s="25" t="n">
        <x:f>--(LEN(D11)&gt;0)</x:f>
        <x:v>0</x:v>
      </x:c>
      <x:c r="G11" s="25" t="str">
        <x:v>ABSENT</x:v>
      </x:c>
      <x:c r="H11" s="25" t="str"/>
      <x:c r="I11" s="25" t="n">
        <x:v>0</x:v>
      </x:c>
      <x:c r="J11" s="25" t="str">
        <x:v>ABSTAIN_INSUFFICIENT</x:v>
      </x:c>
      <x:c r="K11" s="25" t="str"/>
      <x:c r="L11" s="25" t="n">
        <x:v>0</x:v>
      </x:c>
      <x:c r="M11" s="25" t="n">
        <x:f>--(F11=--(LEN(H11)&gt;0))</x:f>
        <x:v>1</x:v>
      </x:c>
      <x:c r="N11" s="25" t="n">
        <x:f>--(F11=--(LEN(K11)&gt;0))</x:f>
        <x:v>1</x:v>
      </x:c>
      <x:c r="O11" s="25" t="n">
        <x:f>--(E11=I11)</x:f>
        <x:v>1</x:v>
      </x:c>
      <x:c r="P11" s="25" t="n">
        <x:f>--(E11=L11)</x:f>
        <x:v>1</x:v>
      </x:c>
      <x:c r="Q11" s="25" t="str"/>
      <x:c r="R11" s="25" t="str"/>
      <x:c r="S11" s="28" t="n">
        <x:v>1</x:v>
      </x:c>
      <x:c r="T11" s="25" t="str">
        <x:v>TRUE_BLANK</x:v>
      </x:c>
      <x:c r="U11" s="25" t="str">
        <x:v>LOW</x:v>
      </x:c>
      <x:c r="V11" s="25" t="str">
        <x:v>token/strong</x:v>
      </x:c>
      <x:c r="W11" s="25" t="str"/>
      <x:c r="X11" s="25" t="str"/>
      <x:c r="Y11" s="25" t="str">
        <x:v>/Users/lihd/discovery/paleomagnetic-r3-workflow/dist/paleomagnetic-r357-calibrated-workflow-full/data/parsed_mds/3434.txt</x:v>
      </x:c>
      <x:c r="Z11" s="22" t="b">
        <x:v>0</x:v>
      </x:c>
      <x:c r="AA11" s="15" t="n">
        <x:f>--(F11=E11)</x:f>
        <x:v>1</x:v>
      </x:c>
    </x:row>
    <x:row r="12" ht="54" customHeight="1">
      <x:c r="A12" s="15" t="str">
        <x:v>3434</x:v>
      </x:c>
      <x:c r="B12" s="15" t="str">
        <x:v>8725</x:v>
      </x:c>
      <x:c r="C12" s="25" t="str">
        <x:v>Peters Creek Volcanics, upper part</x:v>
      </x:c>
      <x:c r="D12" s="25" t="str"/>
      <x:c r="E12" s="25" t="n">
        <x:v>0</x:v>
      </x:c>
      <x:c r="F12" s="25" t="n">
        <x:f>--(LEN(D12)&gt;0)</x:f>
        <x:v>0</x:v>
      </x:c>
      <x:c r="G12" s="25" t="str">
        <x:v>ABSENT</x:v>
      </x:c>
      <x:c r="H12" s="25" t="str"/>
      <x:c r="I12" s="25" t="n">
        <x:v>0</x:v>
      </x:c>
      <x:c r="J12" s="25" t="str">
        <x:v>ABSTAIN_INSUFFICIENT</x:v>
      </x:c>
      <x:c r="K12" s="25" t="str"/>
      <x:c r="L12" s="25" t="n">
        <x:v>0</x:v>
      </x:c>
      <x:c r="M12" s="25" t="n">
        <x:f>--(F12=--(LEN(H12)&gt;0))</x:f>
        <x:v>1</x:v>
      </x:c>
      <x:c r="N12" s="25" t="n">
        <x:f>--(F12=--(LEN(K12)&gt;0))</x:f>
        <x:v>1</x:v>
      </x:c>
      <x:c r="O12" s="25" t="n">
        <x:f>--(E12=I12)</x:f>
        <x:v>1</x:v>
      </x:c>
      <x:c r="P12" s="25" t="n">
        <x:f>--(E12=L12)</x:f>
        <x:v>1</x:v>
      </x:c>
      <x:c r="Q12" s="25" t="str"/>
      <x:c r="R12" s="25" t="str"/>
      <x:c r="S12" s="28" t="n">
        <x:v>1</x:v>
      </x:c>
      <x:c r="T12" s="25" t="str">
        <x:v>TRUE_BLANK</x:v>
      </x:c>
      <x:c r="U12" s="25" t="str">
        <x:v>LOW</x:v>
      </x:c>
      <x:c r="V12" s="25" t="str">
        <x:v>token/strong</x:v>
      </x:c>
      <x:c r="W12" s="25" t="str"/>
      <x:c r="X12" s="25" t="str"/>
      <x:c r="Y12" s="25" t="str">
        <x:v>/Users/lihd/discovery/paleomagnetic-r3-workflow/dist/paleomagnetic-r357-calibrated-workflow-full/data/parsed_mds/3434.txt</x:v>
      </x:c>
      <x:c r="Z12" s="22" t="b">
        <x:v>0</x:v>
      </x:c>
      <x:c r="AA12" s="15" t="n">
        <x:f>--(F12=E12)</x:f>
        <x:v>1</x:v>
      </x:c>
    </x:row>
    <x:row r="13" ht="54" customHeight="1">
      <x:c r="A13" s="15" t="str">
        <x:v>3434</x:v>
      </x:c>
      <x:c r="B13" s="15" t="str">
        <x:v>8726</x:v>
      </x:c>
      <x:c r="C13" s="25" t="str">
        <x:v>Buddawadda Basalt (intrusives)</x:v>
      </x:c>
      <x:c r="D13" s="25" t="str"/>
      <x:c r="E13" s="25" t="n">
        <x:v>0</x:v>
      </x:c>
      <x:c r="F13" s="25" t="n">
        <x:f>--(LEN(D13)&gt;0)</x:f>
        <x:v>0</x:v>
      </x:c>
      <x:c r="G13" s="25" t="str">
        <x:v>ABSENT</x:v>
      </x:c>
      <x:c r="H13" s="25" t="str"/>
      <x:c r="I13" s="25" t="n">
        <x:v>0</x:v>
      </x:c>
      <x:c r="J13" s="25" t="str">
        <x:v>ABSTAIN_INSUFFICIENT</x:v>
      </x:c>
      <x:c r="K13" s="25" t="str"/>
      <x:c r="L13" s="25" t="n">
        <x:v>0</x:v>
      </x:c>
      <x:c r="M13" s="25" t="n">
        <x:f>--(F13=--(LEN(H13)&gt;0))</x:f>
        <x:v>1</x:v>
      </x:c>
      <x:c r="N13" s="25" t="n">
        <x:f>--(F13=--(LEN(K13)&gt;0))</x:f>
        <x:v>1</x:v>
      </x:c>
      <x:c r="O13" s="25" t="n">
        <x:f>--(E13=I13)</x:f>
        <x:v>1</x:v>
      </x:c>
      <x:c r="P13" s="25" t="n">
        <x:f>--(E13=L13)</x:f>
        <x:v>1</x:v>
      </x:c>
      <x:c r="Q13" s="25" t="str"/>
      <x:c r="R13" s="25" t="str"/>
      <x:c r="S13" s="28" t="n">
        <x:v>1</x:v>
      </x:c>
      <x:c r="T13" s="25" t="str">
        <x:v>TRUE_BLANK</x:v>
      </x:c>
      <x:c r="U13" s="25" t="str">
        <x:v>LOW</x:v>
      </x:c>
      <x:c r="V13" s="25" t="str">
        <x:v>token/strong</x:v>
      </x:c>
      <x:c r="W13" s="25" t="str"/>
      <x:c r="X13" s="25" t="str"/>
      <x:c r="Y13" s="25" t="str">
        <x:v>/Users/lihd/discovery/paleomagnetic-r3-workflow/dist/paleomagnetic-r357-calibrated-workflow-full/data/parsed_mds/3434.txt</x:v>
      </x:c>
      <x:c r="Z13" s="22" t="b">
        <x:v>0</x:v>
      </x:c>
      <x:c r="AA13" s="15" t="n">
        <x:f>--(F13=E13)</x:f>
        <x:v>1</x:v>
      </x:c>
    </x:row>
    <x:row r="14" ht="54" customHeight="1">
      <x:c r="A14" s="15" t="str">
        <x:v>3434</x:v>
      </x:c>
      <x:c r="B14" s="15" t="str">
        <x:v>8727</x:v>
      </x:c>
      <x:c r="C14" s="25" t="str">
        <x:v>Buddawadda Basalt</x:v>
      </x:c>
      <x:c r="D14" s="25" t="str"/>
      <x:c r="E14" s="25" t="n">
        <x:v>0</x:v>
      </x:c>
      <x:c r="F14" s="25" t="n">
        <x:f>--(LEN(D14)&gt;0)</x:f>
        <x:v>0</x:v>
      </x:c>
      <x:c r="G14" s="25" t="str">
        <x:v>ABSENT</x:v>
      </x:c>
      <x:c r="H14" s="25" t="str"/>
      <x:c r="I14" s="25" t="n">
        <x:v>0</x:v>
      </x:c>
      <x:c r="J14" s="25" t="str">
        <x:v>ABSTAIN_INSUFFICIENT</x:v>
      </x:c>
      <x:c r="K14" s="25" t="str"/>
      <x:c r="L14" s="25" t="n">
        <x:v>0</x:v>
      </x:c>
      <x:c r="M14" s="25" t="n">
        <x:f>--(F14=--(LEN(H14)&gt;0))</x:f>
        <x:v>1</x:v>
      </x:c>
      <x:c r="N14" s="25" t="n">
        <x:f>--(F14=--(LEN(K14)&gt;0))</x:f>
        <x:v>1</x:v>
      </x:c>
      <x:c r="O14" s="25" t="n">
        <x:f>--(E14=I14)</x:f>
        <x:v>1</x:v>
      </x:c>
      <x:c r="P14" s="25" t="n">
        <x:f>--(E14=L14)</x:f>
        <x:v>1</x:v>
      </x:c>
      <x:c r="Q14" s="25" t="str"/>
      <x:c r="R14" s="25" t="str"/>
      <x:c r="S14" s="28" t="n">
        <x:v>1</x:v>
      </x:c>
      <x:c r="T14" s="25" t="str">
        <x:v>TRUE_BLANK</x:v>
      </x:c>
      <x:c r="U14" s="25" t="str">
        <x:v>LOW</x:v>
      </x:c>
      <x:c r="V14" s="25" t="str">
        <x:v>exact/strong</x:v>
      </x:c>
      <x:c r="W14" s="25" t="str"/>
      <x:c r="X14" s="25" t="str"/>
      <x:c r="Y14" s="25" t="str">
        <x:v>/Users/lihd/discovery/paleomagnetic-r3-workflow/dist/paleomagnetic-r357-calibrated-workflow-full/data/parsed_mds/3434.txt</x:v>
      </x:c>
      <x:c r="Z14" s="22" t="b">
        <x:v>0</x:v>
      </x:c>
      <x:c r="AA14" s="15" t="n">
        <x:f>--(F14=E14)</x:f>
        <x:v>1</x:v>
      </x:c>
    </x:row>
    <x:row r="15" ht="54" customHeight="1">
      <x:c r="A15" s="15" t="str">
        <x:v>3434</x:v>
      </x:c>
      <x:c r="B15" s="15" t="str">
        <x:v>8728</x:v>
      </x:c>
      <x:c r="C15" s="25" t="str">
        <x:v>Fish River Formation (Pff1)</x:v>
      </x:c>
      <x:c r="D15" s="25" t="str"/>
      <x:c r="E15" s="25" t="n">
        <x:v>0</x:v>
      </x:c>
      <x:c r="F15" s="25" t="n">
        <x:f>--(LEN(D15)&gt;0)</x:f>
        <x:v>0</x:v>
      </x:c>
      <x:c r="G15" s="25" t="str">
        <x:v>ABSENT</x:v>
      </x:c>
      <x:c r="H15" s="25" t="str"/>
      <x:c r="I15" s="25" t="n">
        <x:v>0</x:v>
      </x:c>
      <x:c r="J15" s="25" t="str">
        <x:v>ABSTAIN_INSUFFICIENT</x:v>
      </x:c>
      <x:c r="K15" s="25" t="str"/>
      <x:c r="L15" s="25" t="n">
        <x:v>0</x:v>
      </x:c>
      <x:c r="M15" s="25" t="n">
        <x:f>--(F15=--(LEN(H15)&gt;0))</x:f>
        <x:v>1</x:v>
      </x:c>
      <x:c r="N15" s="25" t="n">
        <x:f>--(F15=--(LEN(K15)&gt;0))</x:f>
        <x:v>1</x:v>
      </x:c>
      <x:c r="O15" s="25" t="n">
        <x:f>--(E15=I15)</x:f>
        <x:v>1</x:v>
      </x:c>
      <x:c r="P15" s="25" t="n">
        <x:f>--(E15=L15)</x:f>
        <x:v>1</x:v>
      </x:c>
      <x:c r="Q15" s="25" t="str"/>
      <x:c r="R15" s="25" t="str"/>
      <x:c r="S15" s="28" t="n">
        <x:v>1</x:v>
      </x:c>
      <x:c r="T15" s="25" t="str">
        <x:v>TRUE_BLANK</x:v>
      </x:c>
      <x:c r="U15" s="25" t="str">
        <x:v>LOW</x:v>
      </x:c>
      <x:c r="V15" s="25" t="str">
        <x:v>token/strong</x:v>
      </x:c>
      <x:c r="W15" s="25" t="str"/>
      <x:c r="X15" s="25" t="str"/>
      <x:c r="Y15" s="25" t="str">
        <x:v>/Users/lihd/discovery/paleomagnetic-r3-workflow/dist/paleomagnetic-r357-calibrated-workflow-full/data/parsed_mds/3434.txt</x:v>
      </x:c>
      <x:c r="Z15" s="22" t="b">
        <x:v>0</x:v>
      </x:c>
      <x:c r="AA15" s="15" t="n">
        <x:f>--(F15=E15)</x:f>
        <x:v>1</x:v>
      </x:c>
    </x:row>
    <x:row r="16" ht="54" customHeight="1">
      <x:c r="A16" s="15" t="str">
        <x:v>3434</x:v>
      </x:c>
      <x:c r="B16" s="15" t="str">
        <x:v>8729</x:v>
      </x:c>
      <x:c r="C16" s="25" t="str">
        <x:v>Fish River Formation (Pff2)</x:v>
      </x:c>
      <x:c r="D16" s="25" t="str"/>
      <x:c r="E16" s="25" t="n">
        <x:v>0</x:v>
      </x:c>
      <x:c r="F16" s="25" t="n">
        <x:f>--(LEN(D16)&gt;0)</x:f>
        <x:v>0</x:v>
      </x:c>
      <x:c r="G16" s="25" t="str">
        <x:v>ABSENT</x:v>
      </x:c>
      <x:c r="H16" s="25" t="str"/>
      <x:c r="I16" s="25" t="n">
        <x:v>0</x:v>
      </x:c>
      <x:c r="J16" s="25" t="str">
        <x:v>ABSTAIN_INSUFFICIENT</x:v>
      </x:c>
      <x:c r="K16" s="25" t="str"/>
      <x:c r="L16" s="25" t="n">
        <x:v>0</x:v>
      </x:c>
      <x:c r="M16" s="25" t="n">
        <x:f>--(F16=--(LEN(H16)&gt;0))</x:f>
        <x:v>1</x:v>
      </x:c>
      <x:c r="N16" s="25" t="n">
        <x:f>--(F16=--(LEN(K16)&gt;0))</x:f>
        <x:v>1</x:v>
      </x:c>
      <x:c r="O16" s="25" t="n">
        <x:f>--(E16=I16)</x:f>
        <x:v>1</x:v>
      </x:c>
      <x:c r="P16" s="25" t="n">
        <x:f>--(E16=L16)</x:f>
        <x:v>1</x:v>
      </x:c>
      <x:c r="Q16" s="25" t="str"/>
      <x:c r="R16" s="25" t="str"/>
      <x:c r="S16" s="28" t="n">
        <x:v>1</x:v>
      </x:c>
      <x:c r="T16" s="25" t="str">
        <x:v>TRUE_BLANK</x:v>
      </x:c>
      <x:c r="U16" s="25" t="str">
        <x:v>LOW</x:v>
      </x:c>
      <x:c r="V16" s="25" t="str">
        <x:v>token/strong</x:v>
      </x:c>
      <x:c r="W16" s="25" t="str"/>
      <x:c r="X16" s="25" t="str"/>
      <x:c r="Y16" s="25" t="str">
        <x:v>/Users/lihd/discovery/paleomagnetic-r3-workflow/dist/paleomagnetic-r357-calibrated-workflow-full/data/parsed_mds/3434.txt</x:v>
      </x:c>
      <x:c r="Z16" s="22" t="b">
        <x:v>0</x:v>
      </x:c>
      <x:c r="AA16" s="15" t="n">
        <x:f>--(F16=E16)</x:f>
        <x:v>1</x:v>
      </x:c>
    </x:row>
    <x:row r="17" ht="54" customHeight="1">
      <x:c r="A17" s="15" t="str">
        <x:v>3434</x:v>
      </x:c>
      <x:c r="B17" s="15" t="str">
        <x:v>8730</x:v>
      </x:c>
      <x:c r="C17" s="25" t="str">
        <x:v>Mt Les Siltstone</x:v>
      </x:c>
      <x:c r="D17" s="25" t="str"/>
      <x:c r="E17" s="25" t="n">
        <x:v>0</x:v>
      </x:c>
      <x:c r="F17" s="25" t="n">
        <x:f>--(LEN(D17)&gt;0)</x:f>
        <x:v>0</x:v>
      </x:c>
      <x:c r="G17" s="25" t="str">
        <x:v>ABSTAIN_INSUFFICIENT</x:v>
      </x:c>
      <x:c r="H17" s="25" t="str"/>
      <x:c r="I17" s="25" t="n">
        <x:v>0</x:v>
      </x:c>
      <x:c r="J17" s="25" t="str">
        <x:v>ABSTAIN_INSUFFICIENT</x:v>
      </x:c>
      <x:c r="K17" s="25" t="str"/>
      <x:c r="L17" s="25" t="n">
        <x:v>0</x:v>
      </x:c>
      <x:c r="M17" s="25" t="n">
        <x:f>--(F17=--(LEN(H17)&gt;0))</x:f>
        <x:v>1</x:v>
      </x:c>
      <x:c r="N17" s="25" t="n">
        <x:f>--(F17=--(LEN(K17)&gt;0))</x:f>
        <x:v>1</x:v>
      </x:c>
      <x:c r="O17" s="25" t="n">
        <x:f>--(E17=I17)</x:f>
        <x:v>1</x:v>
      </x:c>
      <x:c r="P17" s="25" t="n">
        <x:f>--(E17=L17)</x:f>
        <x:v>1</x:v>
      </x:c>
      <x:c r="Q17" s="25" t="str"/>
      <x:c r="R17" s="25" t="str"/>
      <x:c r="S17" s="28" t="n">
        <x:v>1</x:v>
      </x:c>
      <x:c r="T17" s="25" t="str">
        <x:v>TRUE_BLANK</x:v>
      </x:c>
      <x:c r="U17" s="25" t="str">
        <x:v>LOW</x:v>
      </x:c>
      <x:c r="V17" s="25" t="str">
        <x:v>exact/strong</x:v>
      </x:c>
      <x:c r="W17" s="25" t="str"/>
      <x:c r="X17" s="25" t="str"/>
      <x:c r="Y17" s="25" t="str">
        <x:v>/Users/lihd/discovery/paleomagnetic-r3-workflow/dist/paleomagnetic-r357-calibrated-workflow-full/data/parsed_mds/3434.txt</x:v>
      </x:c>
      <x:c r="Z17" s="22" t="b">
        <x:v>0</x:v>
      </x:c>
      <x:c r="AA17" s="15" t="n">
        <x:f>--(F17=E17)</x:f>
        <x:v>1</x:v>
      </x:c>
    </x:row>
    <x:row r="18" ht="54" customHeight="1">
      <x:c r="A18" s="15" t="str">
        <x:v>3434</x:v>
      </x:c>
      <x:c r="B18" s="15" t="str">
        <x:v>8731</x:v>
      </x:c>
      <x:c r="C18" s="25" t="str">
        <x:v>Lochness Formation</x:v>
      </x:c>
      <x:c r="D18" s="25" t="str"/>
      <x:c r="E18" s="25" t="n">
        <x:v>0</x:v>
      </x:c>
      <x:c r="F18" s="25" t="n">
        <x:f>--(LEN(D18)&gt;0)</x:f>
        <x:v>0</x:v>
      </x:c>
      <x:c r="G18" s="25" t="str">
        <x:v>ABSTAIN_IDENTITY</x:v>
      </x:c>
      <x:c r="H18" s="25" t="str"/>
      <x:c r="I18" s="25" t="n">
        <x:v>0</x:v>
      </x:c>
      <x:c r="J18" s="25" t="str">
        <x:v>ABSTAIN_IDENTITY</x:v>
      </x:c>
      <x:c r="K18" s="25" t="str"/>
      <x:c r="L18" s="25" t="n">
        <x:v>0</x:v>
      </x:c>
      <x:c r="M18" s="25" t="n">
        <x:f>--(F18=--(LEN(H18)&gt;0))</x:f>
        <x:v>1</x:v>
      </x:c>
      <x:c r="N18" s="25" t="n">
        <x:f>--(F18=--(LEN(K18)&gt;0))</x:f>
        <x:v>1</x:v>
      </x:c>
      <x:c r="O18" s="25" t="n">
        <x:f>--(E18=I18)</x:f>
        <x:v>1</x:v>
      </x:c>
      <x:c r="P18" s="25" t="n">
        <x:f>--(E18=L18)</x:f>
        <x:v>1</x:v>
      </x:c>
      <x:c r="Q18" s="25" t="str"/>
      <x:c r="R18" s="25" t="str"/>
      <x:c r="S18" s="28" t="n">
        <x:v>1</x:v>
      </x:c>
      <x:c r="T18" s="25" t="str">
        <x:v>TRUE_BLANK</x:v>
      </x:c>
      <x:c r="U18" s="25" t="str">
        <x:v>LOW</x:v>
      </x:c>
      <x:c r="V18" s="25" t="str">
        <x:v>exact/strong</x:v>
      </x:c>
      <x:c r="W18" s="25" t="str"/>
      <x:c r="X18" s="25" t="str"/>
      <x:c r="Y18" s="25" t="str">
        <x:v>/Users/lihd/discovery/paleomagnetic-r3-workflow/dist/paleomagnetic-r357-calibrated-workflow-full/data/parsed_mds/3434.txt</x:v>
      </x:c>
      <x:c r="Z18" s="22" t="b">
        <x:v>1</x:v>
      </x:c>
      <x:c r="AA18" s="15" t="n">
        <x:f>--(F18=E18)</x:f>
        <x:v>1</x:v>
      </x:c>
    </x:row>
    <x:row r="19" ht="54" customHeight="1">
      <x:c r="A19" s="15" t="str">
        <x:v>3434</x:v>
      </x:c>
      <x:c r="B19" s="15" t="str">
        <x:v>8732</x:v>
      </x:c>
      <x:c r="C19" s="25" t="str">
        <x:v>Lochness Formation</x:v>
      </x:c>
      <x:c r="D19" s="25" t="str"/>
      <x:c r="E19" s="25" t="n">
        <x:v>0</x:v>
      </x:c>
      <x:c r="F19" s="25" t="n">
        <x:f>--(LEN(D19)&gt;0)</x:f>
        <x:v>0</x:v>
      </x:c>
      <x:c r="G19" s="25" t="str">
        <x:v>ABSTAIN_IDENTITY</x:v>
      </x:c>
      <x:c r="H19" s="25" t="str"/>
      <x:c r="I19" s="25" t="n">
        <x:v>0</x:v>
      </x:c>
      <x:c r="J19" s="25" t="str">
        <x:v>ABSTAIN_IDENTITY</x:v>
      </x:c>
      <x:c r="K19" s="25" t="str"/>
      <x:c r="L19" s="25" t="n">
        <x:v>0</x:v>
      </x:c>
      <x:c r="M19" s="25" t="n">
        <x:f>--(F19=--(LEN(H19)&gt;0))</x:f>
        <x:v>1</x:v>
      </x:c>
      <x:c r="N19" s="25" t="n">
        <x:f>--(F19=--(LEN(K19)&gt;0))</x:f>
        <x:v>1</x:v>
      </x:c>
      <x:c r="O19" s="25" t="n">
        <x:f>--(E19=I19)</x:f>
        <x:v>1</x:v>
      </x:c>
      <x:c r="P19" s="25" t="n">
        <x:f>--(E19=L19)</x:f>
        <x:v>1</x:v>
      </x:c>
      <x:c r="Q19" s="25" t="str"/>
      <x:c r="R19" s="25" t="str"/>
      <x:c r="S19" s="28" t="n">
        <x:v>1</x:v>
      </x:c>
      <x:c r="T19" s="25" t="str">
        <x:v>TRUE_BLANK</x:v>
      </x:c>
      <x:c r="U19" s="25" t="str">
        <x:v>LOW</x:v>
      </x:c>
      <x:c r="V19" s="25" t="str">
        <x:v>exact/strong</x:v>
      </x:c>
      <x:c r="W19" s="25" t="str"/>
      <x:c r="X19" s="25" t="str"/>
      <x:c r="Y19" s="25" t="str">
        <x:v>/Users/lihd/discovery/paleomagnetic-r3-workflow/dist/paleomagnetic-r357-calibrated-workflow-full/data/parsed_mds/3434.txt</x:v>
      </x:c>
      <x:c r="Z19" s="22" t="b">
        <x:v>1</x:v>
      </x:c>
      <x:c r="AA19" s="15" t="n">
        <x:f>--(F19=E19)</x:f>
        <x:v>1</x:v>
      </x:c>
    </x:row>
    <x:row r="20" ht="54" customHeight="1">
      <x:c r="A20" s="15" t="str">
        <x:v>3434</x:v>
      </x:c>
      <x:c r="B20" s="15" t="str">
        <x:v>8733</x:v>
      </x:c>
      <x:c r="C20" s="25" t="str">
        <x:v>Fiery Creek Formation</x:v>
      </x:c>
      <x:c r="D20" s="25" t="str"/>
      <x:c r="E20" s="25" t="n">
        <x:v>0</x:v>
      </x:c>
      <x:c r="F20" s="25" t="n">
        <x:f>--(LEN(D20)&gt;0)</x:f>
        <x:v>0</x:v>
      </x:c>
      <x:c r="G20" s="25" t="str">
        <x:v>ABSTAIN_IDENTITY</x:v>
      </x:c>
      <x:c r="H20" s="25" t="str"/>
      <x:c r="I20" s="25" t="n">
        <x:v>0</x:v>
      </x:c>
      <x:c r="J20" s="25" t="str">
        <x:v>ABSTAIN_IDENTITY</x:v>
      </x:c>
      <x:c r="K20" s="25" t="str"/>
      <x:c r="L20" s="25" t="n">
        <x:v>0</x:v>
      </x:c>
      <x:c r="M20" s="25" t="n">
        <x:f>--(F20=--(LEN(H20)&gt;0))</x:f>
        <x:v>1</x:v>
      </x:c>
      <x:c r="N20" s="25" t="n">
        <x:f>--(F20=--(LEN(K20)&gt;0))</x:f>
        <x:v>1</x:v>
      </x:c>
      <x:c r="O20" s="25" t="n">
        <x:f>--(E20=I20)</x:f>
        <x:v>1</x:v>
      </x:c>
      <x:c r="P20" s="25" t="n">
        <x:f>--(E20=L20)</x:f>
        <x:v>1</x:v>
      </x:c>
      <x:c r="Q20" s="25" t="str"/>
      <x:c r="R20" s="25" t="str"/>
      <x:c r="S20" s="28" t="n">
        <x:v>1</x:v>
      </x:c>
      <x:c r="T20" s="25" t="str">
        <x:v>TRUE_BLANK</x:v>
      </x:c>
      <x:c r="U20" s="25" t="str">
        <x:v>LOW</x:v>
      </x:c>
      <x:c r="V20" s="25" t="str">
        <x:v>token/strong</x:v>
      </x:c>
      <x:c r="W20" s="25" t="str"/>
      <x:c r="X20" s="25" t="str"/>
      <x:c r="Y20" s="25" t="str">
        <x:v>/Users/lihd/discovery/paleomagnetic-r3-workflow/dist/paleomagnetic-r357-calibrated-workflow-full/data/parsed_mds/3434.txt</x:v>
      </x:c>
      <x:c r="Z20" s="22" t="b">
        <x:v>1</x:v>
      </x:c>
      <x:c r="AA20" s="15" t="n">
        <x:f>--(F20=E20)</x:f>
        <x:v>1</x:v>
      </x:c>
    </x:row>
    <x:row r="21" ht="54" customHeight="1">
      <x:c r="A21" s="15" t="str">
        <x:v>3434</x:v>
      </x:c>
      <x:c r="B21" s="15" t="str">
        <x:v>8734</x:v>
      </x:c>
      <x:c r="C21" s="25" t="str">
        <x:v>Fiery Creek Formation</x:v>
      </x:c>
      <x:c r="D21" s="25" t="str"/>
      <x:c r="E21" s="25" t="n">
        <x:v>0</x:v>
      </x:c>
      <x:c r="F21" s="25" t="n">
        <x:f>--(LEN(D21)&gt;0)</x:f>
        <x:v>0</x:v>
      </x:c>
      <x:c r="G21" s="25" t="str">
        <x:v>ABSTAIN_IDENTITY</x:v>
      </x:c>
      <x:c r="H21" s="25" t="str"/>
      <x:c r="I21" s="25" t="n">
        <x:v>0</x:v>
      </x:c>
      <x:c r="J21" s="25" t="str">
        <x:v>ABSTAIN_IDENTITY</x:v>
      </x:c>
      <x:c r="K21" s="25" t="str"/>
      <x:c r="L21" s="25" t="n">
        <x:v>0</x:v>
      </x:c>
      <x:c r="M21" s="25" t="n">
        <x:f>--(F21=--(LEN(H21)&gt;0))</x:f>
        <x:v>1</x:v>
      </x:c>
      <x:c r="N21" s="25" t="n">
        <x:f>--(F21=--(LEN(K21)&gt;0))</x:f>
        <x:v>1</x:v>
      </x:c>
      <x:c r="O21" s="25" t="n">
        <x:f>--(E21=I21)</x:f>
        <x:v>1</x:v>
      </x:c>
      <x:c r="P21" s="25" t="n">
        <x:f>--(E21=L21)</x:f>
        <x:v>1</x:v>
      </x:c>
      <x:c r="Q21" s="25" t="str"/>
      <x:c r="R21" s="25" t="str"/>
      <x:c r="S21" s="28" t="n">
        <x:v>1</x:v>
      </x:c>
      <x:c r="T21" s="25" t="str">
        <x:v>TRUE_BLANK</x:v>
      </x:c>
      <x:c r="U21" s="25" t="str">
        <x:v>LOW</x:v>
      </x:c>
      <x:c r="V21" s="25" t="str">
        <x:v>token/strong</x:v>
      </x:c>
      <x:c r="W21" s="25" t="str"/>
      <x:c r="X21" s="25" t="str"/>
      <x:c r="Y21" s="25" t="str">
        <x:v>/Users/lihd/discovery/paleomagnetic-r3-workflow/dist/paleomagnetic-r357-calibrated-workflow-full/data/parsed_mds/3434.txt</x:v>
      </x:c>
      <x:c r="Z21" s="22" t="b">
        <x:v>1</x:v>
      </x:c>
      <x:c r="AA21" s="15" t="n">
        <x:f>--(F21=E21)</x:f>
        <x:v>1</x:v>
      </x:c>
    </x:row>
    <x:row r="22" ht="54" customHeight="1">
      <x:c r="A22" s="15" t="str">
        <x:v>3434</x:v>
      </x:c>
      <x:c r="B22" s="15" t="str">
        <x:v>8735</x:v>
      </x:c>
      <x:c r="C22" s="25" t="str">
        <x:v>Gunpowder Creek Formation</x:v>
      </x:c>
      <x:c r="D22" s="25" t="str"/>
      <x:c r="E22" s="25" t="n">
        <x:v>0</x:v>
      </x:c>
      <x:c r="F22" s="25" t="n">
        <x:f>--(LEN(D22)&gt;0)</x:f>
        <x:v>0</x:v>
      </x:c>
      <x:c r="G22" s="25" t="str">
        <x:v>ABSTAIN_IDENTITY</x:v>
      </x:c>
      <x:c r="H22" s="25" t="str"/>
      <x:c r="I22" s="25" t="n">
        <x:v>0</x:v>
      </x:c>
      <x:c r="J22" s="25" t="str">
        <x:v>ABSTAIN_IDENTITY</x:v>
      </x:c>
      <x:c r="K22" s="25" t="str"/>
      <x:c r="L22" s="25" t="n">
        <x:v>0</x:v>
      </x:c>
      <x:c r="M22" s="25" t="n">
        <x:f>--(F22=--(LEN(H22)&gt;0))</x:f>
        <x:v>1</x:v>
      </x:c>
      <x:c r="N22" s="25" t="n">
        <x:f>--(F22=--(LEN(K22)&gt;0))</x:f>
        <x:v>1</x:v>
      </x:c>
      <x:c r="O22" s="25" t="n">
        <x:f>--(E22=I22)</x:f>
        <x:v>1</x:v>
      </x:c>
      <x:c r="P22" s="25" t="n">
        <x:f>--(E22=L22)</x:f>
        <x:v>1</x:v>
      </x:c>
      <x:c r="Q22" s="25" t="str"/>
      <x:c r="R22" s="25" t="str"/>
      <x:c r="S22" s="28" t="n">
        <x:v>1</x:v>
      </x:c>
      <x:c r="T22" s="25" t="str">
        <x:v>TRUE_BLANK</x:v>
      </x:c>
      <x:c r="U22" s="25" t="str">
        <x:v>LOW</x:v>
      </x:c>
      <x:c r="V22" s="25" t="str">
        <x:v>exact/strong</x:v>
      </x:c>
      <x:c r="W22" s="25" t="str"/>
      <x:c r="X22" s="25" t="str"/>
      <x:c r="Y22" s="25" t="str">
        <x:v>/Users/lihd/discovery/paleomagnetic-r3-workflow/dist/paleomagnetic-r357-calibrated-workflow-full/data/parsed_mds/3434.txt</x:v>
      </x:c>
      <x:c r="Z22" s="22" t="b">
        <x:v>1</x:v>
      </x:c>
      <x:c r="AA22" s="15" t="n">
        <x:f>--(F22=E22)</x:f>
        <x:v>1</x:v>
      </x:c>
    </x:row>
    <x:row r="23" ht="54" customHeight="1">
      <x:c r="A23" s="15" t="str">
        <x:v>3434</x:v>
      </x:c>
      <x:c r="B23" s="15" t="str">
        <x:v>8736</x:v>
      </x:c>
      <x:c r="C23" s="25" t="str">
        <x:v>Gunpowder Creek Formation</x:v>
      </x:c>
      <x:c r="D23" s="25" t="str"/>
      <x:c r="E23" s="25" t="n">
        <x:v>0</x:v>
      </x:c>
      <x:c r="F23" s="25" t="n">
        <x:f>--(LEN(D23)&gt;0)</x:f>
        <x:v>0</x:v>
      </x:c>
      <x:c r="G23" s="25" t="str">
        <x:v>ABSTAIN_IDENTITY</x:v>
      </x:c>
      <x:c r="H23" s="25" t="str"/>
      <x:c r="I23" s="25" t="n">
        <x:v>0</x:v>
      </x:c>
      <x:c r="J23" s="25" t="str">
        <x:v>ABSTAIN_IDENTITY</x:v>
      </x:c>
      <x:c r="K23" s="25" t="str"/>
      <x:c r="L23" s="25" t="n">
        <x:v>0</x:v>
      </x:c>
      <x:c r="M23" s="25" t="n">
        <x:f>--(F23=--(LEN(H23)&gt;0))</x:f>
        <x:v>1</x:v>
      </x:c>
      <x:c r="N23" s="25" t="n">
        <x:f>--(F23=--(LEN(K23)&gt;0))</x:f>
        <x:v>1</x:v>
      </x:c>
      <x:c r="O23" s="25" t="n">
        <x:f>--(E23=I23)</x:f>
        <x:v>1</x:v>
      </x:c>
      <x:c r="P23" s="25" t="n">
        <x:f>--(E23=L23)</x:f>
        <x:v>1</x:v>
      </x:c>
      <x:c r="Q23" s="25" t="str"/>
      <x:c r="R23" s="25" t="str"/>
      <x:c r="S23" s="28" t="n">
        <x:v>1</x:v>
      </x:c>
      <x:c r="T23" s="25" t="str">
        <x:v>TRUE_BLANK</x:v>
      </x:c>
      <x:c r="U23" s="25" t="str">
        <x:v>LOW</x:v>
      </x:c>
      <x:c r="V23" s="25" t="str">
        <x:v>exact/strong</x:v>
      </x:c>
      <x:c r="W23" s="25" t="str"/>
      <x:c r="X23" s="25" t="str"/>
      <x:c r="Y23" s="25" t="str">
        <x:v>/Users/lihd/discovery/paleomagnetic-r3-workflow/dist/paleomagnetic-r357-calibrated-workflow-full/data/parsed_mds/3434.txt</x:v>
      </x:c>
      <x:c r="Z23" s="22" t="b">
        <x:v>1</x:v>
      </x:c>
      <x:c r="AA23" s="15" t="n">
        <x:f>--(F23=E23)</x:f>
        <x:v>1</x:v>
      </x:c>
    </x:row>
    <x:row r="24" ht="54" customHeight="1">
      <x:c r="A24" s="15" t="str">
        <x:v>3434</x:v>
      </x:c>
      <x:c r="B24" s="15" t="str">
        <x:v>8737</x:v>
      </x:c>
      <x:c r="C24" s="25" t="str">
        <x:v>Gunpowder Creek Formation</x:v>
      </x:c>
      <x:c r="D24" s="25" t="str"/>
      <x:c r="E24" s="25" t="n">
        <x:v>0</x:v>
      </x:c>
      <x:c r="F24" s="25" t="n">
        <x:f>--(LEN(D24)&gt;0)</x:f>
        <x:v>0</x:v>
      </x:c>
      <x:c r="G24" s="25" t="str">
        <x:v>ABSTAIN_IDENTITY</x:v>
      </x:c>
      <x:c r="H24" s="25" t="str"/>
      <x:c r="I24" s="25" t="n">
        <x:v>0</x:v>
      </x:c>
      <x:c r="J24" s="25" t="str">
        <x:v>ABSTAIN_IDENTITY</x:v>
      </x:c>
      <x:c r="K24" s="25" t="str"/>
      <x:c r="L24" s="25" t="n">
        <x:v>0</x:v>
      </x:c>
      <x:c r="M24" s="25" t="n">
        <x:f>--(F24=--(LEN(H24)&gt;0))</x:f>
        <x:v>1</x:v>
      </x:c>
      <x:c r="N24" s="25" t="n">
        <x:f>--(F24=--(LEN(K24)&gt;0))</x:f>
        <x:v>1</x:v>
      </x:c>
      <x:c r="O24" s="25" t="n">
        <x:f>--(E24=I24)</x:f>
        <x:v>1</x:v>
      </x:c>
      <x:c r="P24" s="25" t="n">
        <x:f>--(E24=L24)</x:f>
        <x:v>1</x:v>
      </x:c>
      <x:c r="Q24" s="25" t="str"/>
      <x:c r="R24" s="25" t="str"/>
      <x:c r="S24" s="28" t="n">
        <x:v>1</x:v>
      </x:c>
      <x:c r="T24" s="25" t="str">
        <x:v>TRUE_BLANK</x:v>
      </x:c>
      <x:c r="U24" s="25" t="str">
        <x:v>LOW</x:v>
      </x:c>
      <x:c r="V24" s="25" t="str">
        <x:v>exact/strong</x:v>
      </x:c>
      <x:c r="W24" s="25" t="str"/>
      <x:c r="X24" s="25" t="str"/>
      <x:c r="Y24" s="25" t="str">
        <x:v>/Users/lihd/discovery/paleomagnetic-r3-workflow/dist/paleomagnetic-r357-calibrated-workflow-full/data/parsed_mds/3434.txt</x:v>
      </x:c>
      <x:c r="Z24" s="22" t="b">
        <x:v>1</x:v>
      </x:c>
      <x:c r="AA24" s="15" t="n">
        <x:f>--(F24=E24)</x:f>
        <x:v>1</x:v>
      </x:c>
    </x:row>
    <x:row r="25" ht="54" customHeight="1">
      <x:c r="A25" s="15" t="str">
        <x:v>3434</x:v>
      </x:c>
      <x:c r="B25" s="15" t="str">
        <x:v>8738</x:v>
      </x:c>
      <x:c r="C25" s="25" t="str">
        <x:v>Paradise Creek Formation</x:v>
      </x:c>
      <x:c r="D25" s="25" t="str"/>
      <x:c r="E25" s="25" t="n">
        <x:v>0</x:v>
      </x:c>
      <x:c r="F25" s="25" t="n">
        <x:f>--(LEN(D25)&gt;0)</x:f>
        <x:v>0</x:v>
      </x:c>
      <x:c r="G25" s="25" t="str">
        <x:v>ABSTAIN_INSUFFICIENT</x:v>
      </x:c>
      <x:c r="H25" s="25" t="str"/>
      <x:c r="I25" s="25" t="n">
        <x:v>0</x:v>
      </x:c>
      <x:c r="J25" s="25" t="str">
        <x:v>PRESENT</x:v>
      </x:c>
      <x:c r="K25" s="25" t="str">
        <x:v>IRM,SUSC-T</x:v>
      </x:c>
      <x:c r="L25" s="25" t="n">
        <x:v>1</x:v>
      </x:c>
      <x:c r="M25" s="25" t="n">
        <x:f>--(F25=--(LEN(H25)&gt;0))</x:f>
        <x:v>1</x:v>
      </x:c>
      <x:c r="N25" s="25" t="n">
        <x:f>--(F25=--(LEN(K25)&gt;0))</x:f>
        <x:v>0</x:v>
      </x:c>
      <x:c r="O25" s="25" t="n">
        <x:f>--(E25=I25)</x:f>
        <x:v>1</x:v>
      </x:c>
      <x:c r="P25" s="25" t="n">
        <x:f>--(E25=L25)</x:f>
        <x:v>0</x:v>
      </x:c>
      <x:c r="Q25" s="25" t="str"/>
      <x:c r="R25" s="25" t="str"/>
      <x:c r="S25" s="28" t="n">
        <x:v>0</x:v>
      </x:c>
      <x:c r="T25" s="25" t="str">
        <x:v>PREDICTED_FIELD_OR_GOLD_OMISSION</x:v>
      </x:c>
      <x:c r="U25" s="25" t="str">
        <x:v>MEDIUM</x:v>
      </x:c>
      <x:c r="V25" s="25" t="str">
        <x:v>exact/strong</x:v>
      </x:c>
      <x:c r="W25" s="25" t="str">
        <x:v>5</x:v>
      </x:c>
      <x:c r="X25" s="25" t="str">
        <x:v>IRM | yielding a total volcanics of a mineral with a Curie temperature of ≤580°C | coercivity</x:v>
      </x:c>
      <x:c r="Y25" s="25" t="str">
        <x:v>/Users/lihd/discovery/paleomagnetic-r3-workflow/dist/paleomagnetic-r357-calibrated-workflow-full/data/parsed_mds/3434.txt</x:v>
      </x:c>
      <x:c r="Z25" s="22" t="b">
        <x:v>0</x:v>
      </x:c>
      <x:c r="AA25" s="15" t="n">
        <x:f>--(F25=E25)</x:f>
        <x:v>1</x:v>
      </x:c>
    </x:row>
    <x:row r="26" ht="54" customHeight="1">
      <x:c r="A26" s="15" t="str">
        <x:v>3434</x:v>
      </x:c>
      <x:c r="B26" s="15" t="str">
        <x:v>8739</x:v>
      </x:c>
      <x:c r="C26" s="25" t="str">
        <x:v>Esperanza Formation</x:v>
      </x:c>
      <x:c r="D26" s="25" t="str"/>
      <x:c r="E26" s="25" t="n">
        <x:v>0</x:v>
      </x:c>
      <x:c r="F26" s="25" t="n">
        <x:f>--(LEN(D26)&gt;0)</x:f>
        <x:v>0</x:v>
      </x:c>
      <x:c r="G26" s="25" t="str">
        <x:v>ABSENT</x:v>
      </x:c>
      <x:c r="H26" s="25" t="str"/>
      <x:c r="I26" s="25" t="n">
        <x:v>0</x:v>
      </x:c>
      <x:c r="J26" s="25" t="str">
        <x:v>PRESENT</x:v>
      </x:c>
      <x:c r="K26" s="25" t="str">
        <x:v>IRM,SUSC-T</x:v>
      </x:c>
      <x:c r="L26" s="25" t="n">
        <x:v>1</x:v>
      </x:c>
      <x:c r="M26" s="25" t="n">
        <x:f>--(F26=--(LEN(H26)&gt;0))</x:f>
        <x:v>1</x:v>
      </x:c>
      <x:c r="N26" s="25" t="n">
        <x:f>--(F26=--(LEN(K26)&gt;0))</x:f>
        <x:v>0</x:v>
      </x:c>
      <x:c r="O26" s="25" t="n">
        <x:f>--(E26=I26)</x:f>
        <x:v>1</x:v>
      </x:c>
      <x:c r="P26" s="25" t="n">
        <x:f>--(E26=L26)</x:f>
        <x:v>0</x:v>
      </x:c>
      <x:c r="Q26" s="25" t="str"/>
      <x:c r="R26" s="25" t="str"/>
      <x:c r="S26" s="28" t="n">
        <x:v>0</x:v>
      </x:c>
      <x:c r="T26" s="25" t="str">
        <x:v>PREDICTED_FIELD_OR_GOLD_OMISSION</x:v>
      </x:c>
      <x:c r="U26" s="25" t="str">
        <x:v>MEDIUM</x:v>
      </x:c>
      <x:c r="V26" s="25" t="str">
        <x:v>exact/strong</x:v>
      </x:c>
      <x:c r="W26" s="25" t="str">
        <x:v>5</x:v>
      </x:c>
      <x:c r="X26" s="25" t="str">
        <x:v>IRM | yielding a total volcanics of a mineral with a Curie temperature of ≤580°C | coercivity</x:v>
      </x:c>
      <x:c r="Y26" s="25" t="str">
        <x:v>/Users/lihd/discovery/paleomagnetic-r3-workflow/dist/paleomagnetic-r357-calibrated-workflow-full/data/parsed_mds/3434.txt</x:v>
      </x:c>
      <x:c r="Z26" s="22" t="b">
        <x:v>0</x:v>
      </x:c>
      <x:c r="AA26" s="15" t="n">
        <x:f>--(F26=E26)</x:f>
        <x:v>1</x:v>
      </x:c>
    </x:row>
    <x:row r="27" ht="54" customHeight="1">
      <x:c r="A27" s="15" t="str">
        <x:v>3434</x:v>
      </x:c>
      <x:c r="B27" s="15" t="str">
        <x:v>8740</x:v>
      </x:c>
      <x:c r="C27" s="25" t="str">
        <x:v>Lawn Hill Formation</x:v>
      </x:c>
      <x:c r="D27" s="25" t="str"/>
      <x:c r="E27" s="25" t="n">
        <x:v>0</x:v>
      </x:c>
      <x:c r="F27" s="25" t="n">
        <x:f>--(LEN(D27)&gt;0)</x:f>
        <x:v>0</x:v>
      </x:c>
      <x:c r="G27" s="25" t="str">
        <x:v>ABSENT</x:v>
      </x:c>
      <x:c r="H27" s="25" t="str"/>
      <x:c r="I27" s="25" t="n">
        <x:v>0</x:v>
      </x:c>
      <x:c r="J27" s="25" t="str">
        <x:v>PRESENT</x:v>
      </x:c>
      <x:c r="K27" s="25" t="str">
        <x:v>IRM,SUSC-T</x:v>
      </x:c>
      <x:c r="L27" s="25" t="n">
        <x:v>1</x:v>
      </x:c>
      <x:c r="M27" s="25" t="n">
        <x:f>--(F27=--(LEN(H27)&gt;0))</x:f>
        <x:v>1</x:v>
      </x:c>
      <x:c r="N27" s="25" t="n">
        <x:f>--(F27=--(LEN(K27)&gt;0))</x:f>
        <x:v>0</x:v>
      </x:c>
      <x:c r="O27" s="25" t="n">
        <x:f>--(E27=I27)</x:f>
        <x:v>1</x:v>
      </x:c>
      <x:c r="P27" s="25" t="n">
        <x:f>--(E27=L27)</x:f>
        <x:v>0</x:v>
      </x:c>
      <x:c r="Q27" s="25" t="str"/>
      <x:c r="R27" s="25" t="str"/>
      <x:c r="S27" s="28" t="n">
        <x:v>0</x:v>
      </x:c>
      <x:c r="T27" s="25" t="str">
        <x:v>PREDICTED_FIELD_OR_GOLD_OMISSION</x:v>
      </x:c>
      <x:c r="U27" s="25" t="str">
        <x:v>MEDIUM</x:v>
      </x:c>
      <x:c r="V27" s="25" t="str">
        <x:v>exact/strong</x:v>
      </x:c>
      <x:c r="W27" s="25" t="str">
        <x:v>5</x:v>
      </x:c>
      <x:c r="X27" s="25" t="str">
        <x:v>Normally two or more specimens were demagnetised per sample.Both thermomagnetic analysis (Figure 3a) and RESULTS remanence intensity behaviour during thermal demag- Four formations were sampled in the McArthur Basin and netisation (Figure 3b) indicated the presence in the nine formations in the Lawn Hill Platform,yielding a total volcanics of a mineral with a Curie temperature of ≤580°C, 9002 yraurbeF 21 80:01 :tA ]ailartsuA nretseW fO ytisrevinU[ :yB dedaolnwoD | IRM | Normally two or more specimens were demagnetised per sample.Both thermomagnetic analysis (Figure 3a) and RESULTS remanence intensity behaviour during thermal demag- Four formations were sampled in the McArthur Basin and netisation (Figure 3b) indicated the presence in the nine formations in the Lawn Hill Platform,yielding a total volcanics of a mineral with a Curie temperature of ≤580°C, 9002 yraurbeF 21 80:01 :tA ]ailartsuA nretseW fO ytisrevinU[ :yB dedaolnwoD</x:v>
      </x:c>
      <x:c r="Y27" s="25" t="str">
        <x:v>/Users/lihd/discovery/paleomagnetic-r3-workflow/dist/paleomagnetic-r357-calibrated-workflow-full/data/parsed_mds/3434.txt</x:v>
      </x:c>
      <x:c r="Z27" s="22" t="b">
        <x:v>0</x:v>
      </x:c>
      <x:c r="AA27" s="15" t="n">
        <x:f>--(F27=E27)</x:f>
        <x:v>1</x:v>
      </x:c>
    </x:row>
    <x:row r="28" ht="54" customHeight="1">
      <x:c r="A28" s="15" t="str">
        <x:v>3765</x:v>
      </x:c>
      <x:c r="B28" s="15" t="str">
        <x:v>9400</x:v>
      </x:c>
      <x:c r="C28" s="25" t="str">
        <x:v>Allanbridge Formation</x:v>
      </x:c>
      <x:c r="D28" s="25" t="str">
        <x:v>IRM(MAGN)</x:v>
      </x:c>
      <x:c r="E28" s="25" t="n">
        <x:v>1</x:v>
      </x:c>
      <x:c r="F28" s="25" t="n">
        <x:f>--(LEN(D28)&gt;0)</x:f>
        <x:v>1</x:v>
      </x:c>
      <x:c r="G28" s="25" t="str">
        <x:v>ABSTAIN_ANCHOR</x:v>
      </x:c>
      <x:c r="H28" s="25" t="str"/>
      <x:c r="I28" s="25" t="n">
        <x:v>0</x:v>
      </x:c>
      <x:c r="J28" s="25" t="str">
        <x:v>ABSTAIN_ANCHOR</x:v>
      </x:c>
      <x:c r="K28" s="25" t="str"/>
      <x:c r="L28" s="25" t="n">
        <x:v>0</x:v>
      </x:c>
      <x:c r="M28" s="25" t="n">
        <x:f>--(F28=--(LEN(H28)&gt;0))</x:f>
        <x:v>0</x:v>
      </x:c>
      <x:c r="N28" s="25" t="n">
        <x:f>--(F28=--(LEN(K28)&gt;0))</x:f>
        <x:v>0</x:v>
      </x:c>
      <x:c r="O28" s="25" t="n">
        <x:f>--(E28=I28)</x:f>
        <x:v>0</x:v>
      </x:c>
      <x:c r="P28" s="25" t="n">
        <x:f>--(E28=L28)</x:f>
        <x:v>0</x:v>
      </x:c>
      <x:c r="Q28" s="25" t="str"/>
      <x:c r="R28" s="25" t="str"/>
      <x:c r="S28" s="28" t="n">
        <x:v>0</x:v>
      </x:c>
      <x:c r="T28" s="25" t="str">
        <x:v>TARGET_ANCHOR_OR_OCR</x:v>
      </x:c>
      <x:c r="U28" s="25" t="str">
        <x:v>LOW</x:v>
      </x:c>
      <x:c r="V28" s="25" t="str">
        <x:v>missing/missing</x:v>
      </x:c>
      <x:c r="W28" s="25" t="str"/>
      <x:c r="X28" s="25" t="str"/>
      <x:c r="Y28" s="25" t="str">
        <x:v>/Users/lihd/discovery/paleomagnetic-r3-workflow/dist/paleomagnetic-r357-calibrated-workflow-full/data/parsed_mds/3765.txt</x:v>
      </x:c>
      <x:c r="Z28" s="22" t="b">
        <x:v>0</x:v>
      </x:c>
      <x:c r="AA28" s="15" t="n">
        <x:f>--(F28=E28)</x:f>
        <x:v>1</x:v>
      </x:c>
    </x:row>
    <x:row r="29" ht="54" customHeight="1">
      <x:c r="A29" s="15" t="str">
        <x:v>3765</x:v>
      </x:c>
      <x:c r="B29" s="15" t="str">
        <x:v>10019</x:v>
      </x:c>
      <x:c r="C29" s="25" t="str">
        <x:v>Westonaria Basalts</x:v>
      </x:c>
      <x:c r="D29" s="25" t="str"/>
      <x:c r="E29" s="25" t="n">
        <x:v>0</x:v>
      </x:c>
      <x:c r="F29" s="25" t="n">
        <x:f>--(LEN(D29)&gt;0)</x:f>
        <x:v>0</x:v>
      </x:c>
      <x:c r="G29" s="25" t="str">
        <x:v>ABSENT</x:v>
      </x:c>
      <x:c r="H29" s="25" t="str"/>
      <x:c r="I29" s="25" t="n">
        <x:v>0</x:v>
      </x:c>
      <x:c r="J29" s="25" t="str">
        <x:v>ABSTAIN_INSUFFICIENT</x:v>
      </x:c>
      <x:c r="K29" s="25" t="str"/>
      <x:c r="L29" s="25" t="n">
        <x:v>0</x:v>
      </x:c>
      <x:c r="M29" s="25" t="n">
        <x:f>--(F29=--(LEN(H29)&gt;0))</x:f>
        <x:v>1</x:v>
      </x:c>
      <x:c r="N29" s="25" t="n">
        <x:f>--(F29=--(LEN(K29)&gt;0))</x:f>
        <x:v>1</x:v>
      </x:c>
      <x:c r="O29" s="25" t="n">
        <x:f>--(E29=I29)</x:f>
        <x:v>1</x:v>
      </x:c>
      <x:c r="P29" s="25" t="n">
        <x:f>--(E29=L29)</x:f>
        <x:v>1</x:v>
      </x:c>
      <x:c r="Q29" s="25" t="str"/>
      <x:c r="R29" s="25" t="str"/>
      <x:c r="S29" s="28" t="n">
        <x:v>1</x:v>
      </x:c>
      <x:c r="T29" s="25" t="str">
        <x:v>TRUE_BLANK</x:v>
      </x:c>
      <x:c r="U29" s="25" t="str">
        <x:v>LOW</x:v>
      </x:c>
      <x:c r="V29" s="25" t="str">
        <x:v>token/moderate</x:v>
      </x:c>
      <x:c r="W29" s="25" t="str"/>
      <x:c r="X29" s="25" t="str"/>
      <x:c r="Y29" s="25" t="str">
        <x:v>/Users/lihd/discovery/paleomagnetic-r3-workflow/dist/paleomagnetic-r357-calibrated-workflow-full/data/parsed_mds/3765.txt</x:v>
      </x:c>
      <x:c r="Z29" s="22" t="b">
        <x:v>0</x:v>
      </x:c>
      <x:c r="AA29" s="15" t="n">
        <x:f>--(F29=E29)</x:f>
        <x:v>1</x:v>
      </x:c>
    </x:row>
    <x:row r="30" ht="54" customHeight="1">
      <x:c r="A30" s="15" t="str">
        <x:v>3774</x:v>
      </x:c>
      <x:c r="B30" s="15" t="str">
        <x:v>9410</x:v>
      </x:c>
      <x:c r="C30" s="25" t="str">
        <x:v>Modipe Gabbro</x:v>
      </x:c>
      <x:c r="D30" s="25" t="str"/>
      <x:c r="E30" s="25" t="n">
        <x:v>0</x:v>
      </x:c>
      <x:c r="F30" s="25" t="n">
        <x:f>--(LEN(D30)&gt;0)</x:f>
        <x:v>0</x:v>
      </x:c>
      <x:c r="G30" s="25" t="str">
        <x:v>ABSTAIN_IDENTITY</x:v>
      </x:c>
      <x:c r="H30" s="25" t="str"/>
      <x:c r="I30" s="25" t="n">
        <x:v>0</x:v>
      </x:c>
      <x:c r="J30" s="25" t="str">
        <x:v>ABSTAIN_IDENTITY</x:v>
      </x:c>
      <x:c r="K30" s="25" t="str"/>
      <x:c r="L30" s="25" t="n">
        <x:v>0</x:v>
      </x:c>
      <x:c r="M30" s="25" t="n">
        <x:f>--(F30=--(LEN(H30)&gt;0))</x:f>
        <x:v>1</x:v>
      </x:c>
      <x:c r="N30" s="25" t="n">
        <x:f>--(F30=--(LEN(K30)&gt;0))</x:f>
        <x:v>1</x:v>
      </x:c>
      <x:c r="O30" s="25" t="n">
        <x:f>--(E30=I30)</x:f>
        <x:v>1</x:v>
      </x:c>
      <x:c r="P30" s="25" t="n">
        <x:f>--(E30=L30)</x:f>
        <x:v>1</x:v>
      </x:c>
      <x:c r="Q30" s="25" t="str"/>
      <x:c r="R30" s="25" t="str"/>
      <x:c r="S30" s="28" t="n">
        <x:v>1</x:v>
      </x:c>
      <x:c r="T30" s="25" t="str">
        <x:v>TRUE_BLANK</x:v>
      </x:c>
      <x:c r="U30" s="25" t="str">
        <x:v>LOW</x:v>
      </x:c>
      <x:c r="V30" s="25" t="str">
        <x:v>exact/strong</x:v>
      </x:c>
      <x:c r="W30" s="25" t="str">
        <x:v>3, 8, 1, 4</x:v>
      </x:c>
      <x:c r="X30" s="25" t="str">
        <x:v>hysteresis | Hysteresis | FORC</x:v>
      </x:c>
      <x:c r="Y30" s="25" t="str">
        <x:v>/Users/lihd/discovery/paleomagnetic-r3-workflow/dist/paleomagnetic-r357-calibrated-workflow-full/data/parsed_mds/3774.txt</x:v>
      </x:c>
      <x:c r="Z30" s="22" t="b">
        <x:v>1</x:v>
      </x:c>
      <x:c r="AA30" s="15" t="n">
        <x:f>--(F30=E30)</x:f>
        <x:v>1</x:v>
      </x:c>
    </x:row>
    <x:row r="31" ht="54" customHeight="1">
      <x:c r="A31" s="15" t="str">
        <x:v>3774</x:v>
      </x:c>
      <x:c r="B31" s="15" t="str">
        <x:v>9411</x:v>
      </x:c>
      <x:c r="C31" s="25" t="str">
        <x:v>Modipe Gabbro</x:v>
      </x:c>
      <x:c r="D31" s="25" t="str">
        <x:v>IRM(sat.0.3T),OP(fine MAGN - see REFNO 605),Hc(45mT)</x:v>
      </x:c>
      <x:c r="E31" s="25" t="n">
        <x:v>1</x:v>
      </x:c>
      <x:c r="F31" s="25" t="n">
        <x:f>--(LEN(D31)&gt;0)</x:f>
        <x:v>1</x:v>
      </x:c>
      <x:c r="G31" s="25" t="str">
        <x:v>ABSTAIN_IDENTITY</x:v>
      </x:c>
      <x:c r="H31" s="25" t="str"/>
      <x:c r="I31" s="25" t="n">
        <x:v>0</x:v>
      </x:c>
      <x:c r="J31" s="25" t="str">
        <x:v>ABSTAIN_IDENTITY</x:v>
      </x:c>
      <x:c r="K31" s="25" t="str"/>
      <x:c r="L31" s="25" t="n">
        <x:v>0</x:v>
      </x:c>
      <x:c r="M31" s="25" t="n">
        <x:f>--(F31=--(LEN(H31)&gt;0))</x:f>
        <x:v>0</x:v>
      </x:c>
      <x:c r="N31" s="25" t="n">
        <x:f>--(F31=--(LEN(K31)&gt;0))</x:f>
        <x:v>0</x:v>
      </x:c>
      <x:c r="O31" s="25" t="n">
        <x:f>--(E31=I31)</x:f>
        <x:v>0</x:v>
      </x:c>
      <x:c r="P31" s="25" t="n">
        <x:f>--(E31=L31)</x:f>
        <x:v>0</x:v>
      </x:c>
      <x:c r="Q31" s="25" t="str"/>
      <x:c r="R31" s="25" t="str"/>
      <x:c r="S31" s="28" t="n">
        <x:v>0</x:v>
      </x:c>
      <x:c r="T31" s="25" t="str">
        <x:v>IDENTITY_GRANULARITY</x:v>
      </x:c>
      <x:c r="U31" s="25" t="str">
        <x:v>LOW</x:v>
      </x:c>
      <x:c r="V31" s="25" t="str">
        <x:v>exact/strong</x:v>
      </x:c>
      <x:c r="W31" s="25" t="str">
        <x:v>3, 8, 1, 4</x:v>
      </x:c>
      <x:c r="X31" s="25" t="str">
        <x:v>hysteresis | Hysteresis | FORC</x:v>
      </x:c>
      <x:c r="Y31" s="25" t="str">
        <x:v>/Users/lihd/discovery/paleomagnetic-r3-workflow/dist/paleomagnetic-r357-calibrated-workflow-full/data/parsed_mds/3774.txt</x:v>
      </x:c>
      <x:c r="Z31" s="22" t="b">
        <x:v>1</x:v>
      </x:c>
      <x:c r="AA31" s="15" t="n">
        <x:f>--(F31=E31)</x:f>
        <x:v>1</x:v>
      </x:c>
    </x:row>
    <x:row r="32" ht="54" customHeight="1">
      <x:c r="A32" s="15" t="str">
        <x:v>3792</x:v>
      </x:c>
      <x:c r="B32" s="15" t="str">
        <x:v>9430</x:v>
      </x:c>
      <x:c r="C32" s="25" t="str">
        <x:v>Y1 Dyke</x:v>
      </x:c>
      <x:c r="D32" s="25" t="str">
        <x:v>SUSC-T(MAGN)</x:v>
      </x:c>
      <x:c r="E32" s="25" t="n">
        <x:v>1</x:v>
      </x:c>
      <x:c r="F32" s="25" t="n">
        <x:f>--(LEN(D32)&gt;0)</x:f>
        <x:v>1</x:v>
      </x:c>
      <x:c r="G32" s="25" t="str">
        <x:v>ABSTAIN_ANCHOR</x:v>
      </x:c>
      <x:c r="H32" s="25" t="str"/>
      <x:c r="I32" s="25" t="n">
        <x:v>0</x:v>
      </x:c>
      <x:c r="J32" s="25" t="str">
        <x:v>ABSTAIN_ANCHOR</x:v>
      </x:c>
      <x:c r="K32" s="25" t="str"/>
      <x:c r="L32" s="25" t="n">
        <x:v>0</x:v>
      </x:c>
      <x:c r="M32" s="25" t="n">
        <x:f>--(F32=--(LEN(H32)&gt;0))</x:f>
        <x:v>0</x:v>
      </x:c>
      <x:c r="N32" s="25" t="n">
        <x:f>--(F32=--(LEN(K32)&gt;0))</x:f>
        <x:v>0</x:v>
      </x:c>
      <x:c r="O32" s="25" t="n">
        <x:f>--(E32=I32)</x:f>
        <x:v>0</x:v>
      </x:c>
      <x:c r="P32" s="25" t="n">
        <x:f>--(E32=L32)</x:f>
        <x:v>0</x:v>
      </x:c>
      <x:c r="Q32" s="25" t="str"/>
      <x:c r="R32" s="25" t="str"/>
      <x:c r="S32" s="28" t="n">
        <x:v>0</x:v>
      </x:c>
      <x:c r="T32" s="25" t="str">
        <x:v>TARGET_ANCHOR_OR_OCR</x:v>
      </x:c>
      <x:c r="U32" s="25" t="str">
        <x:v>LOW</x:v>
      </x:c>
      <x:c r="V32" s="25" t="str">
        <x:v>generic_only/weak</x:v>
      </x:c>
      <x:c r="W32" s="25" t="str"/>
      <x:c r="X32" s="25" t="str"/>
      <x:c r="Y32" s="25" t="str">
        <x:v>/Users/lihd/discovery/paleomagnetic-r3-workflow/dist/paleomagnetic-r357-calibrated-workflow-full/data/parsed_mds/3792.txt</x:v>
      </x:c>
      <x:c r="Z32" s="22" t="b">
        <x:v>0</x:v>
      </x:c>
      <x:c r="AA32" s="15" t="n">
        <x:f>--(F32=E32)</x:f>
        <x:v>1</x:v>
      </x:c>
    </x:row>
    <x:row r="33" ht="54" customHeight="1">
      <x:c r="A33" s="15" t="str">
        <x:v>3792</x:v>
      </x:c>
      <x:c r="B33" s="15" t="str">
        <x:v>9431</x:v>
      </x:c>
      <x:c r="C33" s="25" t="str">
        <x:v>Y2 Dyke</x:v>
      </x:c>
      <x:c r="D33" s="25" t="str">
        <x:v>SUSC-T(MAGN)</x:v>
      </x:c>
      <x:c r="E33" s="25" t="n">
        <x:v>1</x:v>
      </x:c>
      <x:c r="F33" s="25" t="n">
        <x:f>--(LEN(D33)&gt;0)</x:f>
        <x:v>1</x:v>
      </x:c>
      <x:c r="G33" s="25" t="str">
        <x:v>ABSTAIN_ANCHOR</x:v>
      </x:c>
      <x:c r="H33" s="25" t="str"/>
      <x:c r="I33" s="25" t="n">
        <x:v>0</x:v>
      </x:c>
      <x:c r="J33" s="25" t="str">
        <x:v>ABSTAIN_ANCHOR</x:v>
      </x:c>
      <x:c r="K33" s="25" t="str"/>
      <x:c r="L33" s="25" t="n">
        <x:v>0</x:v>
      </x:c>
      <x:c r="M33" s="25" t="n">
        <x:f>--(F33=--(LEN(H33)&gt;0))</x:f>
        <x:v>0</x:v>
      </x:c>
      <x:c r="N33" s="25" t="n">
        <x:f>--(F33=--(LEN(K33)&gt;0))</x:f>
        <x:v>0</x:v>
      </x:c>
      <x:c r="O33" s="25" t="n">
        <x:f>--(E33=I33)</x:f>
        <x:v>0</x:v>
      </x:c>
      <x:c r="P33" s="25" t="n">
        <x:f>--(E33=L33)</x:f>
        <x:v>0</x:v>
      </x:c>
      <x:c r="Q33" s="25" t="str"/>
      <x:c r="R33" s="25" t="str"/>
      <x:c r="S33" s="28" t="n">
        <x:v>0</x:v>
      </x:c>
      <x:c r="T33" s="25" t="str">
        <x:v>TARGET_ANCHOR_OR_OCR</x:v>
      </x:c>
      <x:c r="U33" s="25" t="str">
        <x:v>LOW</x:v>
      </x:c>
      <x:c r="V33" s="25" t="str">
        <x:v>generic_only/weak</x:v>
      </x:c>
      <x:c r="W33" s="25" t="str"/>
      <x:c r="X33" s="25" t="str"/>
      <x:c r="Y33" s="25" t="str">
        <x:v>/Users/lihd/discovery/paleomagnetic-r3-workflow/dist/paleomagnetic-r357-calibrated-workflow-full/data/parsed_mds/3792.txt</x:v>
      </x:c>
      <x:c r="Z33" s="22" t="b">
        <x:v>0</x:v>
      </x:c>
      <x:c r="AA33" s="15" t="n">
        <x:f>--(F33=E33)</x:f>
        <x:v>1</x:v>
      </x:c>
    </x:row>
    <x:row r="34" ht="54" customHeight="1">
      <x:c r="A34" s="15" t="str">
        <x:v>3792</x:v>
      </x:c>
      <x:c r="B34" s="15" t="str">
        <x:v>9432</x:v>
      </x:c>
      <x:c r="C34" s="25" t="str">
        <x:v>Falun Dyke</x:v>
      </x:c>
      <x:c r="D34" s="25" t="str">
        <x:v>SUSC-T(MAGN)</x:v>
      </x:c>
      <x:c r="E34" s="25" t="n">
        <x:v>1</x:v>
      </x:c>
      <x:c r="F34" s="25" t="n">
        <x:f>--(LEN(D34)&gt;0)</x:f>
        <x:v>1</x:v>
      </x:c>
      <x:c r="G34" s="25" t="str">
        <x:v>ABSTAIN_INSUFFICIENT</x:v>
      </x:c>
      <x:c r="H34" s="25" t="str"/>
      <x:c r="I34" s="25" t="n">
        <x:v>0</x:v>
      </x:c>
      <x:c r="J34" s="25" t="str">
        <x:v>ABSTAIN_INSUFFICIENT</x:v>
      </x:c>
      <x:c r="K34" s="25" t="str"/>
      <x:c r="L34" s="25" t="n">
        <x:v>0</x:v>
      </x:c>
      <x:c r="M34" s="25" t="n">
        <x:f>--(F34=--(LEN(H34)&gt;0))</x:f>
        <x:v>0</x:v>
      </x:c>
      <x:c r="N34" s="25" t="n">
        <x:f>--(F34=--(LEN(K34)&gt;0))</x:f>
        <x:v>0</x:v>
      </x:c>
      <x:c r="O34" s="25" t="n">
        <x:f>--(E34=I34)</x:f>
        <x:v>0</x:v>
      </x:c>
      <x:c r="P34" s="25" t="n">
        <x:f>--(E34=L34)</x:f>
        <x:v>0</x:v>
      </x:c>
      <x:c r="Q34" s="25" t="str"/>
      <x:c r="R34" s="25" t="str"/>
      <x:c r="S34" s="28" t="n">
        <x:v>0</x:v>
      </x:c>
      <x:c r="T34" s="25" t="str">
        <x:v>EVIDENCE_CHAIN_INCOMPLETE</x:v>
      </x:c>
      <x:c r="U34" s="25" t="str">
        <x:v>LOW</x:v>
      </x:c>
      <x:c r="V34" s="25" t="str">
        <x:v>exact/strong</x:v>
      </x:c>
      <x:c r="W34" s="25" t="str"/>
      <x:c r="X34" s="25" t="str"/>
      <x:c r="Y34" s="25" t="str">
        <x:v>/Users/lihd/discovery/paleomagnetic-r3-workflow/dist/paleomagnetic-r357-calibrated-workflow-full/data/parsed_mds/3792.txt</x:v>
      </x:c>
      <x:c r="Z34" s="22" t="b">
        <x:v>0</x:v>
      </x:c>
      <x:c r="AA34" s="15" t="n">
        <x:f>--(F34=E34)</x:f>
        <x:v>1</x:v>
      </x:c>
    </x:row>
    <x:row r="35" ht="54" customHeight="1">
      <x:c r="A35" s="15" t="str">
        <x:v>3792</x:v>
      </x:c>
      <x:c r="B35" s="15" t="str">
        <x:v>9433</x:v>
      </x:c>
      <x:c r="C35" s="25" t="str">
        <x:v>MEAN 946-935 Ma Swedish Dolerites</x:v>
      </x:c>
      <x:c r="D35" s="25" t="str"/>
      <x:c r="E35" s="25" t="n">
        <x:v>0</x:v>
      </x:c>
      <x:c r="F35" s="25" t="n">
        <x:f>--(LEN(D35)&gt;0)</x:f>
        <x:v>0</x:v>
      </x:c>
      <x:c r="G35" s="25" t="str">
        <x:v>ABSENT</x:v>
      </x:c>
      <x:c r="H35" s="25" t="str"/>
      <x:c r="I35" s="25" t="n">
        <x:v>0</x:v>
      </x:c>
      <x:c r="J35" s="25" t="str">
        <x:v>ABSTAIN_INSUFFICIENT</x:v>
      </x:c>
      <x:c r="K35" s="25" t="str"/>
      <x:c r="L35" s="25" t="n">
        <x:v>0</x:v>
      </x:c>
      <x:c r="M35" s="25" t="n">
        <x:f>--(F35=--(LEN(H35)&gt;0))</x:f>
        <x:v>1</x:v>
      </x:c>
      <x:c r="N35" s="25" t="n">
        <x:f>--(F35=--(LEN(K35)&gt;0))</x:f>
        <x:v>1</x:v>
      </x:c>
      <x:c r="O35" s="25" t="n">
        <x:f>--(E35=I35)</x:f>
        <x:v>1</x:v>
      </x:c>
      <x:c r="P35" s="25" t="n">
        <x:f>--(E35=L35)</x:f>
        <x:v>1</x:v>
      </x:c>
      <x:c r="Q35" s="25" t="str"/>
      <x:c r="R35" s="25" t="str"/>
      <x:c r="S35" s="28" t="n">
        <x:v>1</x:v>
      </x:c>
      <x:c r="T35" s="25" t="str">
        <x:v>TRUE_BLANK</x:v>
      </x:c>
      <x:c r="U35" s="25" t="str">
        <x:v>LOW</x:v>
      </x:c>
      <x:c r="V35" s="25" t="str">
        <x:v>token/strong</x:v>
      </x:c>
      <x:c r="W35" s="25" t="str"/>
      <x:c r="X35" s="25" t="str"/>
      <x:c r="Y35" s="25" t="str">
        <x:v>/Users/lihd/discovery/paleomagnetic-r3-workflow/dist/paleomagnetic-r357-calibrated-workflow-full/data/parsed_mds/3792.txt</x:v>
      </x:c>
      <x:c r="Z35" s="22" t="b">
        <x:v>0</x:v>
      </x:c>
      <x:c r="AA35" s="15" t="n">
        <x:f>--(F35=E35)</x:f>
        <x:v>1</x:v>
      </x:c>
    </x:row>
    <x:row r="36" ht="54" customHeight="1">
      <x:c r="A36" s="15" t="str">
        <x:v>3792</x:v>
      </x:c>
      <x:c r="B36" s="15" t="str">
        <x:v>9434</x:v>
      </x:c>
      <x:c r="C36" s="25" t="str">
        <x:v>Norrkoping Dykes</x:v>
      </x:c>
      <x:c r="D36" s="25" t="str">
        <x:v>SUSC-T(MAGN)</x:v>
      </x:c>
      <x:c r="E36" s="25" t="n">
        <x:v>1</x:v>
      </x:c>
      <x:c r="F36" s="25" t="n">
        <x:f>--(LEN(D36)&gt;0)</x:f>
        <x:v>1</x:v>
      </x:c>
      <x:c r="G36" s="25" t="str">
        <x:v>ABSENT</x:v>
      </x:c>
      <x:c r="H36" s="25" t="str"/>
      <x:c r="I36" s="25" t="n">
        <x:v>0</x:v>
      </x:c>
      <x:c r="J36" s="25" t="str">
        <x:v>ABSTAIN_INSUFFICIENT</x:v>
      </x:c>
      <x:c r="K36" s="25" t="str"/>
      <x:c r="L36" s="25" t="n">
        <x:v>0</x:v>
      </x:c>
      <x:c r="M36" s="25" t="n">
        <x:f>--(F36=--(LEN(H36)&gt;0))</x:f>
        <x:v>0</x:v>
      </x:c>
      <x:c r="N36" s="25" t="n">
        <x:f>--(F36=--(LEN(K36)&gt;0))</x:f>
        <x:v>0</x:v>
      </x:c>
      <x:c r="O36" s="25" t="n">
        <x:f>--(E36=I36)</x:f>
        <x:v>0</x:v>
      </x:c>
      <x:c r="P36" s="25" t="n">
        <x:f>--(E36=L36)</x:f>
        <x:v>0</x:v>
      </x:c>
      <x:c r="Q36" s="25" t="str"/>
      <x:c r="R36" s="25" t="str"/>
      <x:c r="S36" s="28" t="n">
        <x:v>0</x:v>
      </x:c>
      <x:c r="T36" s="25" t="str">
        <x:v>EVIDENCE_CHAIN_INCOMPLETE</x:v>
      </x:c>
      <x:c r="U36" s="25" t="str">
        <x:v>LOW</x:v>
      </x:c>
      <x:c r="V36" s="25" t="str">
        <x:v>exact/strong</x:v>
      </x:c>
      <x:c r="W36" s="25" t="str"/>
      <x:c r="X36" s="25" t="str"/>
      <x:c r="Y36" s="25" t="str">
        <x:v>/Users/lihd/discovery/paleomagnetic-r3-workflow/dist/paleomagnetic-r357-calibrated-workflow-full/data/parsed_mds/3792.txt</x:v>
      </x:c>
      <x:c r="Z36" s="22" t="b">
        <x:v>0</x:v>
      </x:c>
      <x:c r="AA36" s="15" t="n">
        <x:f>--(F36=E36)</x:f>
        <x:v>1</x:v>
      </x:c>
    </x:row>
    <x:row r="37" ht="54" customHeight="1">
      <x:c r="A37" s="15" t="str">
        <x:v>3792</x:v>
      </x:c>
      <x:c r="B37" s="15" t="str">
        <x:v>9435</x:v>
      </x:c>
      <x:c r="C37" s="25" t="str">
        <x:v>Rejmyre Dyke</x:v>
      </x:c>
      <x:c r="D37" s="25" t="str"/>
      <x:c r="E37" s="25" t="n">
        <x:v>0</x:v>
      </x:c>
      <x:c r="F37" s="25" t="n">
        <x:f>--(LEN(D37)&gt;0)</x:f>
        <x:v>0</x:v>
      </x:c>
      <x:c r="G37" s="25" t="str">
        <x:v>ABSENT</x:v>
      </x:c>
      <x:c r="H37" s="25" t="str"/>
      <x:c r="I37" s="25" t="n">
        <x:v>0</x:v>
      </x:c>
      <x:c r="J37" s="25" t="str">
        <x:v>ABSTAIN_INSUFFICIENT</x:v>
      </x:c>
      <x:c r="K37" s="25" t="str"/>
      <x:c r="L37" s="25" t="n">
        <x:v>0</x:v>
      </x:c>
      <x:c r="M37" s="25" t="n">
        <x:f>--(F37=--(LEN(H37)&gt;0))</x:f>
        <x:v>1</x:v>
      </x:c>
      <x:c r="N37" s="25" t="n">
        <x:f>--(F37=--(LEN(K37)&gt;0))</x:f>
        <x:v>1</x:v>
      </x:c>
      <x:c r="O37" s="25" t="n">
        <x:f>--(E37=I37)</x:f>
        <x:v>1</x:v>
      </x:c>
      <x:c r="P37" s="25" t="n">
        <x:f>--(E37=L37)</x:f>
        <x:v>1</x:v>
      </x:c>
      <x:c r="Q37" s="25" t="str"/>
      <x:c r="R37" s="25" t="str"/>
      <x:c r="S37" s="28" t="n">
        <x:v>1</x:v>
      </x:c>
      <x:c r="T37" s="25" t="str">
        <x:v>TRUE_BLANK</x:v>
      </x:c>
      <x:c r="U37" s="25" t="str">
        <x:v>LOW</x:v>
      </x:c>
      <x:c r="V37" s="25" t="str">
        <x:v>exact/strong</x:v>
      </x:c>
      <x:c r="W37" s="25" t="str"/>
      <x:c r="X37" s="25" t="str"/>
      <x:c r="Y37" s="25" t="str">
        <x:v>/Users/lihd/discovery/paleomagnetic-r3-workflow/dist/paleomagnetic-r357-calibrated-workflow-full/data/parsed_mds/3792.txt</x:v>
      </x:c>
      <x:c r="Z37" s="22" t="b">
        <x:v>0</x:v>
      </x:c>
      <x:c r="AA37" s="15" t="n">
        <x:f>--(F37=E37)</x:f>
        <x:v>1</x:v>
      </x:c>
    </x:row>
    <x:row r="38" ht="54" customHeight="1">
      <x:c r="A38" s="15" t="str">
        <x:v>4168</x:v>
      </x:c>
      <x:c r="B38" s="15" t="str">
        <x:v>10005</x:v>
      </x:c>
      <x:c r="C38" s="25" t="str">
        <x:v>Kopparnäs Dykes</x:v>
      </x:c>
      <x:c r="D38" s="25" t="str">
        <x:v>SUSC-T,3-axis Jrs-T, IRM (MAGN,TM)</x:v>
      </x:c>
      <x:c r="E38" s="25" t="n">
        <x:v>1</x:v>
      </x:c>
      <x:c r="F38" s="25" t="n">
        <x:f>--(LEN(D38)&gt;0)</x:f>
        <x:v>1</x:v>
      </x:c>
      <x:c r="G38" s="25" t="str">
        <x:v>ABSENT</x:v>
      </x:c>
      <x:c r="H38" s="25" t="str"/>
      <x:c r="I38" s="25" t="n">
        <x:v>0</x:v>
      </x:c>
      <x:c r="J38" s="25" t="str">
        <x:v>PRESENT</x:v>
      </x:c>
      <x:c r="K38" s="25" t="str">
        <x:v>IRM,SUSC-T,HYST,SEM,OP(TM,PYRR,ILM,MAGN)</x:v>
      </x:c>
      <x:c r="L38" s="25" t="n">
        <x:v>1</x:v>
      </x:c>
      <x:c r="M38" s="25" t="n">
        <x:f>--(F38=--(LEN(H38)&gt;0))</x:f>
        <x:v>0</x:v>
      </x:c>
      <x:c r="N38" s="25" t="n">
        <x:f>--(F38=--(LEN(K38)&gt;0))</x:f>
        <x:v>1</x:v>
      </x:c>
      <x:c r="O38" s="25" t="n">
        <x:f>--(E38=I38)</x:f>
        <x:v>0</x:v>
      </x:c>
      <x:c r="P38" s="25" t="n">
        <x:f>--(E38=L38)</x:f>
        <x:v>1</x:v>
      </x:c>
      <x:c r="Q38" s="25" t="str">
        <x:v>IRM, SUSC-T</x:v>
      </x:c>
      <x:c r="R38" s="25" t="str">
        <x:v>TM, MAGN</x:v>
      </x:c>
      <x:c r="S38" s="28" t="n">
        <x:v>0.4</x:v>
      </x:c>
      <x:c r="T38" s="25" t="str">
        <x:v>SEMANTIC_MATCH</x:v>
      </x:c>
      <x:c r="U38" s="25" t="str">
        <x:v>MEDIUM</x:v>
      </x:c>
      <x:c r="V38" s="25" t="str">
        <x:v>token/moderate</x:v>
      </x:c>
      <x:c r="W38" s="25" t="str">
        <x:v>6, 7, 5</x:v>
      </x:c>
      <x:c r="X38" s="25" t="str">
        <x:v>Salminen et al. P r e c a m b r i a n R e s e a r c h 365(2021)106406 (IRM) (Lowrie, 1990) and acquisition of IRM curves were carried out presence of titanomagnetite with variable Ti-content as exemplified with a Molspin pulse magnetizer (GTK) for Kopparna¨s samples. | SEM studies of the dykes SQUID magnetometer (UH, LTU) and for the Kopparna¨s dykes with a RF show the presence of titanomagnetite, ilmenite, pyrite and occasionally SQUID magnetometer (GTK) to isolate a characteristic remanent pyrrhotite (Fig. 3). | Kopparna¨s petrophysics, rock magnetism and SEM (a) Remanence – magnetic susceptibility plot (logarithmic scales) of the site mean values of the dykes.</x:v>
      </x:c>
      <x:c r="Y38" s="25" t="str">
        <x:v>/Users/lihd/discovery/paleomagnetic-r3-workflow/dist/paleomagnetic-r357-calibrated-workflow-full/data/parsed_mds/4168.txt</x:v>
      </x:c>
      <x:c r="Z38" s="22" t="b">
        <x:v>0</x:v>
      </x:c>
      <x:c r="AA38" s="15" t="n">
        <x:f>--(F38=E38)</x:f>
        <x:v>1</x:v>
      </x:c>
    </x:row>
    <x:row r="39" ht="54" customHeight="1">
      <x:c r="A39" s="15" t="str">
        <x:v>4168</x:v>
      </x:c>
      <x:c r="B39" s="15" t="str">
        <x:v>10006</x:v>
      </x:c>
      <x:c r="C39" s="25" t="str">
        <x:v>Ragunda Dykes, Group 2+host</x:v>
      </x:c>
      <x:c r="D39" s="25" t="str">
        <x:v>SUSC-T,3-axis Jrs-T, IRM (MAGN,TM)</x:v>
      </x:c>
      <x:c r="E39" s="25" t="n">
        <x:v>1</x:v>
      </x:c>
      <x:c r="F39" s="25" t="n">
        <x:f>--(LEN(D39)&gt;0)</x:f>
        <x:v>1</x:v>
      </x:c>
      <x:c r="G39" s="25" t="str">
        <x:v>ABSENT</x:v>
      </x:c>
      <x:c r="H39" s="25" t="str"/>
      <x:c r="I39" s="25" t="n">
        <x:v>0</x:v>
      </x:c>
      <x:c r="J39" s="25" t="str">
        <x:v>PRESENT</x:v>
      </x:c>
      <x:c r="K39" s="25" t="str">
        <x:v>IRM,SUSC-T,HYST(PYRR,MAGN,TM)</x:v>
      </x:c>
      <x:c r="L39" s="25" t="n">
        <x:v>1</x:v>
      </x:c>
      <x:c r="M39" s="25" t="n">
        <x:f>--(F39=--(LEN(H39)&gt;0))</x:f>
        <x:v>0</x:v>
      </x:c>
      <x:c r="N39" s="25" t="n">
        <x:f>--(F39=--(LEN(K39)&gt;0))</x:f>
        <x:v>1</x:v>
      </x:c>
      <x:c r="O39" s="25" t="n">
        <x:f>--(E39=I39)</x:f>
        <x:v>0</x:v>
      </x:c>
      <x:c r="P39" s="25" t="n">
        <x:f>--(E39=L39)</x:f>
        <x:v>1</x:v>
      </x:c>
      <x:c r="Q39" s="25" t="str">
        <x:v>IRM, SUSC-T</x:v>
      </x:c>
      <x:c r="R39" s="25" t="str">
        <x:v>TM, MAGN</x:v>
      </x:c>
      <x:c r="S39" s="28" t="n">
        <x:v>0.5714285714285714</x:v>
      </x:c>
      <x:c r="T39" s="25" t="str">
        <x:v>SEMANTIC_MATCH</x:v>
      </x:c>
      <x:c r="U39" s="25" t="str">
        <x:v>HIGH</x:v>
      </x:c>
      <x:c r="V39" s="25" t="str">
        <x:v>token/strong</x:v>
      </x:c>
      <x:c r="W39" s="25" t="str">
        <x:v>5, 6, 9</x:v>
      </x:c>
      <x:c r="X39" s="25" t="str">
        <x:v>Temperature dependence of low-field magnetic susceptibility | hysteresis | IRM</x:v>
      </x:c>
      <x:c r="Y39" s="25" t="str">
        <x:v>/Users/lihd/discovery/paleomagnetic-r3-workflow/dist/paleomagnetic-r357-calibrated-workflow-full/data/parsed_mds/4168.txt</x:v>
      </x:c>
      <x:c r="Z39" s="22" t="b">
        <x:v>0</x:v>
      </x:c>
      <x:c r="AA39" s="15" t="n">
        <x:f>--(F39=E39)</x:f>
        <x:v>1</x:v>
      </x:c>
    </x:row>
    <x:row r="40" ht="54" customHeight="1">
      <x:c r="A40" s="15" t="str">
        <x:v>4168</x:v>
      </x:c>
      <x:c r="B40" s="15" t="str">
        <x:v>10007</x:v>
      </x:c>
      <x:c r="C40" s="25" t="str">
        <x:v>Ragunda Dykes, Group 1</x:v>
      </x:c>
      <x:c r="D40" s="25" t="str">
        <x:v>SUSC-T,3-axis Jrs-T, IRM (MAGN,TM)</x:v>
      </x:c>
      <x:c r="E40" s="25" t="n">
        <x:v>1</x:v>
      </x:c>
      <x:c r="F40" s="25" t="n">
        <x:f>--(LEN(D40)&gt;0)</x:f>
        <x:v>1</x:v>
      </x:c>
      <x:c r="G40" s="25" t="str">
        <x:v>ABSENT</x:v>
      </x:c>
      <x:c r="H40" s="25" t="str"/>
      <x:c r="I40" s="25" t="n">
        <x:v>0</x:v>
      </x:c>
      <x:c r="J40" s="25" t="str">
        <x:v>ABSENT</x:v>
      </x:c>
      <x:c r="K40" s="25" t="str"/>
      <x:c r="L40" s="25" t="n">
        <x:v>0</x:v>
      </x:c>
      <x:c r="M40" s="25" t="n">
        <x:f>--(F40=--(LEN(H40)&gt;0))</x:f>
        <x:v>0</x:v>
      </x:c>
      <x:c r="N40" s="25" t="n">
        <x:f>--(F40=--(LEN(K40)&gt;0))</x:f>
        <x:v>0</x:v>
      </x:c>
      <x:c r="O40" s="25" t="n">
        <x:f>--(E40=I40)</x:f>
        <x:v>0</x:v>
      </x:c>
      <x:c r="P40" s="25" t="n">
        <x:f>--(E40=L40)</x:f>
        <x:v>0</x:v>
      </x:c>
      <x:c r="Q40" s="25" t="str"/>
      <x:c r="R40" s="25" t="str"/>
      <x:c r="S40" s="28" t="n">
        <x:v>0</x:v>
      </x:c>
      <x:c r="T40" s="25" t="str">
        <x:v>FIELD_FALSE_NEGATIVE</x:v>
      </x:c>
      <x:c r="U40" s="25" t="str">
        <x:v>LOW</x:v>
      </x:c>
      <x:c r="V40" s="25" t="str">
        <x:v>token/moderate</x:v>
      </x:c>
      <x:c r="W40" s="25" t="str"/>
      <x:c r="X40" s="25" t="str"/>
      <x:c r="Y40" s="25" t="str">
        <x:v>/Users/lihd/discovery/paleomagnetic-r3-workflow/dist/paleomagnetic-r357-calibrated-workflow-full/data/parsed_mds/4168.txt</x:v>
      </x:c>
      <x:c r="Z40" s="22" t="b">
        <x:v>0</x:v>
      </x:c>
      <x:c r="AA40" s="15" t="n">
        <x:f>--(F40=E40)</x:f>
        <x:v>1</x:v>
      </x:c>
    </x:row>
    <x:row r="41" ht="54" customHeight="1">
      <x:c r="A41" s="15" t="str">
        <x:v>4168</x:v>
      </x:c>
      <x:c r="B41" s="15" t="str">
        <x:v>10008</x:v>
      </x:c>
      <x:c r="C41" s="25" t="str">
        <x:v>Strömsbro Rapakivi Complex</x:v>
      </x:c>
      <x:c r="D41" s="25" t="str">
        <x:v>SUSC-T,3-axis Jrs-T, IRM (MAGN,TM)</x:v>
      </x:c>
      <x:c r="E41" s="25" t="n">
        <x:v>1</x:v>
      </x:c>
      <x:c r="F41" s="25" t="n">
        <x:f>--(LEN(D41)&gt;0)</x:f>
        <x:v>1</x:v>
      </x:c>
      <x:c r="G41" s="25" t="str">
        <x:v>ABSTAIN_ANCHOR</x:v>
      </x:c>
      <x:c r="H41" s="25" t="str"/>
      <x:c r="I41" s="25" t="n">
        <x:v>0</x:v>
      </x:c>
      <x:c r="J41" s="25" t="str">
        <x:v>ABSTAIN_ANCHOR</x:v>
      </x:c>
      <x:c r="K41" s="25" t="str"/>
      <x:c r="L41" s="25" t="n">
        <x:v>0</x:v>
      </x:c>
      <x:c r="M41" s="25" t="n">
        <x:f>--(F41=--(LEN(H41)&gt;0))</x:f>
        <x:v>0</x:v>
      </x:c>
      <x:c r="N41" s="25" t="n">
        <x:f>--(F41=--(LEN(K41)&gt;0))</x:f>
        <x:v>0</x:v>
      </x:c>
      <x:c r="O41" s="25" t="n">
        <x:f>--(E41=I41)</x:f>
        <x:v>0</x:v>
      </x:c>
      <x:c r="P41" s="25" t="n">
        <x:f>--(E41=L41)</x:f>
        <x:v>0</x:v>
      </x:c>
      <x:c r="Q41" s="25" t="str"/>
      <x:c r="R41" s="25" t="str"/>
      <x:c r="S41" s="28" t="n">
        <x:v>0</x:v>
      </x:c>
      <x:c r="T41" s="25" t="str">
        <x:v>TARGET_ANCHOR_OR_OCR</x:v>
      </x:c>
      <x:c r="U41" s="25" t="str">
        <x:v>LOW</x:v>
      </x:c>
      <x:c r="V41" s="25" t="str">
        <x:v>missing/missing</x:v>
      </x:c>
      <x:c r="W41" s="25" t="str"/>
      <x:c r="X41" s="25" t="str"/>
      <x:c r="Y41" s="25" t="str">
        <x:v>/Users/lihd/discovery/paleomagnetic-r3-workflow/dist/paleomagnetic-r357-calibrated-workflow-full/data/parsed_mds/4168.txt</x:v>
      </x:c>
      <x:c r="Z41" s="22" t="b">
        <x:v>0</x:v>
      </x:c>
      <x:c r="AA41" s="15" t="n">
        <x:f>--(F41=E41)</x:f>
        <x:v>1</x:v>
      </x:c>
    </x:row>
    <x:row r="42" ht="54" customHeight="1">
      <x:c r="A42" s="15" t="str">
        <x:v>4168</x:v>
      </x:c>
      <x:c r="B42" s="15" t="str">
        <x:v>10009</x:v>
      </x:c>
      <x:c r="C42" s="25" t="str">
        <x:v>Strömsbro Dykes</x:v>
      </x:c>
      <x:c r="D42" s="25" t="str">
        <x:v>SUSC-T,3-axis Jrs-T, IRM (MAGN,TM)</x:v>
      </x:c>
      <x:c r="E42" s="25" t="n">
        <x:v>0</x:v>
      </x:c>
      <x:c r="F42" s="25" t="n">
        <x:f>--(LEN(D42)&gt;0)</x:f>
        <x:v>1</x:v>
      </x:c>
      <x:c r="G42" s="25" t="str">
        <x:v>ABSTAIN_ANCHOR</x:v>
      </x:c>
      <x:c r="H42" s="25" t="str"/>
      <x:c r="I42" s="25" t="n">
        <x:v>0</x:v>
      </x:c>
      <x:c r="J42" s="25" t="str">
        <x:v>ABSTAIN_ANCHOR</x:v>
      </x:c>
      <x:c r="K42" s="25" t="str"/>
      <x:c r="L42" s="25" t="n">
        <x:v>0</x:v>
      </x:c>
      <x:c r="M42" s="25" t="n">
        <x:f>--(F42=--(LEN(H42)&gt;0))</x:f>
        <x:v>0</x:v>
      </x:c>
      <x:c r="N42" s="25" t="n">
        <x:f>--(F42=--(LEN(K42)&gt;0))</x:f>
        <x:v>0</x:v>
      </x:c>
      <x:c r="O42" s="25" t="n">
        <x:f>--(E42=I42)</x:f>
        <x:v>1</x:v>
      </x:c>
      <x:c r="P42" s="25" t="n">
        <x:f>--(E42=L42)</x:f>
        <x:v>1</x:v>
      </x:c>
      <x:c r="Q42" s="25" t="str"/>
      <x:c r="R42" s="25" t="str"/>
      <x:c r="S42" s="28" t="n">
        <x:v>0</x:v>
      </x:c>
      <x:c r="T42" s="25" t="str">
        <x:v>TARGET_ANCHOR_OR_OCR</x:v>
      </x:c>
      <x:c r="U42" s="25" t="str">
        <x:v>LOW</x:v>
      </x:c>
      <x:c r="V42" s="25" t="str">
        <x:v>missing/missing</x:v>
      </x:c>
      <x:c r="W42" s="25" t="str"/>
      <x:c r="X42" s="25" t="str"/>
      <x:c r="Y42" s="25" t="str">
        <x:v>/Users/lihd/discovery/paleomagnetic-r3-workflow/dist/paleomagnetic-r357-calibrated-workflow-full/data/parsed_mds/4168.txt</x:v>
      </x:c>
      <x:c r="Z42" s="22" t="b">
        <x:v>0</x:v>
      </x:c>
      <x:c r="AA42" s="15" t="n">
        <x:f>--(F42=E42)</x:f>
        <x:v>0</x:v>
      </x:c>
    </x:row>
    <x:row r="43" ht="54" customHeight="1">
      <x:c r="A43" s="15" t="str">
        <x:v>4168</x:v>
      </x:c>
      <x:c r="B43" s="15" t="str">
        <x:v>10010</x:v>
      </x:c>
      <x:c r="C43" s="25" t="str">
        <x:v>Rödö Rapakivi Complex</x:v>
      </x:c>
      <x:c r="D43" s="25" t="str">
        <x:v>SUSC-T,3-axis Jrs-T, IRM (MAGN,TM)</x:v>
      </x:c>
      <x:c r="E43" s="25" t="n">
        <x:v>1</x:v>
      </x:c>
      <x:c r="F43" s="25" t="n">
        <x:f>--(LEN(D43)&gt;0)</x:f>
        <x:v>1</x:v>
      </x:c>
      <x:c r="G43" s="25" t="str">
        <x:v>ABSTAIN_ANCHOR</x:v>
      </x:c>
      <x:c r="H43" s="25" t="str"/>
      <x:c r="I43" s="25" t="n">
        <x:v>0</x:v>
      </x:c>
      <x:c r="J43" s="25" t="str">
        <x:v>ABSTAIN_ANCHOR</x:v>
      </x:c>
      <x:c r="K43" s="25" t="str"/>
      <x:c r="L43" s="25" t="n">
        <x:v>0</x:v>
      </x:c>
      <x:c r="M43" s="25" t="n">
        <x:f>--(F43=--(LEN(H43)&gt;0))</x:f>
        <x:v>0</x:v>
      </x:c>
      <x:c r="N43" s="25" t="n">
        <x:f>--(F43=--(LEN(K43)&gt;0))</x:f>
        <x:v>0</x:v>
      </x:c>
      <x:c r="O43" s="25" t="n">
        <x:f>--(E43=I43)</x:f>
        <x:v>0</x:v>
      </x:c>
      <x:c r="P43" s="25" t="n">
        <x:f>--(E43=L43)</x:f>
        <x:v>0</x:v>
      </x:c>
      <x:c r="Q43" s="25" t="str"/>
      <x:c r="R43" s="25" t="str"/>
      <x:c r="S43" s="28" t="n">
        <x:v>0</x:v>
      </x:c>
      <x:c r="T43" s="25" t="str">
        <x:v>TARGET_ANCHOR_OR_OCR</x:v>
      </x:c>
      <x:c r="U43" s="25" t="str">
        <x:v>LOW</x:v>
      </x:c>
      <x:c r="V43" s="25" t="str">
        <x:v>missing/missing</x:v>
      </x:c>
      <x:c r="W43" s="25" t="str"/>
      <x:c r="X43" s="25" t="str"/>
      <x:c r="Y43" s="25" t="str">
        <x:v>/Users/lihd/discovery/paleomagnetic-r3-workflow/dist/paleomagnetic-r357-calibrated-workflow-full/data/parsed_mds/4168.txt</x:v>
      </x:c>
      <x:c r="Z43" s="22" t="b">
        <x:v>0</x:v>
      </x:c>
      <x:c r="AA43" s="15" t="n">
        <x:f>--(F43=E43)</x:f>
        <x:v>1</x:v>
      </x:c>
    </x:row>
    <x:row r="44" ht="54" customHeight="1">
      <x:c r="A44" s="15" t="str">
        <x:v>4168</x:v>
      </x:c>
      <x:c r="B44" s="15" t="str">
        <x:v>10011</x:v>
      </x:c>
      <x:c r="C44" s="25" t="str">
        <x:v>Rödö Dykes</x:v>
      </x:c>
      <x:c r="D44" s="25" t="str">
        <x:v>SUSC-T,3-axis Jrs-T, IRM (MAGN,TM)</x:v>
      </x:c>
      <x:c r="E44" s="25" t="n">
        <x:v>1</x:v>
      </x:c>
      <x:c r="F44" s="25" t="n">
        <x:f>--(LEN(D44)&gt;0)</x:f>
        <x:v>1</x:v>
      </x:c>
      <x:c r="G44" s="25" t="str">
        <x:v>ABSTAIN_ANCHOR</x:v>
      </x:c>
      <x:c r="H44" s="25" t="str"/>
      <x:c r="I44" s="25" t="n">
        <x:v>0</x:v>
      </x:c>
      <x:c r="J44" s="25" t="str">
        <x:v>ABSTAIN_ANCHOR</x:v>
      </x:c>
      <x:c r="K44" s="25" t="str"/>
      <x:c r="L44" s="25" t="n">
        <x:v>0</x:v>
      </x:c>
      <x:c r="M44" s="25" t="n">
        <x:f>--(F44=--(LEN(H44)&gt;0))</x:f>
        <x:v>0</x:v>
      </x:c>
      <x:c r="N44" s="25" t="n">
        <x:f>--(F44=--(LEN(K44)&gt;0))</x:f>
        <x:v>0</x:v>
      </x:c>
      <x:c r="O44" s="25" t="n">
        <x:f>--(E44=I44)</x:f>
        <x:v>0</x:v>
      </x:c>
      <x:c r="P44" s="25" t="n">
        <x:f>--(E44=L44)</x:f>
        <x:v>0</x:v>
      </x:c>
      <x:c r="Q44" s="25" t="str"/>
      <x:c r="R44" s="25" t="str"/>
      <x:c r="S44" s="28" t="n">
        <x:v>0</x:v>
      </x:c>
      <x:c r="T44" s="25" t="str">
        <x:v>TARGET_ANCHOR_OR_OCR</x:v>
      </x:c>
      <x:c r="U44" s="25" t="str">
        <x:v>LOW</x:v>
      </x:c>
      <x:c r="V44" s="25" t="str">
        <x:v>missing/missing</x:v>
      </x:c>
      <x:c r="W44" s="25" t="str"/>
      <x:c r="X44" s="25" t="str"/>
      <x:c r="Y44" s="25" t="str">
        <x:v>/Users/lihd/discovery/paleomagnetic-r3-workflow/dist/paleomagnetic-r357-calibrated-workflow-full/data/parsed_mds/4168.txt</x:v>
      </x:c>
      <x:c r="Z44" s="22" t="b">
        <x:v>0</x:v>
      </x:c>
      <x:c r="AA44" s="15" t="n">
        <x:f>--(F44=E44)</x:f>
        <x:v>1</x:v>
      </x:c>
    </x:row>
    <x:row r="45" ht="54" customHeight="1">
      <x:c r="A45" s="15" t="str">
        <x:v>4168</x:v>
      </x:c>
      <x:c r="B45" s="15" t="str">
        <x:v>10012</x:v>
      </x:c>
      <x:c r="C45" s="25" t="str">
        <x:v>Noran Rapakivi Complex</x:v>
      </x:c>
      <x:c r="D45" s="25" t="str">
        <x:v>SUSC-T,3-axis Jrs-T, IRM (MAGN,TM)</x:v>
      </x:c>
      <x:c r="E45" s="25" t="n">
        <x:v>1</x:v>
      </x:c>
      <x:c r="F45" s="25" t="n">
        <x:f>--(LEN(D45)&gt;0)</x:f>
        <x:v>1</x:v>
      </x:c>
      <x:c r="G45" s="25" t="str">
        <x:v>ABSTAIN_INSUFFICIENT</x:v>
      </x:c>
      <x:c r="H45" s="25" t="str"/>
      <x:c r="I45" s="25" t="n">
        <x:v>0</x:v>
      </x:c>
      <x:c r="J45" s="25" t="str">
        <x:v>PRESENT</x:v>
      </x:c>
      <x:c r="K45" s="25" t="str">
        <x:v>SUSC-T(MAGN,TM,PYRR)</x:v>
      </x:c>
      <x:c r="L45" s="25" t="n">
        <x:v>1</x:v>
      </x:c>
      <x:c r="M45" s="25" t="n">
        <x:f>--(F45=--(LEN(H45)&gt;0))</x:f>
        <x:v>0</x:v>
      </x:c>
      <x:c r="N45" s="25" t="n">
        <x:f>--(F45=--(LEN(K45)&gt;0))</x:f>
        <x:v>1</x:v>
      </x:c>
      <x:c r="O45" s="25" t="n">
        <x:f>--(E45=I45)</x:f>
        <x:v>0</x:v>
      </x:c>
      <x:c r="P45" s="25" t="n">
        <x:f>--(E45=L45)</x:f>
        <x:v>1</x:v>
      </x:c>
      <x:c r="Q45" s="25" t="str">
        <x:v>SUSC-T</x:v>
      </x:c>
      <x:c r="R45" s="25" t="str">
        <x:v>TM, MAGN</x:v>
      </x:c>
      <x:c r="S45" s="28" t="n">
        <x:v>0.5</x:v>
      </x:c>
      <x:c r="T45" s="25" t="str">
        <x:v>SEMANTIC_MATCH</x:v>
      </x:c>
      <x:c r="U45" s="25" t="str">
        <x:v>HIGH</x:v>
      </x:c>
      <x:c r="V45" s="25" t="str">
        <x:v>exact/strong</x:v>
      </x:c>
      <x:c r="W45" s="25" t="str">
        <x:v>5, 6</x:v>
      </x:c>
      <x:c r="X45" s="25" t="str">
        <x:v>Temperature dependence of low-field magnetic susceptibility | magnetite | titanomagnetite</x:v>
      </x:c>
      <x:c r="Y45" s="25" t="str">
        <x:v>/Users/lihd/discovery/paleomagnetic-r3-workflow/dist/paleomagnetic-r357-calibrated-workflow-full/data/parsed_mds/4168.txt</x:v>
      </x:c>
      <x:c r="Z45" s="22" t="b">
        <x:v>0</x:v>
      </x:c>
      <x:c r="AA45" s="15" t="n">
        <x:f>--(F45=E45)</x:f>
        <x:v>1</x:v>
      </x:c>
    </x:row>
    <x:row r="46" ht="54" customHeight="1">
      <x:c r="A46" s="15" t="str">
        <x:v>4181</x:v>
      </x:c>
      <x:c r="B46" s="15" t="str">
        <x:v>10029</x:v>
      </x:c>
      <x:c r="C46" s="25" t="str">
        <x:v>Bull Arm Formation, Bonavista</x:v>
      </x:c>
      <x:c r="D46" s="25" t="str">
        <x:v>SUSC-T,OP(MAGN,HEM)</x:v>
      </x:c>
      <x:c r="E46" s="25" t="n">
        <x:v>1</x:v>
      </x:c>
      <x:c r="F46" s="25" t="n">
        <x:f>--(LEN(D46)&gt;0)</x:f>
        <x:v>1</x:v>
      </x:c>
      <x:c r="G46" s="25" t="str">
        <x:v>ABSENT</x:v>
      </x:c>
      <x:c r="H46" s="25" t="str"/>
      <x:c r="I46" s="25" t="n">
        <x:v>0</x:v>
      </x:c>
      <x:c r="J46" s="25" t="str">
        <x:v>ABSTAIN_INSUFFICIENT</x:v>
      </x:c>
      <x:c r="K46" s="25" t="str"/>
      <x:c r="L46" s="25" t="n">
        <x:v>0</x:v>
      </x:c>
      <x:c r="M46" s="25" t="n">
        <x:f>--(F46=--(LEN(H46)&gt;0))</x:f>
        <x:v>0</x:v>
      </x:c>
      <x:c r="N46" s="25" t="n">
        <x:f>--(F46=--(LEN(K46)&gt;0))</x:f>
        <x:v>0</x:v>
      </x:c>
      <x:c r="O46" s="25" t="n">
        <x:f>--(E46=I46)</x:f>
        <x:v>0</x:v>
      </x:c>
      <x:c r="P46" s="25" t="n">
        <x:f>--(E46=L46)</x:f>
        <x:v>0</x:v>
      </x:c>
      <x:c r="Q46" s="25" t="str"/>
      <x:c r="R46" s="25" t="str"/>
      <x:c r="S46" s="28" t="n">
        <x:v>0</x:v>
      </x:c>
      <x:c r="T46" s="25" t="str">
        <x:v>EVIDENCE_CHAIN_INCOMPLETE</x:v>
      </x:c>
      <x:c r="U46" s="25" t="str">
        <x:v>LOW</x:v>
      </x:c>
      <x:c r="V46" s="25" t="str">
        <x:v>token/strong</x:v>
      </x:c>
      <x:c r="W46" s="25" t="str"/>
      <x:c r="X46" s="25" t="str"/>
      <x:c r="Y46" s="25" t="str">
        <x:v>/Users/lihd/discovery/paleomagnetic-r3-workflow/dist/paleomagnetic-r357-calibrated-workflow-full/data/parsed_mds/4181.txt</x:v>
      </x:c>
      <x:c r="Z46" s="22" t="b">
        <x:v>0</x:v>
      </x:c>
      <x:c r="AA46" s="15" t="n">
        <x:f>--(F46=E46)</x:f>
        <x:v>1</x:v>
      </x:c>
    </x:row>
    <x:row r="47" ht="54" customHeight="1">
      <x:c r="A47" s="15" t="str">
        <x:v>4181</x:v>
      </x:c>
      <x:c r="B47" s="15" t="str">
        <x:v>10030</x:v>
      </x:c>
      <x:c r="C47" s="25" t="str">
        <x:v>Crown Hill Formation</x:v>
      </x:c>
      <x:c r="D47" s="25" t="str"/>
      <x:c r="E47" s="25" t="n">
        <x:v>0</x:v>
      </x:c>
      <x:c r="F47" s="25" t="n">
        <x:f>--(LEN(D47)&gt;0)</x:f>
        <x:v>0</x:v>
      </x:c>
      <x:c r="G47" s="25" t="str">
        <x:v>ABSENT</x:v>
      </x:c>
      <x:c r="H47" s="25" t="str"/>
      <x:c r="I47" s="25" t="n">
        <x:v>0</x:v>
      </x:c>
      <x:c r="J47" s="25" t="str">
        <x:v>ABSTAIN_INSUFFICIENT</x:v>
      </x:c>
      <x:c r="K47" s="25" t="str"/>
      <x:c r="L47" s="25" t="n">
        <x:v>0</x:v>
      </x:c>
      <x:c r="M47" s="25" t="n">
        <x:f>--(F47=--(LEN(H47)&gt;0))</x:f>
        <x:v>1</x:v>
      </x:c>
      <x:c r="N47" s="25" t="n">
        <x:f>--(F47=--(LEN(K47)&gt;0))</x:f>
        <x:v>1</x:v>
      </x:c>
      <x:c r="O47" s="25" t="n">
        <x:f>--(E47=I47)</x:f>
        <x:v>1</x:v>
      </x:c>
      <x:c r="P47" s="25" t="n">
        <x:f>--(E47=L47)</x:f>
        <x:v>1</x:v>
      </x:c>
      <x:c r="Q47" s="25" t="str"/>
      <x:c r="R47" s="25" t="str"/>
      <x:c r="S47" s="28" t="n">
        <x:v>1</x:v>
      </x:c>
      <x:c r="T47" s="25" t="str">
        <x:v>TRUE_BLANK</x:v>
      </x:c>
      <x:c r="U47" s="25" t="str">
        <x:v>LOW</x:v>
      </x:c>
      <x:c r="V47" s="25" t="str">
        <x:v>exact/strong</x:v>
      </x:c>
      <x:c r="W47" s="25" t="str"/>
      <x:c r="X47" s="25" t="str"/>
      <x:c r="Y47" s="25" t="str">
        <x:v>/Users/lihd/discovery/paleomagnetic-r3-workflow/dist/paleomagnetic-r357-calibrated-workflow-full/data/parsed_mds/4181.txt</x:v>
      </x:c>
      <x:c r="Z47" s="22" t="b">
        <x:v>0</x:v>
      </x:c>
      <x:c r="AA47" s="15" t="n">
        <x:f>--(F47=E47)</x:f>
        <x:v>1</x:v>
      </x:c>
    </x:row>
    <x:row r="48" ht="54" customHeight="1">
      <x:c r="A48" s="15" t="str">
        <x:v>4298</x:v>
      </x:c>
      <x:c r="B48" s="15" t="str">
        <x:v>10189</x:v>
      </x:c>
      <x:c r="C48" s="25" t="str">
        <x:v>Gzhelian Sediments</x:v>
      </x:c>
      <x:c r="D48" s="25" t="str">
        <x:v>OP,SUSC-T(MAGN)</x:v>
      </x:c>
      <x:c r="E48" s="25" t="n">
        <x:v>1</x:v>
      </x:c>
      <x:c r="F48" s="25" t="n">
        <x:f>--(LEN(D48)&gt;0)</x:f>
        <x:v>1</x:v>
      </x:c>
      <x:c r="G48" s="25" t="str">
        <x:v>ABSENT</x:v>
      </x:c>
      <x:c r="H48" s="25" t="str"/>
      <x:c r="I48" s="25" t="n">
        <x:v>0</x:v>
      </x:c>
      <x:c r="J48" s="25" t="str">
        <x:v>PRESENT</x:v>
      </x:c>
      <x:c r="K48" s="25" t="str">
        <x:v>SUSC-T,OP(MAGN,HEM)</x:v>
      </x:c>
      <x:c r="L48" s="25" t="n">
        <x:v>1</x:v>
      </x:c>
      <x:c r="M48" s="25" t="n">
        <x:f>--(F48=--(LEN(H48)&gt;0))</x:f>
        <x:v>0</x:v>
      </x:c>
      <x:c r="N48" s="25" t="n">
        <x:f>--(F48=--(LEN(K48)&gt;0))</x:f>
        <x:v>1</x:v>
      </x:c>
      <x:c r="O48" s="25" t="n">
        <x:f>--(E48=I48)</x:f>
        <x:v>0</x:v>
      </x:c>
      <x:c r="P48" s="25" t="n">
        <x:f>--(E48=L48)</x:f>
        <x:v>1</x:v>
      </x:c>
      <x:c r="Q48" s="25" t="str">
        <x:v>SUSC-T, OP</x:v>
      </x:c>
      <x:c r="R48" s="25" t="str">
        <x:v>MAGN</x:v>
      </x:c>
      <x:c r="S48" s="28" t="n">
        <x:v>0.75</x:v>
      </x:c>
      <x:c r="T48" s="25" t="str">
        <x:v>SEMANTIC_MATCH</x:v>
      </x:c>
      <x:c r="U48" s="25" t="str">
        <x:v>MEDIUM</x:v>
      </x:c>
      <x:c r="V48" s="25" t="str">
        <x:v>token/moderate</x:v>
      </x:c>
      <x:c r="W48" s="25" t="str">
        <x:v>4, 6</x:v>
      </x:c>
      <x:c r="X48" s="25" t="str">
        <x:v>Magnetic susceptibility measurements (the Gzhelian stage of the Carboniferous) (Fig. 3a, were conducted by KLY-3 kappabridge (AGICO, Czech sample 6049), one magnetic phase with the Curie Republic) and the analysis of the temperature depen- point of 560–580°C probably corresponding to non- dence of the magnetic susceptibility on a MFK-1-FA stoichiometric magnetite is isolated. | thin section | thin section</x:v>
      </x:c>
      <x:c r="Y48" s="25" t="str">
        <x:v>/Users/lihd/discovery/paleomagnetic-r3-workflow/dist/paleomagnetic-r357-calibrated-workflow-full/data/parsed_mds/4298.txt</x:v>
      </x:c>
      <x:c r="Z48" s="22" t="b">
        <x:v>0</x:v>
      </x:c>
      <x:c r="AA48" s="15" t="n">
        <x:f>--(F48=E48)</x:f>
        <x:v>1</x:v>
      </x:c>
    </x:row>
    <x:row r="49" ht="54" customHeight="1">
      <x:c r="A49" s="15" t="str">
        <x:v>4298</x:v>
      </x:c>
      <x:c r="B49" s="15" t="str">
        <x:v>10190</x:v>
      </x:c>
      <x:c r="C49" s="25" t="str">
        <x:v>Visean Sediments</x:v>
      </x:c>
      <x:c r="D49" s="25" t="str">
        <x:v>OP,SUSC-T(HEM)</x:v>
      </x:c>
      <x:c r="E49" s="25" t="n">
        <x:v>1</x:v>
      </x:c>
      <x:c r="F49" s="25" t="n">
        <x:f>--(LEN(D49)&gt;0)</x:f>
        <x:v>1</x:v>
      </x:c>
      <x:c r="G49" s="25" t="str">
        <x:v>ABSTAIN_IDENTITY</x:v>
      </x:c>
      <x:c r="H49" s="25" t="str"/>
      <x:c r="I49" s="25" t="n">
        <x:v>0</x:v>
      </x:c>
      <x:c r="J49" s="25" t="str">
        <x:v>ABSTAIN_IDENTITY</x:v>
      </x:c>
      <x:c r="K49" s="25" t="str"/>
      <x:c r="L49" s="25" t="n">
        <x:v>0</x:v>
      </x:c>
      <x:c r="M49" s="25" t="n">
        <x:f>--(F49=--(LEN(H49)&gt;0))</x:f>
        <x:v>0</x:v>
      </x:c>
      <x:c r="N49" s="25" t="n">
        <x:f>--(F49=--(LEN(K49)&gt;0))</x:f>
        <x:v>0</x:v>
      </x:c>
      <x:c r="O49" s="25" t="n">
        <x:f>--(E49=I49)</x:f>
        <x:v>0</x:v>
      </x:c>
      <x:c r="P49" s="25" t="n">
        <x:f>--(E49=L49)</x:f>
        <x:v>0</x:v>
      </x:c>
      <x:c r="Q49" s="25" t="str"/>
      <x:c r="R49" s="25" t="str"/>
      <x:c r="S49" s="28" t="n">
        <x:v>0</x:v>
      </x:c>
      <x:c r="T49" s="25" t="str">
        <x:v>IDENTITY_GRANULARITY</x:v>
      </x:c>
      <x:c r="U49" s="25" t="str">
        <x:v>LOW</x:v>
      </x:c>
      <x:c r="V49" s="25" t="str">
        <x:v>token/moderate</x:v>
      </x:c>
      <x:c r="W49" s="25" t="str">
        <x:v>6, 5</x:v>
      </x:c>
      <x:c r="X49" s="25" t="str">
        <x:v>thin section | time of formation of clay deposits and subsequently the studied limestones (Visean/Serpukhovian bound- The structural features of hematite are very diverse ary and the beginning of the Serpukhovian Age) is and depend on the conditions in which hematite is marked by a change of the predominantly shallow sea formed. | hematite</x:v>
      </x:c>
      <x:c r="Y49" s="25" t="str">
        <x:v>/Users/lihd/discovery/paleomagnetic-r3-workflow/dist/paleomagnetic-r357-calibrated-workflow-full/data/parsed_mds/4298.txt</x:v>
      </x:c>
      <x:c r="Z49" s="22" t="b">
        <x:v>1</x:v>
      </x:c>
      <x:c r="AA49" s="15" t="n">
        <x:f>--(F49=E49)</x:f>
        <x:v>1</x:v>
      </x:c>
    </x:row>
    <x:row r="50" ht="54" customHeight="1">
      <x:c r="A50" s="15" t="str">
        <x:v>4298</x:v>
      </x:c>
      <x:c r="B50" s="15" t="str">
        <x:v>10191</x:v>
      </x:c>
      <x:c r="C50" s="25" t="str">
        <x:v>Visean Sediments</x:v>
      </x:c>
      <x:c r="D50" s="25" t="str">
        <x:v>OP,SUSC-T(HEM)</x:v>
      </x:c>
      <x:c r="E50" s="25" t="n">
        <x:v>1</x:v>
      </x:c>
      <x:c r="F50" s="25" t="n">
        <x:f>--(LEN(D50)&gt;0)</x:f>
        <x:v>1</x:v>
      </x:c>
      <x:c r="G50" s="25" t="str">
        <x:v>ABSTAIN_IDENTITY</x:v>
      </x:c>
      <x:c r="H50" s="25" t="str"/>
      <x:c r="I50" s="25" t="n">
        <x:v>0</x:v>
      </x:c>
      <x:c r="J50" s="25" t="str">
        <x:v>ABSTAIN_IDENTITY</x:v>
      </x:c>
      <x:c r="K50" s="25" t="str"/>
      <x:c r="L50" s="25" t="n">
        <x:v>0</x:v>
      </x:c>
      <x:c r="M50" s="25" t="n">
        <x:f>--(F50=--(LEN(H50)&gt;0))</x:f>
        <x:v>0</x:v>
      </x:c>
      <x:c r="N50" s="25" t="n">
        <x:f>--(F50=--(LEN(K50)&gt;0))</x:f>
        <x:v>0</x:v>
      </x:c>
      <x:c r="O50" s="25" t="n">
        <x:f>--(E50=I50)</x:f>
        <x:v>0</x:v>
      </x:c>
      <x:c r="P50" s="25" t="n">
        <x:f>--(E50=L50)</x:f>
        <x:v>0</x:v>
      </x:c>
      <x:c r="Q50" s="25" t="str"/>
      <x:c r="R50" s="25" t="str"/>
      <x:c r="S50" s="28" t="n">
        <x:v>0</x:v>
      </x:c>
      <x:c r="T50" s="25" t="str">
        <x:v>IDENTITY_GRANULARITY</x:v>
      </x:c>
      <x:c r="U50" s="25" t="str">
        <x:v>LOW</x:v>
      </x:c>
      <x:c r="V50" s="25" t="str">
        <x:v>token/moderate</x:v>
      </x:c>
      <x:c r="W50" s="25" t="str">
        <x:v>6, 5</x:v>
      </x:c>
      <x:c r="X50" s="25" t="str">
        <x:v>thin section | time of formation of clay deposits and subsequently the studied limestones (Visean/Serpukhovian bound- The structural features of hematite are very diverse ary and the beginning of the Serpukhovian Age) is and depend on the conditions in which hematite is marked by a change of the predominantly shallow sea formed. | hematite</x:v>
      </x:c>
      <x:c r="Y50" s="25" t="str">
        <x:v>/Users/lihd/discovery/paleomagnetic-r3-workflow/dist/paleomagnetic-r357-calibrated-workflow-full/data/parsed_mds/4298.txt</x:v>
      </x:c>
      <x:c r="Z50" s="22" t="b">
        <x:v>1</x:v>
      </x:c>
      <x:c r="AA50" s="15" t="n">
        <x:f>--(F50=E50)</x:f>
        <x:v>1</x:v>
      </x:c>
    </x:row>
    <x:row r="51" ht="54" customHeight="1">
      <x:c r="A51" s="15" t="str">
        <x:v>4298</x:v>
      </x:c>
      <x:c r="B51" s="15" t="str">
        <x:v>10192</x:v>
      </x:c>
      <x:c r="C51" s="25" t="str">
        <x:v>Visean Sediments, Priksha River</x:v>
      </x:c>
      <x:c r="D51" s="25" t="str">
        <x:v>OP,SUSC-T(HEM)</x:v>
      </x:c>
      <x:c r="E51" s="25" t="n">
        <x:v>1</x:v>
      </x:c>
      <x:c r="F51" s="25" t="n">
        <x:f>--(LEN(D51)&gt;0)</x:f>
        <x:v>1</x:v>
      </x:c>
      <x:c r="G51" s="25" t="str">
        <x:v>ABSTAIN_IDENTITY</x:v>
      </x:c>
      <x:c r="H51" s="25" t="str"/>
      <x:c r="I51" s="25" t="n">
        <x:v>0</x:v>
      </x:c>
      <x:c r="J51" s="25" t="str">
        <x:v>ABSTAIN_IDENTITY</x:v>
      </x:c>
      <x:c r="K51" s="25" t="str"/>
      <x:c r="L51" s="25" t="n">
        <x:v>0</x:v>
      </x:c>
      <x:c r="M51" s="25" t="n">
        <x:f>--(F51=--(LEN(H51)&gt;0))</x:f>
        <x:v>0</x:v>
      </x:c>
      <x:c r="N51" s="25" t="n">
        <x:f>--(F51=--(LEN(K51)&gt;0))</x:f>
        <x:v>0</x:v>
      </x:c>
      <x:c r="O51" s="25" t="n">
        <x:f>--(E51=I51)</x:f>
        <x:v>0</x:v>
      </x:c>
      <x:c r="P51" s="25" t="n">
        <x:f>--(E51=L51)</x:f>
        <x:v>0</x:v>
      </x:c>
      <x:c r="Q51" s="25" t="str"/>
      <x:c r="R51" s="25" t="str"/>
      <x:c r="S51" s="28" t="n">
        <x:v>0</x:v>
      </x:c>
      <x:c r="T51" s="25" t="str">
        <x:v>IDENTITY_GRANULARITY</x:v>
      </x:c>
      <x:c r="U51" s="25" t="str">
        <x:v>LOW</x:v>
      </x:c>
      <x:c r="V51" s="25" t="str">
        <x:v>token/strong</x:v>
      </x:c>
      <x:c r="W51" s="25" t="str">
        <x:v>6, 4, 5</x:v>
      </x:c>
      <x:c r="X51" s="25" t="str">
        <x:v>thin section | temperature depen- point of 560–580°C probably corresponding to non- dence of the magnetic susceptibility | thin section</x:v>
      </x:c>
      <x:c r="Y51" s="25" t="str">
        <x:v>/Users/lihd/discovery/paleomagnetic-r3-workflow/dist/paleomagnetic-r357-calibrated-workflow-full/data/parsed_mds/4298.txt</x:v>
      </x:c>
      <x:c r="Z51" s="22" t="b">
        <x:v>1</x:v>
      </x:c>
      <x:c r="AA51" s="15" t="n">
        <x:f>--(F51=E51)</x:f>
        <x:v>1</x:v>
      </x:c>
    </x:row>
    <x:row r="52" ht="54" customHeight="1">
      <x:c r="A52" s="15" t="str">
        <x:v>4298</x:v>
      </x:c>
      <x:c r="B52" s="15" t="str">
        <x:v>10193</x:v>
      </x:c>
      <x:c r="C52" s="25" t="str">
        <x:v>Visean Sediments, Priksha River</x:v>
      </x:c>
      <x:c r="D52" s="25" t="str">
        <x:v>OP,SUSC-T(HEM)</x:v>
      </x:c>
      <x:c r="E52" s="25" t="n">
        <x:v>1</x:v>
      </x:c>
      <x:c r="F52" s="25" t="n">
        <x:f>--(LEN(D52)&gt;0)</x:f>
        <x:v>1</x:v>
      </x:c>
      <x:c r="G52" s="25" t="str">
        <x:v>ABSTAIN_IDENTITY</x:v>
      </x:c>
      <x:c r="H52" s="25" t="str"/>
      <x:c r="I52" s="25" t="n">
        <x:v>0</x:v>
      </x:c>
      <x:c r="J52" s="25" t="str">
        <x:v>ABSTAIN_IDENTITY</x:v>
      </x:c>
      <x:c r="K52" s="25" t="str"/>
      <x:c r="L52" s="25" t="n">
        <x:v>0</x:v>
      </x:c>
      <x:c r="M52" s="25" t="n">
        <x:f>--(F52=--(LEN(H52)&gt;0))</x:f>
        <x:v>0</x:v>
      </x:c>
      <x:c r="N52" s="25" t="n">
        <x:f>--(F52=--(LEN(K52)&gt;0))</x:f>
        <x:v>0</x:v>
      </x:c>
      <x:c r="O52" s="25" t="n">
        <x:f>--(E52=I52)</x:f>
        <x:v>0</x:v>
      </x:c>
      <x:c r="P52" s="25" t="n">
        <x:f>--(E52=L52)</x:f>
        <x:v>0</x:v>
      </x:c>
      <x:c r="Q52" s="25" t="str"/>
      <x:c r="R52" s="25" t="str"/>
      <x:c r="S52" s="28" t="n">
        <x:v>0</x:v>
      </x:c>
      <x:c r="T52" s="25" t="str">
        <x:v>IDENTITY_GRANULARITY</x:v>
      </x:c>
      <x:c r="U52" s="25" t="str">
        <x:v>LOW</x:v>
      </x:c>
      <x:c r="V52" s="25" t="str">
        <x:v>token/strong</x:v>
      </x:c>
      <x:c r="W52" s="25" t="str">
        <x:v>6, 4, 5</x:v>
      </x:c>
      <x:c r="X52" s="25" t="str">
        <x:v>thin section | temperature depen- point of 560–580°C probably corresponding to non- dence of the magnetic susceptibility | thin section</x:v>
      </x:c>
      <x:c r="Y52" s="25" t="str">
        <x:v>/Users/lihd/discovery/paleomagnetic-r3-workflow/dist/paleomagnetic-r357-calibrated-workflow-full/data/parsed_mds/4298.txt</x:v>
      </x:c>
      <x:c r="Z52" s="22" t="b">
        <x:v>1</x:v>
      </x:c>
      <x:c r="AA52" s="15" t="n">
        <x:f>--(F52=E52)</x:f>
        <x:v>1</x:v>
      </x:c>
    </x:row>
    <x:row r="53" ht="54" customHeight="1">
      <x:c r="A53" s="15" t="str">
        <x:v>4298</x:v>
      </x:c>
      <x:c r="B53" s="15" t="str">
        <x:v>10194</x:v>
      </x:c>
      <x:c r="C53" s="25" t="str">
        <x:v>Visean Sediments, Priksha River</x:v>
      </x:c>
      <x:c r="D53" s="25" t="str">
        <x:v>OP,SUSC-T(HEM)</x:v>
      </x:c>
      <x:c r="E53" s="25" t="n">
        <x:v>1</x:v>
      </x:c>
      <x:c r="F53" s="25" t="n">
        <x:f>--(LEN(D53)&gt;0)</x:f>
        <x:v>1</x:v>
      </x:c>
      <x:c r="G53" s="25" t="str">
        <x:v>ABSTAIN_IDENTITY</x:v>
      </x:c>
      <x:c r="H53" s="25" t="str"/>
      <x:c r="I53" s="25" t="n">
        <x:v>0</x:v>
      </x:c>
      <x:c r="J53" s="25" t="str">
        <x:v>ABSTAIN_IDENTITY</x:v>
      </x:c>
      <x:c r="K53" s="25" t="str"/>
      <x:c r="L53" s="25" t="n">
        <x:v>0</x:v>
      </x:c>
      <x:c r="M53" s="25" t="n">
        <x:f>--(F53=--(LEN(H53)&gt;0))</x:f>
        <x:v>0</x:v>
      </x:c>
      <x:c r="N53" s="25" t="n">
        <x:f>--(F53=--(LEN(K53)&gt;0))</x:f>
        <x:v>0</x:v>
      </x:c>
      <x:c r="O53" s="25" t="n">
        <x:f>--(E53=I53)</x:f>
        <x:v>0</x:v>
      </x:c>
      <x:c r="P53" s="25" t="n">
        <x:f>--(E53=L53)</x:f>
        <x:v>0</x:v>
      </x:c>
      <x:c r="Q53" s="25" t="str"/>
      <x:c r="R53" s="25" t="str"/>
      <x:c r="S53" s="28" t="n">
        <x:v>0</x:v>
      </x:c>
      <x:c r="T53" s="25" t="str">
        <x:v>IDENTITY_GRANULARITY</x:v>
      </x:c>
      <x:c r="U53" s="25" t="str">
        <x:v>LOW</x:v>
      </x:c>
      <x:c r="V53" s="25" t="str">
        <x:v>token/strong</x:v>
      </x:c>
      <x:c r="W53" s="25" t="str">
        <x:v>6, 4, 5</x:v>
      </x:c>
      <x:c r="X53" s="25" t="str">
        <x:v>thin section | temperature depen- point of 560–580°C probably corresponding to non- dence of the magnetic susceptibility | thin section</x:v>
      </x:c>
      <x:c r="Y53" s="25" t="str">
        <x:v>/Users/lihd/discovery/paleomagnetic-r3-workflow/dist/paleomagnetic-r357-calibrated-workflow-full/data/parsed_mds/4298.txt</x:v>
      </x:c>
      <x:c r="Z53" s="22" t="b">
        <x:v>1</x:v>
      </x:c>
      <x:c r="AA53" s="15" t="n">
        <x:f>--(F53=E53)</x:f>
        <x:v>1</x:v>
      </x:c>
    </x:row>
    <x:row r="54" ht="54" customHeight="1">
      <x:c r="A54" s="15" t="str">
        <x:v>4324</x:v>
      </x:c>
      <x:c r="B54" s="15" t="str">
        <x:v>10236</x:v>
      </x:c>
      <x:c r="C54" s="25" t="str">
        <x:v>Kiuruvesi Gabbrodiorite</x:v>
      </x:c>
      <x:c r="D54" s="25" t="str">
        <x:v>SUSC-T,3-axis Jrs-T(MAGN)</x:v>
      </x:c>
      <x:c r="E54" s="25" t="n">
        <x:v>1</x:v>
      </x:c>
      <x:c r="F54" s="25" t="n">
        <x:f>--(LEN(D54)&gt;0)</x:f>
        <x:v>1</x:v>
      </x:c>
      <x:c r="G54" s="25" t="str">
        <x:v>PRESENT</x:v>
      </x:c>
      <x:c r="H54" s="25" t="str">
        <x:v>IRM(MAGN,MAGH,TM)</x:v>
      </x:c>
      <x:c r="I54" s="25" t="n">
        <x:v>1</x:v>
      </x:c>
      <x:c r="J54" s="25" t="str">
        <x:v>PRESENT</x:v>
      </x:c>
      <x:c r="K54" s="25" t="str">
        <x:v>IRM,3-axis Jrs-T,HYST(MAGN,MAGH,TM)</x:v>
      </x:c>
      <x:c r="L54" s="25" t="n">
        <x:v>1</x:v>
      </x:c>
      <x:c r="M54" s="25" t="n">
        <x:f>--(F54=--(LEN(H54)&gt;0))</x:f>
        <x:v>1</x:v>
      </x:c>
      <x:c r="N54" s="25" t="n">
        <x:f>--(F54=--(LEN(K54)&gt;0))</x:f>
        <x:v>1</x:v>
      </x:c>
      <x:c r="O54" s="25" t="n">
        <x:f>--(E54=I54)</x:f>
        <x:v>1</x:v>
      </x:c>
      <x:c r="P54" s="25" t="n">
        <x:f>--(E54=L54)</x:f>
        <x:v>1</x:v>
      </x:c>
      <x:c r="Q54" s="25" t="str">
        <x:v>3-axis Jrs-T</x:v>
      </x:c>
      <x:c r="R54" s="25" t="str">
        <x:v>MAGN</x:v>
      </x:c>
      <x:c r="S54" s="28" t="n">
        <x:v>0.2857142857142857</x:v>
      </x:c>
      <x:c r="T54" s="25" t="str">
        <x:v>SEMANTIC_MATCH</x:v>
      </x:c>
      <x:c r="U54" s="25" t="str">
        <x:v>HIGH</x:v>
      </x:c>
      <x:c r="V54" s="25" t="str">
        <x:v>exact/strong</x:v>
      </x:c>
      <x:c r="W54" s="25" t="str">
        <x:v>4, 6, 5</x:v>
      </x:c>
      <x:c r="X54" s="25" t="str">
        <x:v>IRM was imparted in Kiuruvesi gabbrodiorite, although the susceptibility decrease at ca . | The Lowrie–Fuller test demonstrated significantly x -direction. | hysteresis</x:v>
      </x:c>
      <x:c r="Y54" s="25" t="str">
        <x:v>/Users/lihd/discovery/paleomagnetic-r3-workflow/dist/paleomagnetic-r357-calibrated-workflow-full/data/parsed_mds/4324.txt</x:v>
      </x:c>
      <x:c r="Z54" s="22" t="b">
        <x:v>0</x:v>
      </x:c>
      <x:c r="AA54" s="15" t="n">
        <x:f>--(F54=E54)</x:f>
        <x:v>1</x:v>
      </x:c>
    </x:row>
    <x:row r="55" ht="54" customHeight="1">
      <x:c r="A55" s="15" t="str">
        <x:v>4324</x:v>
      </x:c>
      <x:c r="B55" s="15" t="str">
        <x:v>10237</x:v>
      </x:c>
      <x:c r="C55" s="25" t="str">
        <x:v>Ylivieska Gabbro</x:v>
      </x:c>
      <x:c r="D55" s="25" t="str">
        <x:v>SUSC-T,3-axis Jrs-T(SD MAGN)</x:v>
      </x:c>
      <x:c r="E55" s="25" t="n">
        <x:v>1</x:v>
      </x:c>
      <x:c r="F55" s="25" t="n">
        <x:f>--(LEN(D55)&gt;0)</x:f>
        <x:v>1</x:v>
      </x:c>
      <x:c r="G55" s="25" t="str">
        <x:v>ABSTAIN_INSUFFICIENT</x:v>
      </x:c>
      <x:c r="H55" s="25" t="str"/>
      <x:c r="I55" s="25" t="n">
        <x:v>0</x:v>
      </x:c>
      <x:c r="J55" s="25" t="str">
        <x:v>PRESENT</x:v>
      </x:c>
      <x:c r="K55" s="25" t="str">
        <x:v>IRM,3-axis Jrs-T,HYST(SD/MD MAGN)</x:v>
      </x:c>
      <x:c r="L55" s="25" t="n">
        <x:v>1</x:v>
      </x:c>
      <x:c r="M55" s="25" t="n">
        <x:f>--(F55=--(LEN(H55)&gt;0))</x:f>
        <x:v>0</x:v>
      </x:c>
      <x:c r="N55" s="25" t="n">
        <x:f>--(F55=--(LEN(K55)&gt;0))</x:f>
        <x:v>1</x:v>
      </x:c>
      <x:c r="O55" s="25" t="n">
        <x:f>--(E55=I55)</x:f>
        <x:v>0</x:v>
      </x:c>
      <x:c r="P55" s="25" t="n">
        <x:f>--(E55=L55)</x:f>
        <x:v>1</x:v>
      </x:c>
      <x:c r="Q55" s="25" t="str">
        <x:v>3-axis Jrs-T</x:v>
      </x:c>
      <x:c r="R55" s="25" t="str">
        <x:v>MAGN</x:v>
      </x:c>
      <x:c r="S55" s="28" t="n">
        <x:v>0.4</x:v>
      </x:c>
      <x:c r="T55" s="25" t="str">
        <x:v>SEMANTIC_MATCH</x:v>
      </x:c>
      <x:c r="U55" s="25" t="str">
        <x:v>HIGH</x:v>
      </x:c>
      <x:c r="V55" s="25" t="str">
        <x:v>exact/strong</x:v>
      </x:c>
      <x:c r="W55" s="25" t="str">
        <x:v>11, 4, 5</x:v>
      </x:c>
      <x:c r="X55" s="25" t="str">
        <x:v>Fur ther more, the Lowrie test demonstrates that magnetite is palaeomagnetic poles of several cratons display large back-and- present in three coercivity fractions (Fig. 4 ). | Fur ther more, the Lowrie test demonstrates that magnetite is palaeomagnetic poles of several cratons display large back-and- present in three coercivity fractions (Fig. 4 ). | hysteresis</x:v>
      </x:c>
      <x:c r="Y55" s="25" t="str">
        <x:v>/Users/lihd/discovery/paleomagnetic-r3-workflow/dist/paleomagnetic-r357-calibrated-workflow-full/data/parsed_mds/4324.txt</x:v>
      </x:c>
      <x:c r="Z55" s="22" t="b">
        <x:v>0</x:v>
      </x:c>
      <x:c r="AA55" s="15" t="n">
        <x:f>--(F55=E55)</x:f>
        <x:v>1</x:v>
      </x:c>
    </x:row>
    <x:row r="56" ht="54" customHeight="1">
      <x:c r="A56" s="15" t="str">
        <x:v>4324</x:v>
      </x:c>
      <x:c r="B56" s="15" t="str">
        <x:v>10238</x:v>
      </x:c>
      <x:c r="C56" s="25" t="str">
        <x:v>Mertuanoja Gabbro</x:v>
      </x:c>
      <x:c r="D56" s="25" t="str">
        <x:v>SUSC-T,3-axis Jrs-T(SD MAGN)</x:v>
      </x:c>
      <x:c r="E56" s="25" t="n">
        <x:v>1</x:v>
      </x:c>
      <x:c r="F56" s="25" t="n">
        <x:f>--(LEN(D56)&gt;0)</x:f>
        <x:v>1</x:v>
      </x:c>
      <x:c r="G56" s="25" t="str">
        <x:v>ABSTAIN_INSUFFICIENT</x:v>
      </x:c>
      <x:c r="H56" s="25" t="str"/>
      <x:c r="I56" s="25" t="n">
        <x:v>0</x:v>
      </x:c>
      <x:c r="J56" s="25" t="str">
        <x:v>PRESENT</x:v>
      </x:c>
      <x:c r="K56" s="25" t="str">
        <x:v>IRM,HYST(MAGN,MAGH,TM)</x:v>
      </x:c>
      <x:c r="L56" s="25" t="n">
        <x:v>1</x:v>
      </x:c>
      <x:c r="M56" s="25" t="n">
        <x:f>--(F56=--(LEN(H56)&gt;0))</x:f>
        <x:v>0</x:v>
      </x:c>
      <x:c r="N56" s="25" t="n">
        <x:f>--(F56=--(LEN(K56)&gt;0))</x:f>
        <x:v>1</x:v>
      </x:c>
      <x:c r="O56" s="25" t="n">
        <x:f>--(E56=I56)</x:f>
        <x:v>0</x:v>
      </x:c>
      <x:c r="P56" s="25" t="n">
        <x:f>--(E56=L56)</x:f>
        <x:v>1</x:v>
      </x:c>
      <x:c r="Q56" s="25" t="str"/>
      <x:c r="R56" s="25" t="str">
        <x:v>MAGN</x:v>
      </x:c>
      <x:c r="S56" s="28" t="n">
        <x:v>0.14285714285714285</x:v>
      </x:c>
      <x:c r="T56" s="25" t="str">
        <x:v>CODE_MISMATCH</x:v>
      </x:c>
      <x:c r="U56" s="25" t="str">
        <x:v>HIGH</x:v>
      </x:c>
      <x:c r="V56" s="25" t="str">
        <x:v>exact/strong</x:v>
      </x:c>
      <x:c r="W56" s="25" t="str">
        <x:v>4, 5, 6</x:v>
      </x:c>
      <x:c r="X56" s="25" t="str">
        <x:v>IRM | hysteresis | Hysteresis</x:v>
      </x:c>
      <x:c r="Y56" s="25" t="str">
        <x:v>/Users/lihd/discovery/paleomagnetic-r3-workflow/dist/paleomagnetic-r357-calibrated-workflow-full/data/parsed_mds/4324.txt</x:v>
      </x:c>
      <x:c r="Z56" s="22" t="b">
        <x:v>0</x:v>
      </x:c>
      <x:c r="AA56" s="15" t="n">
        <x:f>--(F56=E56)</x:f>
        <x:v>1</x:v>
      </x:c>
    </x:row>
    <x:row r="57" ht="54" customHeight="1">
      <x:c r="A57" s="15" t="str">
        <x:v>4324</x:v>
      </x:c>
      <x:c r="B57" s="15" t="str">
        <x:v>10239</x:v>
      </x:c>
      <x:c r="C57" s="25" t="str">
        <x:v>Svecofennian Gabbros Combined</x:v>
      </x:c>
      <x:c r="D57" s="25" t="str">
        <x:v>SUSC-T,3-axis Jrs-T(SD MAGN)</x:v>
      </x:c>
      <x:c r="E57" s="25" t="n">
        <x:v>1</x:v>
      </x:c>
      <x:c r="F57" s="25" t="n">
        <x:f>--(LEN(D57)&gt;0)</x:f>
        <x:v>1</x:v>
      </x:c>
      <x:c r="G57" s="25" t="str">
        <x:v>ABSENT</x:v>
      </x:c>
      <x:c r="H57" s="25" t="str"/>
      <x:c r="I57" s="25" t="n">
        <x:v>0</x:v>
      </x:c>
      <x:c r="J57" s="25" t="str">
        <x:v>ABSTAIN_INSUFFICIENT</x:v>
      </x:c>
      <x:c r="K57" s="25" t="str"/>
      <x:c r="L57" s="25" t="n">
        <x:v>0</x:v>
      </x:c>
      <x:c r="M57" s="25" t="n">
        <x:f>--(F57=--(LEN(H57)&gt;0))</x:f>
        <x:v>0</x:v>
      </x:c>
      <x:c r="N57" s="25" t="n">
        <x:f>--(F57=--(LEN(K57)&gt;0))</x:f>
        <x:v>0</x:v>
      </x:c>
      <x:c r="O57" s="25" t="n">
        <x:f>--(E57=I57)</x:f>
        <x:v>0</x:v>
      </x:c>
      <x:c r="P57" s="25" t="n">
        <x:f>--(E57=L57)</x:f>
        <x:v>0</x:v>
      </x:c>
      <x:c r="Q57" s="25" t="str"/>
      <x:c r="R57" s="25" t="str"/>
      <x:c r="S57" s="28" t="n">
        <x:v>0</x:v>
      </x:c>
      <x:c r="T57" s="25" t="str">
        <x:v>EVIDENCE_CHAIN_INCOMPLETE</x:v>
      </x:c>
      <x:c r="U57" s="25" t="str">
        <x:v>LOW</x:v>
      </x:c>
      <x:c r="V57" s="25" t="str">
        <x:v>token/strong</x:v>
      </x:c>
      <x:c r="W57" s="25" t="str"/>
      <x:c r="X57" s="25" t="str"/>
      <x:c r="Y57" s="25" t="str">
        <x:v>/Users/lihd/discovery/paleomagnetic-r3-workflow/dist/paleomagnetic-r357-calibrated-workflow-full/data/parsed_mds/4324.txt</x:v>
      </x:c>
      <x:c r="Z57" s="22" t="b">
        <x:v>0</x:v>
      </x:c>
      <x:c r="AA57" s="15" t="n">
        <x:f>--(F57=E57)</x:f>
        <x:v>1</x:v>
      </x:c>
    </x:row>
    <x:row r="58" ht="54" customHeight="1">
      <x:c r="A58" s="15" t="str">
        <x:v>4324</x:v>
      </x:c>
      <x:c r="B58" s="15" t="str">
        <x:v>10240</x:v>
      </x:c>
      <x:c r="C58" s="25" t="str">
        <x:v>Jalokoski Gabbro</x:v>
      </x:c>
      <x:c r="D58" s="25" t="str"/>
      <x:c r="E58" s="25" t="n">
        <x:v>1</x:v>
      </x:c>
      <x:c r="F58" s="25" t="n">
        <x:f>--(LEN(D58)&gt;0)</x:f>
        <x:v>0</x:v>
      </x:c>
      <x:c r="G58" s="25" t="str">
        <x:v>ABSENT</x:v>
      </x:c>
      <x:c r="H58" s="25" t="str"/>
      <x:c r="I58" s="25" t="n">
        <x:v>0</x:v>
      </x:c>
      <x:c r="J58" s="25" t="str">
        <x:v>PRESENT</x:v>
      </x:c>
      <x:c r="K58" s="25" t="str">
        <x:v>HYST(MAGN,MAGH,TM)</x:v>
      </x:c>
      <x:c r="L58" s="25" t="n">
        <x:v>1</x:v>
      </x:c>
      <x:c r="M58" s="25" t="n">
        <x:f>--(F58=--(LEN(H58)&gt;0))</x:f>
        <x:v>1</x:v>
      </x:c>
      <x:c r="N58" s="25" t="n">
        <x:f>--(F58=--(LEN(K58)&gt;0))</x:f>
        <x:v>0</x:v>
      </x:c>
      <x:c r="O58" s="25" t="n">
        <x:f>--(E58=I58)</x:f>
        <x:v>0</x:v>
      </x:c>
      <x:c r="P58" s="25" t="n">
        <x:f>--(E58=L58)</x:f>
        <x:v>1</x:v>
      </x:c>
      <x:c r="Q58" s="25" t="str"/>
      <x:c r="R58" s="25" t="str"/>
      <x:c r="S58" s="28" t="n">
        <x:v>0</x:v>
      </x:c>
      <x:c r="T58" s="25" t="str">
        <x:v>PREDICTED_FIELD_OR_GOLD_OMISSION</x:v>
      </x:c>
      <x:c r="U58" s="25" t="str">
        <x:v>HIGH</x:v>
      </x:c>
      <x:c r="V58" s="25" t="str">
        <x:v>exact/strong</x:v>
      </x:c>
      <x:c r="W58" s="25" t="str">
        <x:v>5, 4</x:v>
      </x:c>
      <x:c r="X58" s="25" t="str">
        <x:v>hysteresis | hysteresis | Hysteresis</x:v>
      </x:c>
      <x:c r="Y58" s="25" t="str">
        <x:v>/Users/lihd/discovery/paleomagnetic-r3-workflow/dist/paleomagnetic-r357-calibrated-workflow-full/data/parsed_mds/4324.txt</x:v>
      </x:c>
      <x:c r="Z58" s="22" t="b">
        <x:v>0</x:v>
      </x:c>
      <x:c r="AA58" s="15" t="n">
        <x:f>--(F58=E58)</x:f>
        <x:v>0</x:v>
      </x:c>
    </x:row>
    <x:row r="59" ht="54" customHeight="1">
      <x:c r="A59" s="15" t="str">
        <x:v>4324</x:v>
      </x:c>
      <x:c r="B59" s="15" t="str">
        <x:v>10241</x:v>
      </x:c>
      <x:c r="C59" s="25" t="str">
        <x:v>Nilsiä Lamprophyre Dyke</x:v>
      </x:c>
      <x:c r="D59" s="25" t="str"/>
      <x:c r="E59" s="25" t="n">
        <x:v>0</x:v>
      </x:c>
      <x:c r="F59" s="25" t="n">
        <x:f>--(LEN(D59)&gt;0)</x:f>
        <x:v>0</x:v>
      </x:c>
      <x:c r="G59" s="25" t="str">
        <x:v>ABSTAIN_ANCHOR</x:v>
      </x:c>
      <x:c r="H59" s="25" t="str"/>
      <x:c r="I59" s="25" t="n">
        <x:v>0</x:v>
      </x:c>
      <x:c r="J59" s="25" t="str">
        <x:v>ABSTAIN_ANCHOR</x:v>
      </x:c>
      <x:c r="K59" s="25" t="str"/>
      <x:c r="L59" s="25" t="n">
        <x:v>0</x:v>
      </x:c>
      <x:c r="M59" s="25" t="n">
        <x:f>--(F59=--(LEN(H59)&gt;0))</x:f>
        <x:v>1</x:v>
      </x:c>
      <x:c r="N59" s="25" t="n">
        <x:f>--(F59=--(LEN(K59)&gt;0))</x:f>
        <x:v>1</x:v>
      </x:c>
      <x:c r="O59" s="25" t="n">
        <x:f>--(E59=I59)</x:f>
        <x:v>1</x:v>
      </x:c>
      <x:c r="P59" s="25" t="n">
        <x:f>--(E59=L59)</x:f>
        <x:v>1</x:v>
      </x:c>
      <x:c r="Q59" s="25" t="str"/>
      <x:c r="R59" s="25" t="str"/>
      <x:c r="S59" s="28" t="n">
        <x:v>1</x:v>
      </x:c>
      <x:c r="T59" s="25" t="str">
        <x:v>TRUE_BLANK</x:v>
      </x:c>
      <x:c r="U59" s="25" t="str">
        <x:v>LOW</x:v>
      </x:c>
      <x:c r="V59" s="25" t="str">
        <x:v>missing/missing</x:v>
      </x:c>
      <x:c r="W59" s="25" t="str"/>
      <x:c r="X59" s="25" t="str"/>
      <x:c r="Y59" s="25" t="str">
        <x:v>/Users/lihd/discovery/paleomagnetic-r3-workflow/dist/paleomagnetic-r357-calibrated-workflow-full/data/parsed_mds/4324.txt</x:v>
      </x:c>
      <x:c r="Z59" s="22" t="b">
        <x:v>0</x:v>
      </x:c>
      <x:c r="AA59" s="15" t="n">
        <x:f>--(F59=E59)</x:f>
        <x:v>1</x:v>
      </x:c>
    </x:row>
    <x:row r="60" ht="54" customHeight="1">
      <x:c r="A60" s="15" t="str">
        <x:v>4324</x:v>
      </x:c>
      <x:c r="B60" s="15" t="str">
        <x:v>10242</x:v>
      </x:c>
      <x:c r="C60" s="25" t="str">
        <x:v>Nilsiä Microtonalite Dykes</x:v>
      </x:c>
      <x:c r="D60" s="25" t="str"/>
      <x:c r="E60" s="25" t="n">
        <x:v>0</x:v>
      </x:c>
      <x:c r="F60" s="25" t="n">
        <x:f>--(LEN(D60)&gt;0)</x:f>
        <x:v>0</x:v>
      </x:c>
      <x:c r="G60" s="25" t="str">
        <x:v>ABSTAIN_ANCHOR</x:v>
      </x:c>
      <x:c r="H60" s="25" t="str"/>
      <x:c r="I60" s="25" t="n">
        <x:v>0</x:v>
      </x:c>
      <x:c r="J60" s="25" t="str">
        <x:v>ABSTAIN_ANCHOR</x:v>
      </x:c>
      <x:c r="K60" s="25" t="str"/>
      <x:c r="L60" s="25" t="n">
        <x:v>0</x:v>
      </x:c>
      <x:c r="M60" s="25" t="n">
        <x:f>--(F60=--(LEN(H60)&gt;0))</x:f>
        <x:v>1</x:v>
      </x:c>
      <x:c r="N60" s="25" t="n">
        <x:f>--(F60=--(LEN(K60)&gt;0))</x:f>
        <x:v>1</x:v>
      </x:c>
      <x:c r="O60" s="25" t="n">
        <x:f>--(E60=I60)</x:f>
        <x:v>1</x:v>
      </x:c>
      <x:c r="P60" s="25" t="n">
        <x:f>--(E60=L60)</x:f>
        <x:v>1</x:v>
      </x:c>
      <x:c r="Q60" s="25" t="str"/>
      <x:c r="R60" s="25" t="str"/>
      <x:c r="S60" s="28" t="n">
        <x:v>1</x:v>
      </x:c>
      <x:c r="T60" s="25" t="str">
        <x:v>TRUE_BLANK</x:v>
      </x:c>
      <x:c r="U60" s="25" t="str">
        <x:v>LOW</x:v>
      </x:c>
      <x:c r="V60" s="25" t="str">
        <x:v>missing/missing</x:v>
      </x:c>
      <x:c r="W60" s="25" t="str"/>
      <x:c r="X60" s="25" t="str"/>
      <x:c r="Y60" s="25" t="str">
        <x:v>/Users/lihd/discovery/paleomagnetic-r3-workflow/dist/paleomagnetic-r357-calibrated-workflow-full/data/parsed_mds/4324.txt</x:v>
      </x:c>
      <x:c r="Z60" s="22" t="b">
        <x:v>0</x:v>
      </x:c>
      <x:c r="AA60" s="15" t="n">
        <x:f>--(F60=E60)</x:f>
        <x:v>1</x:v>
      </x:c>
    </x:row>
    <x:row r="61" ht="54" customHeight="1">
      <x:c r="A61" s="15" t="str">
        <x:v>4339</x:v>
      </x:c>
      <x:c r="B61" s="15" t="str">
        <x:v>10263</x:v>
      </x:c>
      <x:c r="C61" s="25" t="str">
        <x:v>Northeastern Brazil Magmatism-1</x:v>
      </x:c>
      <x:c r="D61" s="25" t="str">
        <x:v>OP(TM,MAGN)</x:v>
      </x:c>
      <x:c r="E61" s="25" t="n">
        <x:v>0</x:v>
      </x:c>
      <x:c r="F61" s="25" t="n">
        <x:f>--(LEN(D61)&gt;0)</x:f>
        <x:v>1</x:v>
      </x:c>
      <x:c r="G61" s="25" t="str">
        <x:v>ABSENT</x:v>
      </x:c>
      <x:c r="H61" s="25" t="str"/>
      <x:c r="I61" s="25" t="n">
        <x:v>0</x:v>
      </x:c>
      <x:c r="J61" s="25" t="str">
        <x:v>ABSTAIN_INSUFFICIENT</x:v>
      </x:c>
      <x:c r="K61" s="25" t="str"/>
      <x:c r="L61" s="25" t="n">
        <x:v>0</x:v>
      </x:c>
      <x:c r="M61" s="25" t="n">
        <x:f>--(F61=--(LEN(H61)&gt;0))</x:f>
        <x:v>0</x:v>
      </x:c>
      <x:c r="N61" s="25" t="n">
        <x:f>--(F61=--(LEN(K61)&gt;0))</x:f>
        <x:v>0</x:v>
      </x:c>
      <x:c r="O61" s="25" t="n">
        <x:f>--(E61=I61)</x:f>
        <x:v>1</x:v>
      </x:c>
      <x:c r="P61" s="25" t="n">
        <x:f>--(E61=L61)</x:f>
        <x:v>1</x:v>
      </x:c>
      <x:c r="Q61" s="25" t="str"/>
      <x:c r="R61" s="25" t="str"/>
      <x:c r="S61" s="28" t="n">
        <x:v>0</x:v>
      </x:c>
      <x:c r="T61" s="25" t="str">
        <x:v>EVIDENCE_CHAIN_INCOMPLETE</x:v>
      </x:c>
      <x:c r="U61" s="25" t="str">
        <x:v>LOW</x:v>
      </x:c>
      <x:c r="V61" s="25" t="str">
        <x:v>token/strong</x:v>
      </x:c>
      <x:c r="W61" s="25" t="str"/>
      <x:c r="X61" s="25" t="str"/>
      <x:c r="Y61" s="25" t="str">
        <x:v>/Users/lihd/discovery/paleomagnetic-r3-workflow/dist/paleomagnetic-r357-calibrated-workflow-full/data/parsed_mds/4339.txt</x:v>
      </x:c>
      <x:c r="Z61" s="22" t="b">
        <x:v>0</x:v>
      </x:c>
      <x:c r="AA61" s="15" t="n">
        <x:f>--(F61=E61)</x:f>
        <x:v>0</x:v>
      </x:c>
    </x:row>
    <x:row r="62" ht="54" customHeight="1">
      <x:c r="A62" s="15" t="str">
        <x:v>4339</x:v>
      </x:c>
      <x:c r="B62" s="15" t="str">
        <x:v>10264</x:v>
      </x:c>
      <x:c r="C62" s="25" t="str">
        <x:v>Northeastern Brazil Magmatism-2</x:v>
      </x:c>
      <x:c r="D62" s="25" t="str">
        <x:v>OP(TM,MAGN)</x:v>
      </x:c>
      <x:c r="E62" s="25" t="n">
        <x:v>0</x:v>
      </x:c>
      <x:c r="F62" s="25" t="n">
        <x:f>--(LEN(D62)&gt;0)</x:f>
        <x:v>1</x:v>
      </x:c>
      <x:c r="G62" s="25" t="str">
        <x:v>ABSENT</x:v>
      </x:c>
      <x:c r="H62" s="25" t="str"/>
      <x:c r="I62" s="25" t="n">
        <x:v>0</x:v>
      </x:c>
      <x:c r="J62" s="25" t="str">
        <x:v>ABSTAIN_INSUFFICIENT</x:v>
      </x:c>
      <x:c r="K62" s="25" t="str"/>
      <x:c r="L62" s="25" t="n">
        <x:v>0</x:v>
      </x:c>
      <x:c r="M62" s="25" t="n">
        <x:f>--(F62=--(LEN(H62)&gt;0))</x:f>
        <x:v>0</x:v>
      </x:c>
      <x:c r="N62" s="25" t="n">
        <x:f>--(F62=--(LEN(K62)&gt;0))</x:f>
        <x:v>0</x:v>
      </x:c>
      <x:c r="O62" s="25" t="n">
        <x:f>--(E62=I62)</x:f>
        <x:v>1</x:v>
      </x:c>
      <x:c r="P62" s="25" t="n">
        <x:f>--(E62=L62)</x:f>
        <x:v>1</x:v>
      </x:c>
      <x:c r="Q62" s="25" t="str"/>
      <x:c r="R62" s="25" t="str"/>
      <x:c r="S62" s="28" t="n">
        <x:v>0</x:v>
      </x:c>
      <x:c r="T62" s="25" t="str">
        <x:v>EVIDENCE_CHAIN_INCOMPLETE</x:v>
      </x:c>
      <x:c r="U62" s="25" t="str">
        <x:v>LOW</x:v>
      </x:c>
      <x:c r="V62" s="25" t="str">
        <x:v>token/strong</x:v>
      </x:c>
      <x:c r="W62" s="25" t="str"/>
      <x:c r="X62" s="25" t="str"/>
      <x:c r="Y62" s="25" t="str">
        <x:v>/Users/lihd/discovery/paleomagnetic-r3-workflow/dist/paleomagnetic-r357-calibrated-workflow-full/data/parsed_mds/4339.txt</x:v>
      </x:c>
      <x:c r="Z62" s="22" t="b">
        <x:v>0</x:v>
      </x:c>
      <x:c r="AA62" s="15" t="n">
        <x:f>--(F62=E62)</x:f>
        <x:v>0</x:v>
      </x:c>
    </x:row>
    <x:row r="63" ht="54" customHeight="1">
      <x:c r="A63" s="15" t="str">
        <x:v>4339</x:v>
      </x:c>
      <x:c r="B63" s="15" t="str">
        <x:v>10265</x:v>
      </x:c>
      <x:c r="C63" s="25" t="str">
        <x:v>Ceara-Mirim Dikes II</x:v>
      </x:c>
      <x:c r="D63" s="25" t="str"/>
      <x:c r="E63" s="25" t="n">
        <x:v>0</x:v>
      </x:c>
      <x:c r="F63" s="25" t="n">
        <x:f>--(LEN(D63)&gt;0)</x:f>
        <x:v>0</x:v>
      </x:c>
      <x:c r="G63" s="25" t="str">
        <x:v>ABSENT</x:v>
      </x:c>
      <x:c r="H63" s="25" t="str"/>
      <x:c r="I63" s="25" t="n">
        <x:v>0</x:v>
      </x:c>
      <x:c r="J63" s="25" t="str">
        <x:v>ABSTAIN_INSUFFICIENT</x:v>
      </x:c>
      <x:c r="K63" s="25" t="str"/>
      <x:c r="L63" s="25" t="n">
        <x:v>0</x:v>
      </x:c>
      <x:c r="M63" s="25" t="n">
        <x:f>--(F63=--(LEN(H63)&gt;0))</x:f>
        <x:v>1</x:v>
      </x:c>
      <x:c r="N63" s="25" t="n">
        <x:f>--(F63=--(LEN(K63)&gt;0))</x:f>
        <x:v>1</x:v>
      </x:c>
      <x:c r="O63" s="25" t="n">
        <x:f>--(E63=I63)</x:f>
        <x:v>1</x:v>
      </x:c>
      <x:c r="P63" s="25" t="n">
        <x:f>--(E63=L63)</x:f>
        <x:v>1</x:v>
      </x:c>
      <x:c r="Q63" s="25" t="str"/>
      <x:c r="R63" s="25" t="str"/>
      <x:c r="S63" s="28" t="n">
        <x:v>1</x:v>
      </x:c>
      <x:c r="T63" s="25" t="str">
        <x:v>TRUE_BLANK</x:v>
      </x:c>
      <x:c r="U63" s="25" t="str">
        <x:v>LOW</x:v>
      </x:c>
      <x:c r="V63" s="25" t="str">
        <x:v>token/strong</x:v>
      </x:c>
      <x:c r="W63" s="25" t="str"/>
      <x:c r="X63" s="25" t="str"/>
      <x:c r="Y63" s="25" t="str">
        <x:v>/Users/lihd/discovery/paleomagnetic-r3-workflow/dist/paleomagnetic-r357-calibrated-workflow-full/data/parsed_mds/4339.txt</x:v>
      </x:c>
      <x:c r="Z63" s="22" t="b">
        <x:v>0</x:v>
      </x:c>
      <x:c r="AA63" s="15" t="n">
        <x:f>--(F63=E63)</x:f>
        <x:v>1</x:v>
      </x:c>
    </x:row>
  </x:sheetData>
  <x:conditionalFormatting sqref="M2:P63">
    <x:cfRule type="cellIs" dxfId="0" priority="1" operator="equal">
      <x:formula>1</x:formula>
    </x:cfRule>
    <x:cfRule type="cellIs" dxfId="1" priority="2" operator="equal">
      <x:formula>0</x:formula>
    </x:cfRule>
  </x:conditionalFormatting>
  <x:conditionalFormatting sqref="G2:G63">
    <x:cfRule type="containsText" dxfId="2" priority="3" operator="containsText" text="ABSTAIN"/>
  </x:conditionalFormatting>
  <x:conditionalFormatting sqref="J2:J63">
    <x:cfRule type="containsText" dxfId="3" priority="4" operator="containsText" text="ABSTAIN"/>
  </x:conditionalFormatting>
  <x:conditionalFormatting sqref="T2:T63">
    <x:cfRule type="containsText" dxfId="4" priority="5" operator="containsText" text="MATCH"/>
  </x:conditionalFormatting>
  <x:pageMargins left="0.7" right="0.7" top="0.75" bottom="0.75" header="0.3" footer="0.3"/>
  <x:tableParts count="1">
    <x:tablePart xmlns:r="http://schemas.openxmlformats.org/officeDocument/2006/relationships" r:id="R7e7ed653f66c48d1"/>
  </x:tableParts>
</x:worksheet>
</file>

<file path=xl/worksheets/sheet4.xml><?xml version="1.0" encoding="utf-8"?>
<x:worksheet xmlns:x="http://schemas.openxmlformats.org/spreadsheetml/2006/main">
  <x:sheetViews>
    <x:sheetView showGridLines="0" workbookViewId="0"/>
  </x:sheetViews>
  <x:sheetFormatPr defaultRowHeight="15"/>
  <x:cols>
    <x:col min="1" max="1" width="18" hidden="0" customWidth="1"/>
    <x:col min="2" max="2" width="18" hidden="0" customWidth="1"/>
    <x:col min="3" max="3" width="18" hidden="0" customWidth="1"/>
    <x:col min="4" max="4" width="34" hidden="0" customWidth="1"/>
    <x:col min="5" max="5" width="18" hidden="0" customWidth="1"/>
    <x:col min="6" max="6" width="30" hidden="0" customWidth="1"/>
    <x:col min="7" max="7" width="18" hidden="0" customWidth="1"/>
    <x:col min="8" max="8" width="18" hidden="0" customWidth="1"/>
    <x:col min="9" max="9" width="28" hidden="0" customWidth="1"/>
    <x:col min="10" max="10" width="76" hidden="0" customWidth="1"/>
    <x:col min="11" max="11" width="48" hidden="0" customWidth="1"/>
  </x:cols>
  <x:sheetData>
    <x:row r="1" ht="30" customHeight="1">
      <x:c r="A1" s="27" t="str">
        <x:v>POLICY</x:v>
      </x:c>
      <x:c r="B1" s="27" t="str">
        <x:v>REFNO</x:v>
      </x:c>
      <x:c r="C1" s="27" t="str">
        <x:v>RESULTNO</x:v>
      </x:c>
      <x:c r="D1" s="27" t="str">
        <x:v>ROCKNAME</x:v>
      </x:c>
      <x:c r="E1" s="27" t="str">
        <x:v>STATUS</x:v>
      </x:c>
      <x:c r="F1" s="27" t="str">
        <x:v>PREDICTED_ROCKMAG</x:v>
      </x:c>
      <x:c r="G1" s="27" t="str">
        <x:v>CATEGORY</x:v>
      </x:c>
      <x:c r="H1" s="27" t="str">
        <x:v>PAGE</x:v>
      </x:c>
      <x:c r="I1" s="27" t="str">
        <x:v>TARGET_BINDING</x:v>
      </x:c>
      <x:c r="J1" s="27" t="str">
        <x:v>QUOTE</x:v>
      </x:c>
      <x:c r="K1" s="27" t="str">
        <x:v>SOURCE_TEXT</x:v>
      </x:c>
    </x:row>
    <x:row r="2" ht="48" customHeight="1">
      <x:c r="A2" s="25" t="str">
        <x:v>practical</x:v>
      </x:c>
      <x:c r="B2" s="25" t="str">
        <x:v>3434</x:v>
      </x:c>
      <x:c r="C2" s="25" t="str">
        <x:v>8719</x:v>
      </x:c>
      <x:c r="D2" s="25" t="str">
        <x:v>West Branch Volcanics</x:v>
      </x:c>
      <x:c r="E2" s="25" t="str">
        <x:v>PRESENT</x:v>
      </x:c>
      <x:c r="F2" s="25" t="str">
        <x:v>SUSC-T(MAGN,HEM)</x:v>
      </x:c>
      <x:c r="G2" s="25" t="str">
        <x:v>method</x:v>
      </x:c>
      <x:c r="H2" s="25" t="n">
        <x:v>8</x:v>
      </x:c>
      <x:c r="I2" s="25" t="str">
        <x:v>near_target</x:v>
      </x:c>
      <x:c r="J2" s="25" t="str">
        <x:v>temperature changes of susceptibility</x:v>
      </x:c>
      <x:c r="K2" s="25" t="str">
        <x:v>/Users/lihd/discovery/paleomagnetic-r3-workflow/dist/paleomagnetic-r357-calibrated-workflow-full/data/parsed_mds/3434.txt</x:v>
      </x:c>
    </x:row>
    <x:row r="3" ht="48" customHeight="1">
      <x:c r="A3" s="25" t="str">
        <x:v>practical</x:v>
      </x:c>
      <x:c r="B3" s="25" t="str">
        <x:v>3434</x:v>
      </x:c>
      <x:c r="C3" s="25" t="str">
        <x:v>8719</x:v>
      </x:c>
      <x:c r="D3" s="25" t="str">
        <x:v>West Branch Volcanics</x:v>
      </x:c>
      <x:c r="E3" s="25" t="str">
        <x:v>PRESENT</x:v>
      </x:c>
      <x:c r="F3" s="25" t="str">
        <x:v>SUSC-T(MAGN,HEM)</x:v>
      </x:c>
      <x:c r="G3" s="25" t="str">
        <x:v>diagnostic</x:v>
      </x:c>
      <x:c r="H3" s="25" t="n">
        <x:v>5</x:v>
      </x:c>
      <x:c r="I3" s="25" t="str">
        <x:v>same_target_page</x:v>
      </x:c>
      <x:c r="J3" s="25" t="str">
        <x:v>yielding a total volcanics of a mineral with a Curie temperature of ≤580°C</x:v>
      </x:c>
      <x:c r="K3" s="25" t="str">
        <x:v>/Users/lihd/discovery/paleomagnetic-r3-workflow/dist/paleomagnetic-r357-calibrated-workflow-full/data/parsed_mds/3434.txt</x:v>
      </x:c>
    </x:row>
    <x:row r="4" ht="48" customHeight="1">
      <x:c r="A4" s="25" t="str">
        <x:v>practical</x:v>
      </x:c>
      <x:c r="B4" s="25" t="str">
        <x:v>3434</x:v>
      </x:c>
      <x:c r="C4" s="25" t="str">
        <x:v>8719</x:v>
      </x:c>
      <x:c r="D4" s="25" t="str">
        <x:v>West Branch Volcanics</x:v>
      </x:c>
      <x:c r="E4" s="25" t="str">
        <x:v>PRESENT</x:v>
      </x:c>
      <x:c r="F4" s="25" t="str">
        <x:v>SUSC-T(MAGN,HEM)</x:v>
      </x:c>
      <x:c r="G4" s="25" t="str">
        <x:v>carrier</x:v>
      </x:c>
      <x:c r="H4" s="25" t="n">
        <x:v>8</x:v>
      </x:c>
      <x:c r="I4" s="25" t="str">
        <x:v>near_target</x:v>
      </x:c>
      <x:c r="J4" s="25" t="str">
        <x:v>magnetite</x:v>
      </x:c>
      <x:c r="K4" s="25" t="str">
        <x:v>/Users/lihd/discovery/paleomagnetic-r3-workflow/dist/paleomagnetic-r357-calibrated-workflow-full/data/parsed_mds/3434.txt</x:v>
      </x:c>
    </x:row>
    <x:row r="5" ht="48" customHeight="1">
      <x:c r="A5" s="25" t="str">
        <x:v>practical</x:v>
      </x:c>
      <x:c r="B5" s="25" t="str">
        <x:v>3434</x:v>
      </x:c>
      <x:c r="C5" s="25" t="str">
        <x:v>8719</x:v>
      </x:c>
      <x:c r="D5" s="25" t="str">
        <x:v>West Branch Volcanics</x:v>
      </x:c>
      <x:c r="E5" s="25" t="str">
        <x:v>PRESENT</x:v>
      </x:c>
      <x:c r="F5" s="25" t="str">
        <x:v>SUSC-T(MAGN,HEM)</x:v>
      </x:c>
      <x:c r="G5" s="25" t="str">
        <x:v>carrier</x:v>
      </x:c>
      <x:c r="H5" s="25" t="n">
        <x:v>8</x:v>
      </x:c>
      <x:c r="I5" s="25" t="str">
        <x:v>target_context</x:v>
      </x:c>
      <x:c r="J5" s="25" t="str">
        <x:v>hematite</x:v>
      </x:c>
      <x:c r="K5" s="25" t="str">
        <x:v>/Users/lihd/discovery/paleomagnetic-r3-workflow/dist/paleomagnetic-r357-calibrated-workflow-full/data/parsed_mds/3434.txt</x:v>
      </x:c>
    </x:row>
    <x:row r="6" ht="48" customHeight="1">
      <x:c r="A6" s="25" t="str">
        <x:v>practical</x:v>
      </x:c>
      <x:c r="B6" s="25" t="str">
        <x:v>3434</x:v>
      </x:c>
      <x:c r="C6" s="25" t="str">
        <x:v>8719</x:v>
      </x:c>
      <x:c r="D6" s="25" t="str">
        <x:v>West Branch Volcanics</x:v>
      </x:c>
      <x:c r="E6" s="25" t="str">
        <x:v>PRESENT</x:v>
      </x:c>
      <x:c r="F6" s="25" t="str">
        <x:v>SUSC-T(MAGN,HEM)</x:v>
      </x:c>
      <x:c r="G6" s="25" t="str">
        <x:v>bridge</x:v>
      </x:c>
      <x:c r="H6" s="25" t="n">
        <x:v>8</x:v>
      </x:c>
      <x:c r="I6" s="25" t="str">
        <x:v>target_context</x:v>
      </x:c>
      <x:c r="J6" s="25" t="str">
        <x:v>magnetite, and another that unblocked at of the partial remagnetis</x:v>
      </x:c>
      <x:c r="K6" s="25" t="str">
        <x:v>/Users/lihd/discovery/paleomagnetic-r3-workflow/dist/paleomagnetic-r357-calibrated-workflow-full/data/parsed_mds/3434.txt</x:v>
      </x:c>
    </x:row>
    <x:row r="7" ht="48" customHeight="1">
      <x:c r="A7" s="25" t="str">
        <x:v>practical</x:v>
      </x:c>
      <x:c r="B7" s="25" t="str">
        <x:v>3434</x:v>
      </x:c>
      <x:c r="C7" s="25" t="str">
        <x:v>8719</x:v>
      </x:c>
      <x:c r="D7" s="25" t="str">
        <x:v>West Branch Volcanics</x:v>
      </x:c>
      <x:c r="E7" s="25" t="str">
        <x:v>PRESENT</x:v>
      </x:c>
      <x:c r="F7" s="25" t="str">
        <x:v>SUSC-T(MAGN,HEM)</x:v>
      </x:c>
      <x:c r="G7" s="25" t="str">
        <x:v>bridge</x:v>
      </x:c>
      <x:c r="H7" s="25" t="n">
        <x:v>8</x:v>
      </x:c>
      <x:c r="I7" s="25" t="str">
        <x:v>target_context</x:v>
      </x:c>
      <x:c r="J7" s="25" t="str">
        <x:v>overprint that affected magnetite but not the higher Curie MASTERTON SANDSTONE temperature hematite</x:v>
      </x:c>
      <x:c r="K7" s="25" t="str">
        <x:v>/Users/lihd/discovery/paleomagnetic-r3-workflow/dist/paleomagnetic-r357-calibrated-workflow-full/data/parsed_mds/3434.txt</x:v>
      </x:c>
    </x:row>
    <x:row r="8" ht="48" customHeight="1">
      <x:c r="A8" s="25" t="str">
        <x:v>practical</x:v>
      </x:c>
      <x:c r="B8" s="25" t="str">
        <x:v>3434</x:v>
      </x:c>
      <x:c r="C8" s="25" t="str">
        <x:v>8719</x:v>
      </x:c>
      <x:c r="D8" s="25" t="str">
        <x:v>West Branch Volcanics</x:v>
      </x:c>
      <x:c r="E8" s="25" t="str">
        <x:v>PRESENT</x:v>
      </x:c>
      <x:c r="F8" s="25" t="str">
        <x:v>SUSC-T(MAGN,HEM)</x:v>
      </x:c>
      <x:c r="G8" s="25" t="str">
        <x:v>bridge</x:v>
      </x:c>
      <x:c r="H8" s="25" t="n">
        <x:v>8</x:v>
      </x:c>
      <x:c r="I8" s="25" t="str">
        <x:v>target_context</x:v>
      </x:c>
      <x:c r="J8" s="25" t="str">
        <x:v>magnetite, and another that unblocked at of the partial remagnetisation</x:v>
      </x:c>
      <x:c r="K8" s="25" t="str">
        <x:v>/Users/lihd/discovery/paleomagnetic-r3-workflow/dist/paleomagnetic-r357-calibrated-workflow-full/data/parsed_mds/3434.txt</x:v>
      </x:c>
    </x:row>
    <x:row r="9" ht="48" customHeight="1">
      <x:c r="A9" s="25" t="str">
        <x:v>practical</x:v>
      </x:c>
      <x:c r="B9" s="25" t="str">
        <x:v>3434</x:v>
      </x:c>
      <x:c r="C9" s="25" t="str">
        <x:v>8719</x:v>
      </x:c>
      <x:c r="D9" s="25" t="str">
        <x:v>West Branch Volcanics</x:v>
      </x:c>
      <x:c r="E9" s="25" t="str">
        <x:v>PRESENT</x:v>
      </x:c>
      <x:c r="F9" s="25" t="str">
        <x:v>SUSC-T(MAGN,HEM)</x:v>
      </x:c>
      <x:c r="G9" s="25" t="str">
        <x:v>method</x:v>
      </x:c>
      <x:c r="H9" s="25" t="n">
        <x:v>5</x:v>
      </x:c>
      <x:c r="I9" s="25" t="str">
        <x:v>target_same_sentence</x:v>
      </x:c>
      <x:c r="J9" s="25" t="str">
        <x:v>Like most before demagnetisation by cooling in liquid nitrogen in Proterozoic volcanics in northern Australia, the West order to eliminate contributions of low-coercivity,multi- Branch Volcanics have been mildly to severely altered.</x:v>
      </x:c>
      <x:c r="K9" s="25" t="str">
        <x:v>/Users/lihd/discovery/paleomagnetic-r3-workflow/dist/paleomagnetic-r357-calibrated-workflow-full/data/parsed_mds/3434.txt</x:v>
      </x:c>
    </x:row>
    <x:row r="10" ht="48" customHeight="1">
      <x:c r="A10" s="25" t="str">
        <x:v>practical</x:v>
      </x:c>
      <x:c r="B10" s="25" t="str">
        <x:v>3434</x:v>
      </x:c>
      <x:c r="C10" s="25" t="str">
        <x:v>8738</x:v>
      </x:c>
      <x:c r="D10" s="25" t="str">
        <x:v>Paradise Creek Formation</x:v>
      </x:c>
      <x:c r="E10" s="25" t="str">
        <x:v>PRESENT</x:v>
      </x:c>
      <x:c r="F10" s="25" t="str">
        <x:v>IRM,SUSC-T</x:v>
      </x:c>
      <x:c r="G10" s="25" t="str">
        <x:v>method</x:v>
      </x:c>
      <x:c r="H10" s="25" t="n">
        <x:v>5</x:v>
      </x:c>
      <x:c r="I10" s="25" t="str">
        <x:v>same_target_page</x:v>
      </x:c>
      <x:c r="J10" s="25" t="str">
        <x:v>IRM</x:v>
      </x:c>
      <x:c r="K10" s="25" t="str">
        <x:v>/Users/lihd/discovery/paleomagnetic-r3-workflow/dist/paleomagnetic-r357-calibrated-workflow-full/data/parsed_mds/3434.txt</x:v>
      </x:c>
    </x:row>
    <x:row r="11" ht="48" customHeight="1">
      <x:c r="A11" s="25" t="str">
        <x:v>practical</x:v>
      </x:c>
      <x:c r="B11" s="25" t="str">
        <x:v>3434</x:v>
      </x:c>
      <x:c r="C11" s="25" t="str">
        <x:v>8738</x:v>
      </x:c>
      <x:c r="D11" s="25" t="str">
        <x:v>Paradise Creek Formation</x:v>
      </x:c>
      <x:c r="E11" s="25" t="str">
        <x:v>PRESENT</x:v>
      </x:c>
      <x:c r="F11" s="25" t="str">
        <x:v>IRM,SUSC-T</x:v>
      </x:c>
      <x:c r="G11" s="25" t="str">
        <x:v>diagnostic</x:v>
      </x:c>
      <x:c r="H11" s="25" t="n">
        <x:v>5</x:v>
      </x:c>
      <x:c r="I11" s="25" t="str">
        <x:v>same_target_page</x:v>
      </x:c>
      <x:c r="J11" s="25" t="str">
        <x:v>yielding a total volcanics of a mineral with a Curie temperature of ≤580°C</x:v>
      </x:c>
      <x:c r="K11" s="25" t="str">
        <x:v>/Users/lihd/discovery/paleomagnetic-r3-workflow/dist/paleomagnetic-r357-calibrated-workflow-full/data/parsed_mds/3434.txt</x:v>
      </x:c>
    </x:row>
    <x:row r="12" ht="48" customHeight="1">
      <x:c r="A12" s="25" t="str">
        <x:v>practical</x:v>
      </x:c>
      <x:c r="B12" s="25" t="str">
        <x:v>3434</x:v>
      </x:c>
      <x:c r="C12" s="25" t="str">
        <x:v>8738</x:v>
      </x:c>
      <x:c r="D12" s="25" t="str">
        <x:v>Paradise Creek Formation</x:v>
      </x:c>
      <x:c r="E12" s="25" t="str">
        <x:v>PRESENT</x:v>
      </x:c>
      <x:c r="F12" s="25" t="str">
        <x:v>IRM,SUSC-T</x:v>
      </x:c>
      <x:c r="G12" s="25" t="str">
        <x:v>method</x:v>
      </x:c>
      <x:c r="H12" s="25" t="n">
        <x:v>5</x:v>
      </x:c>
      <x:c r="I12" s="25" t="str">
        <x:v>same_target_page</x:v>
      </x:c>
      <x:c r="J12" s="25" t="str">
        <x:v>coercivity</x:v>
      </x:c>
      <x:c r="K12" s="25" t="str">
        <x:v>/Users/lihd/discovery/paleomagnetic-r3-workflow/dist/paleomagnetic-r357-calibrated-workflow-full/data/parsed_mds/3434.txt</x:v>
      </x:c>
    </x:row>
    <x:row r="13" ht="48" customHeight="1">
      <x:c r="A13" s="25" t="str">
        <x:v>practical</x:v>
      </x:c>
      <x:c r="B13" s="25" t="str">
        <x:v>3434</x:v>
      </x:c>
      <x:c r="C13" s="25" t="str">
        <x:v>8739</x:v>
      </x:c>
      <x:c r="D13" s="25" t="str">
        <x:v>Esperanza Formation</x:v>
      </x:c>
      <x:c r="E13" s="25" t="str">
        <x:v>PRESENT</x:v>
      </x:c>
      <x:c r="F13" s="25" t="str">
        <x:v>IRM,SUSC-T</x:v>
      </x:c>
      <x:c r="G13" s="25" t="str">
        <x:v>method</x:v>
      </x:c>
      <x:c r="H13" s="25" t="n">
        <x:v>5</x:v>
      </x:c>
      <x:c r="I13" s="25" t="str">
        <x:v>same_target_page</x:v>
      </x:c>
      <x:c r="J13" s="25" t="str">
        <x:v>IRM</x:v>
      </x:c>
      <x:c r="K13" s="25" t="str">
        <x:v>/Users/lihd/discovery/paleomagnetic-r3-workflow/dist/paleomagnetic-r357-calibrated-workflow-full/data/parsed_mds/3434.txt</x:v>
      </x:c>
    </x:row>
    <x:row r="14" ht="48" customHeight="1">
      <x:c r="A14" s="25" t="str">
        <x:v>practical</x:v>
      </x:c>
      <x:c r="B14" s="25" t="str">
        <x:v>3434</x:v>
      </x:c>
      <x:c r="C14" s="25" t="str">
        <x:v>8739</x:v>
      </x:c>
      <x:c r="D14" s="25" t="str">
        <x:v>Esperanza Formation</x:v>
      </x:c>
      <x:c r="E14" s="25" t="str">
        <x:v>PRESENT</x:v>
      </x:c>
      <x:c r="F14" s="25" t="str">
        <x:v>IRM,SUSC-T</x:v>
      </x:c>
      <x:c r="G14" s="25" t="str">
        <x:v>diagnostic</x:v>
      </x:c>
      <x:c r="H14" s="25" t="n">
        <x:v>5</x:v>
      </x:c>
      <x:c r="I14" s="25" t="str">
        <x:v>same_target_page</x:v>
      </x:c>
      <x:c r="J14" s="25" t="str">
        <x:v>yielding a total volcanics of a mineral with a Curie temperature of ≤580°C</x:v>
      </x:c>
      <x:c r="K14" s="25" t="str">
        <x:v>/Users/lihd/discovery/paleomagnetic-r3-workflow/dist/paleomagnetic-r357-calibrated-workflow-full/data/parsed_mds/3434.txt</x:v>
      </x:c>
    </x:row>
    <x:row r="15" ht="48" customHeight="1">
      <x:c r="A15" s="25" t="str">
        <x:v>practical</x:v>
      </x:c>
      <x:c r="B15" s="25" t="str">
        <x:v>3434</x:v>
      </x:c>
      <x:c r="C15" s="25" t="str">
        <x:v>8739</x:v>
      </x:c>
      <x:c r="D15" s="25" t="str">
        <x:v>Esperanza Formation</x:v>
      </x:c>
      <x:c r="E15" s="25" t="str">
        <x:v>PRESENT</x:v>
      </x:c>
      <x:c r="F15" s="25" t="str">
        <x:v>IRM,SUSC-T</x:v>
      </x:c>
      <x:c r="G15" s="25" t="str">
        <x:v>method</x:v>
      </x:c>
      <x:c r="H15" s="25" t="n">
        <x:v>5</x:v>
      </x:c>
      <x:c r="I15" s="25" t="str">
        <x:v>same_target_page</x:v>
      </x:c>
      <x:c r="J15" s="25" t="str">
        <x:v>coercivity</x:v>
      </x:c>
      <x:c r="K15" s="25" t="str">
        <x:v>/Users/lihd/discovery/paleomagnetic-r3-workflow/dist/paleomagnetic-r357-calibrated-workflow-full/data/parsed_mds/3434.txt</x:v>
      </x:c>
    </x:row>
    <x:row r="16" ht="48" customHeight="1">
      <x:c r="A16" s="25" t="str">
        <x:v>practical</x:v>
      </x:c>
      <x:c r="B16" s="25" t="str">
        <x:v>3434</x:v>
      </x:c>
      <x:c r="C16" s="25" t="str">
        <x:v>8739</x:v>
      </x:c>
      <x:c r="D16" s="25" t="str">
        <x:v>Esperanza Formation</x:v>
      </x:c>
      <x:c r="E16" s="25" t="str">
        <x:v>PRESENT</x:v>
      </x:c>
      <x:c r="F16" s="25" t="str">
        <x:v>IRM,SUSC-T</x:v>
      </x:c>
      <x:c r="G16" s="25" t="str">
        <x:v>method</x:v>
      </x:c>
      <x:c r="H16" s="25" t="n">
        <x:v>5</x:v>
      </x:c>
      <x:c r="I16" s="25" t="str">
        <x:v>same_target_page</x:v>
      </x:c>
      <x:c r="J16" s="25" t="str">
        <x:v>unblocking temperature</x:v>
      </x:c>
      <x:c r="K16" s="25" t="str">
        <x:v>/Users/lihd/discovery/paleomagnetic-r3-workflow/dist/paleomagnetic-r357-calibrated-workflow-full/data/parsed_mds/3434.txt</x:v>
      </x:c>
    </x:row>
    <x:row r="17" ht="48" customHeight="1">
      <x:c r="A17" s="25" t="str">
        <x:v>practical</x:v>
      </x:c>
      <x:c r="B17" s="25" t="str">
        <x:v>3434</x:v>
      </x:c>
      <x:c r="C17" s="25" t="str">
        <x:v>8740</x:v>
      </x:c>
      <x:c r="D17" s="25" t="str">
        <x:v>Lawn Hill Formation</x:v>
      </x:c>
      <x:c r="E17" s="25" t="str">
        <x:v>PRESENT</x:v>
      </x:c>
      <x:c r="F17" s="25" t="str">
        <x:v>IRM,SUSC-T</x:v>
      </x:c>
      <x:c r="G17" s="25" t="str">
        <x:v>method</x:v>
      </x:c>
      <x:c r="H17" s="25" t="n">
        <x:v>5</x:v>
      </x:c>
      <x:c r="I17" s="25" t="str">
        <x:v>target_same_sentence</x:v>
      </x:c>
      <x:c r="J17" s="25" t="str">
        <x:v>Normally two or more specimens were demagnetised per sample.Both thermomagnetic analysis (Figure 3a) and RESULTS remanence intensity behaviour during thermal demag- Four formations were sampled in the McArthur Basin and netisation (Figure 3b) indicated the presence in the nine formations in the Lawn Hill Platform,yielding a total volcanics of a mineral with a Curie temperature of ≤580°C, 9002 yraurbeF 21 80:01 :tA ]ailartsuA nretseW fO ytisrevinU[ :yB dedaolnwoD</x:v>
      </x:c>
      <x:c r="K17" s="25" t="str">
        <x:v>/Users/lihd/discovery/paleomagnetic-r3-workflow/dist/paleomagnetic-r357-calibrated-workflow-full/data/parsed_mds/3434.txt</x:v>
      </x:c>
    </x:row>
    <x:row r="18" ht="48" customHeight="1">
      <x:c r="A18" s="25" t="str">
        <x:v>practical</x:v>
      </x:c>
      <x:c r="B18" s="25" t="str">
        <x:v>3434</x:v>
      </x:c>
      <x:c r="C18" s="25" t="str">
        <x:v>8740</x:v>
      </x:c>
      <x:c r="D18" s="25" t="str">
        <x:v>Lawn Hill Formation</x:v>
      </x:c>
      <x:c r="E18" s="25" t="str">
        <x:v>PRESENT</x:v>
      </x:c>
      <x:c r="F18" s="25" t="str">
        <x:v>IRM,SUSC-T</x:v>
      </x:c>
      <x:c r="G18" s="25" t="str">
        <x:v>method</x:v>
      </x:c>
      <x:c r="H18" s="25" t="n">
        <x:v>5</x:v>
      </x:c>
      <x:c r="I18" s="25" t="str">
        <x:v>same_target_page</x:v>
      </x:c>
      <x:c r="J18" s="25" t="str">
        <x:v>IRM</x:v>
      </x:c>
      <x:c r="K18" s="25" t="str">
        <x:v>/Users/lihd/discovery/paleomagnetic-r3-workflow/dist/paleomagnetic-r357-calibrated-workflow-full/data/parsed_mds/3434.txt</x:v>
      </x:c>
    </x:row>
    <x:row r="19" ht="48" customHeight="1">
      <x:c r="A19" s="25" t="str">
        <x:v>practical</x:v>
      </x:c>
      <x:c r="B19" s="25" t="str">
        <x:v>3434</x:v>
      </x:c>
      <x:c r="C19" s="25" t="str">
        <x:v>8740</x:v>
      </x:c>
      <x:c r="D19" s="25" t="str">
        <x:v>Lawn Hill Formation</x:v>
      </x:c>
      <x:c r="E19" s="25" t="str">
        <x:v>PRESENT</x:v>
      </x:c>
      <x:c r="F19" s="25" t="str">
        <x:v>IRM,SUSC-T</x:v>
      </x:c>
      <x:c r="G19" s="25" t="str">
        <x:v>diagnostic</x:v>
      </x:c>
      <x:c r="H19" s="25" t="n">
        <x:v>5</x:v>
      </x:c>
      <x:c r="I19" s="25" t="str">
        <x:v>target_same_sentence</x:v>
      </x:c>
      <x:c r="J19" s="25" t="str">
        <x:v>Normally two or more specimens were demagnetised per sample.Both thermomagnetic analysis (Figure 3a) and RESULTS remanence intensity behaviour during thermal demag- Four formations were sampled in the McArthur Basin and netisation (Figure 3b) indicated the presence in the nine formations in the Lawn Hill Platform,yielding a total volcanics of a mineral with a Curie temperature of ≤580°C, 9002 yraurbeF 21 80:01 :tA ]ailartsuA nretseW fO ytisrevinU[ :yB dedaolnwoD</x:v>
      </x:c>
      <x:c r="K19" s="25" t="str">
        <x:v>/Users/lihd/discovery/paleomagnetic-r3-workflow/dist/paleomagnetic-r357-calibrated-workflow-full/data/parsed_mds/3434.txt</x:v>
      </x:c>
    </x:row>
    <x:row r="20" ht="48" customHeight="1">
      <x:c r="A20" s="25" t="str">
        <x:v>practical</x:v>
      </x:c>
      <x:c r="B20" s="25" t="str">
        <x:v>3434</x:v>
      </x:c>
      <x:c r="C20" s="25" t="str">
        <x:v>8740</x:v>
      </x:c>
      <x:c r="D20" s="25" t="str">
        <x:v>Lawn Hill Formation</x:v>
      </x:c>
      <x:c r="E20" s="25" t="str">
        <x:v>PRESENT</x:v>
      </x:c>
      <x:c r="F20" s="25" t="str">
        <x:v>IRM,SUSC-T</x:v>
      </x:c>
      <x:c r="G20" s="25" t="str">
        <x:v>method</x:v>
      </x:c>
      <x:c r="H20" s="25" t="n">
        <x:v>5</x:v>
      </x:c>
      <x:c r="I20" s="25" t="str">
        <x:v>target_same_sentence</x:v>
      </x:c>
      <x:c r="J20" s="25" t="str">
        <x:v>Most McArthur Basin (localities L1.1–L1.7,Figure 1).Dated at ca specimens were demagnetised thermally.Depending on the 1709Ma by SHRIMP U–Pb analysis of zircons (Kruse et al. unblocking temperature, 15 to 25 stepwise heatings were 1994), they represent the youngest flows extruded at dif- required.Specimens from sites that yielded large scatters ferent centres along a ~1000km northwesterly band across in remanence directions were first partly demagnetised by the Lawn Hill Platform and McArthur Basin during a AF before thermal treatments in an attempt to remove ran- 20 million year period of mainly felsic magmatism.</x:v>
      </x:c>
      <x:c r="K20" s="25" t="str">
        <x:v>/Users/lihd/discovery/paleomagnetic-r3-workflow/dist/paleomagnetic-r357-calibrated-workflow-full/data/parsed_mds/3434.txt</x:v>
      </x:c>
    </x:row>
    <x:row r="21" ht="48" customHeight="1">
      <x:c r="A21" s="25" t="str">
        <x:v>practical</x:v>
      </x:c>
      <x:c r="B21" s="25" t="str">
        <x:v>3434</x:v>
      </x:c>
      <x:c r="C21" s="25" t="str">
        <x:v>8740</x:v>
      </x:c>
      <x:c r="D21" s="25" t="str">
        <x:v>Lawn Hill Formation</x:v>
      </x:c>
      <x:c r="E21" s="25" t="str">
        <x:v>PRESENT</x:v>
      </x:c>
      <x:c r="F21" s="25" t="str">
        <x:v>IRM,SUSC-T</x:v>
      </x:c>
      <x:c r="G21" s="25" t="str">
        <x:v>method</x:v>
      </x:c>
      <x:c r="H21" s="25" t="n">
        <x:v>5</x:v>
      </x:c>
      <x:c r="I21" s="25" t="str">
        <x:v>target_context</x:v>
      </x:c>
      <x:c r="J21" s="25" t="str">
        <x:v>coercivity</x:v>
      </x:c>
      <x:c r="K21" s="25" t="str">
        <x:v>/Users/lihd/discovery/paleomagnetic-r3-workflow/dist/paleomagnetic-r357-calibrated-workflow-full/data/parsed_mds/3434.txt</x:v>
      </x:c>
    </x:row>
    <x:row r="22" ht="48" customHeight="1">
      <x:c r="A22" s="25" t="str">
        <x:v>practical</x:v>
      </x:c>
      <x:c r="B22" s="25" t="str">
        <x:v>3774</x:v>
      </x:c>
      <x:c r="C22" s="25" t="str">
        <x:v>9410</x:v>
      </x:c>
      <x:c r="D22" s="25" t="str">
        <x:v>Modipe Gabbro</x:v>
      </x:c>
      <x:c r="E22" s="25" t="str">
        <x:v>ABSTAIN_IDENTITY</x:v>
      </x:c>
      <x:c r="F22" s="25" t="str"/>
      <x:c r="G22" s="25" t="str">
        <x:v>method</x:v>
      </x:c>
      <x:c r="H22" s="25" t="n">
        <x:v>3</x:v>
      </x:c>
      <x:c r="I22" s="25" t="str">
        <x:v>target_context</x:v>
      </x:c>
      <x:c r="J22" s="25" t="str">
        <x:v>hysteresis</x:v>
      </x:c>
      <x:c r="K22" s="25" t="str">
        <x:v>/Users/lihd/discovery/paleomagnetic-r3-workflow/dist/paleomagnetic-r357-calibrated-workflow-full/data/parsed_mds/3774.txt</x:v>
      </x:c>
    </x:row>
    <x:row r="23" ht="48" customHeight="1">
      <x:c r="A23" s="25" t="str">
        <x:v>practical</x:v>
      </x:c>
      <x:c r="B23" s="25" t="str">
        <x:v>3774</x:v>
      </x:c>
      <x:c r="C23" s="25" t="str">
        <x:v>9410</x:v>
      </x:c>
      <x:c r="D23" s="25" t="str">
        <x:v>Modipe Gabbro</x:v>
      </x:c>
      <x:c r="E23" s="25" t="str">
        <x:v>ABSTAIN_IDENTITY</x:v>
      </x:c>
      <x:c r="F23" s="25" t="str"/>
      <x:c r="G23" s="25" t="str">
        <x:v>method</x:v>
      </x:c>
      <x:c r="H23" s="25" t="n">
        <x:v>8</x:v>
      </x:c>
      <x:c r="I23" s="25" t="str">
        <x:v>target_context</x:v>
      </x:c>
      <x:c r="J23" s="25" t="str">
        <x:v>Hysteresis</x:v>
      </x:c>
      <x:c r="K23" s="25" t="str">
        <x:v>/Users/lihd/discovery/paleomagnetic-r3-workflow/dist/paleomagnetic-r357-calibrated-workflow-full/data/parsed_mds/3774.txt</x:v>
      </x:c>
    </x:row>
    <x:row r="24" ht="48" customHeight="1">
      <x:c r="A24" s="25" t="str">
        <x:v>practical</x:v>
      </x:c>
      <x:c r="B24" s="25" t="str">
        <x:v>3774</x:v>
      </x:c>
      <x:c r="C24" s="25" t="str">
        <x:v>9410</x:v>
      </x:c>
      <x:c r="D24" s="25" t="str">
        <x:v>Modipe Gabbro</x:v>
      </x:c>
      <x:c r="E24" s="25" t="str">
        <x:v>ABSTAIN_IDENTITY</x:v>
      </x:c>
      <x:c r="F24" s="25" t="str"/>
      <x:c r="G24" s="25" t="str">
        <x:v>method</x:v>
      </x:c>
      <x:c r="H24" s="25" t="n">
        <x:v>1</x:v>
      </x:c>
      <x:c r="I24" s="25" t="str">
        <x:v>same_target_page</x:v>
      </x:c>
      <x:c r="J24" s="25" t="str">
        <x:v>FORC</x:v>
      </x:c>
      <x:c r="K24" s="25" t="str">
        <x:v>/Users/lihd/discovery/paleomagnetic-r3-workflow/dist/paleomagnetic-r357-calibrated-workflow-full/data/parsed_mds/3774.txt</x:v>
      </x:c>
    </x:row>
    <x:row r="25" ht="48" customHeight="1">
      <x:c r="A25" s="25" t="str">
        <x:v>practical</x:v>
      </x:c>
      <x:c r="B25" s="25" t="str">
        <x:v>3774</x:v>
      </x:c>
      <x:c r="C25" s="25" t="str">
        <x:v>9410</x:v>
      </x:c>
      <x:c r="D25" s="25" t="str">
        <x:v>Modipe Gabbro</x:v>
      </x:c>
      <x:c r="E25" s="25" t="str">
        <x:v>ABSTAIN_IDENTITY</x:v>
      </x:c>
      <x:c r="F25" s="25" t="str"/>
      <x:c r="G25" s="25" t="str">
        <x:v>carrier</x:v>
      </x:c>
      <x:c r="H25" s="25" t="n">
        <x:v>3</x:v>
      </x:c>
      <x:c r="I25" s="25" t="str">
        <x:v>target_same_sentence</x:v>
      </x:c>
      <x:c r="J25" s="25" t="str">
        <x:v>Indeed, and7 Cresults.Anexamplefrom eachcategoryis occasional large magnetite grains are present in the shown in Figure 6, and the results for all 25 speci- Modipe Gabbro [Evans et al., 1968].</x:v>
      </x:c>
      <x:c r="K25" s="25" t="str">
        <x:v>/Users/lihd/discovery/paleomagnetic-r3-workflow/dist/paleomagnetic-r357-calibrated-workflow-full/data/parsed_mds/3774.txt</x:v>
      </x:c>
    </x:row>
    <x:row r="26" ht="48" customHeight="1">
      <x:c r="A26" s="25" t="str">
        <x:v>practical</x:v>
      </x:c>
      <x:c r="B26" s="25" t="str">
        <x:v>3774</x:v>
      </x:c>
      <x:c r="C26" s="25" t="str">
        <x:v>9410</x:v>
      </x:c>
      <x:c r="D26" s="25" t="str">
        <x:v>Modipe Gabbro</x:v>
      </x:c>
      <x:c r="E26" s="25" t="str">
        <x:v>ABSTAIN_IDENTITY</x:v>
      </x:c>
      <x:c r="F26" s="25" t="str"/>
      <x:c r="G26" s="25" t="str">
        <x:v>carrier</x:v>
      </x:c>
      <x:c r="H26" s="25" t="n">
        <x:v>3</x:v>
      </x:c>
      <x:c r="I26" s="25" t="str">
        <x:v>same_target_page</x:v>
      </x:c>
      <x:c r="J26" s="25" t="str">
        <x:v>magnetite</x:v>
      </x:c>
      <x:c r="K26" s="25" t="str">
        <x:v>/Users/lihd/discovery/paleomagnetic-r3-workflow/dist/paleomagnetic-r357-calibrated-workflow-full/data/parsed_mds/3774.txt</x:v>
      </x:c>
    </x:row>
    <x:row r="27" ht="48" customHeight="1">
      <x:c r="A27" s="25" t="str">
        <x:v>practical</x:v>
      </x:c>
      <x:c r="B27" s="25" t="str">
        <x:v>3774</x:v>
      </x:c>
      <x:c r="C27" s="25" t="str">
        <x:v>9410</x:v>
      </x:c>
      <x:c r="D27" s="25" t="str">
        <x:v>Modipe Gabbro</x:v>
      </x:c>
      <x:c r="E27" s="25" t="str">
        <x:v>ABSTAIN_IDENTITY</x:v>
      </x:c>
      <x:c r="F27" s="25" t="str"/>
      <x:c r="G27" s="25" t="str">
        <x:v>carrier</x:v>
      </x:c>
      <x:c r="H27" s="25" t="n">
        <x:v>4</x:v>
      </x:c>
      <x:c r="I27" s="25" t="str">
        <x:v>same_target_page</x:v>
      </x:c>
      <x:c r="J27" s="25" t="str">
        <x:v>magnetite</x:v>
      </x:c>
      <x:c r="K27" s="25" t="str">
        <x:v>/Users/lihd/discovery/paleomagnetic-r3-workflow/dist/paleomagnetic-r357-calibrated-workflow-full/data/parsed_mds/3774.txt</x:v>
      </x:c>
    </x:row>
    <x:row r="28" ht="48" customHeight="1">
      <x:c r="A28" s="25" t="str">
        <x:v>practical</x:v>
      </x:c>
      <x:c r="B28" s="25" t="str">
        <x:v>3774</x:v>
      </x:c>
      <x:c r="C28" s="25" t="str">
        <x:v>9410</x:v>
      </x:c>
      <x:c r="D28" s="25" t="str">
        <x:v>Modipe Gabbro</x:v>
      </x:c>
      <x:c r="E28" s="25" t="str">
        <x:v>ABSTAIN_IDENTITY</x:v>
      </x:c>
      <x:c r="F28" s="25" t="str"/>
      <x:c r="G28" s="25" t="str">
        <x:v>carrier</x:v>
      </x:c>
      <x:c r="H28" s="25" t="n">
        <x:v>8</x:v>
      </x:c>
      <x:c r="I28" s="25" t="str">
        <x:v>same_target_page</x:v>
      </x:c>
      <x:c r="J28" s="25" t="str">
        <x:v>magnetite</x:v>
      </x:c>
      <x:c r="K28" s="25" t="str">
        <x:v>/Users/lihd/discovery/paleomagnetic-r3-workflow/dist/paleomagnetic-r357-calibrated-workflow-full/data/parsed_mds/3774.txt</x:v>
      </x:c>
    </x:row>
    <x:row r="29" ht="48" customHeight="1">
      <x:c r="A29" s="25" t="str">
        <x:v>practical</x:v>
      </x:c>
      <x:c r="B29" s="25" t="str">
        <x:v>3774</x:v>
      </x:c>
      <x:c r="C29" s="25" t="str">
        <x:v>9410</x:v>
      </x:c>
      <x:c r="D29" s="25" t="str">
        <x:v>Modipe Gabbro</x:v>
      </x:c>
      <x:c r="E29" s="25" t="str">
        <x:v>ABSTAIN_IDENTITY</x:v>
      </x:c>
      <x:c r="F29" s="25" t="str"/>
      <x:c r="G29" s="25" t="str">
        <x:v>bridge</x:v>
      </x:c>
      <x:c r="H29" s="25" t="n">
        <x:v>8</x:v>
      </x:c>
      <x:c r="I29" s="25" t="str">
        <x:v>same_target_page</x:v>
      </x:c>
      <x:c r="J29" s="25" t="str">
        <x:v>TRM in single-domain (2007), Geomagnetic field strength 3.2 billion years ago magnetite</x:v>
      </x:c>
      <x:c r="K29" s="25" t="str">
        <x:v>/Users/lihd/discovery/paleomagnetic-r3-workflow/dist/paleomagnetic-r357-calibrated-workflow-full/data/parsed_mds/3774.txt</x:v>
      </x:c>
    </x:row>
    <x:row r="30" ht="48" customHeight="1">
      <x:c r="A30" s="25" t="str">
        <x:v>practical</x:v>
      </x:c>
      <x:c r="B30" s="25" t="str">
        <x:v>3774</x:v>
      </x:c>
      <x:c r="C30" s="25" t="str">
        <x:v>9411</x:v>
      </x:c>
      <x:c r="D30" s="25" t="str">
        <x:v>Modipe Gabbro</x:v>
      </x:c>
      <x:c r="E30" s="25" t="str">
        <x:v>ABSTAIN_IDENTITY</x:v>
      </x:c>
      <x:c r="F30" s="25" t="str"/>
      <x:c r="G30" s="25" t="str">
        <x:v>method</x:v>
      </x:c>
      <x:c r="H30" s="25" t="n">
        <x:v>3</x:v>
      </x:c>
      <x:c r="I30" s="25" t="str">
        <x:v>target_context</x:v>
      </x:c>
      <x:c r="J30" s="25" t="str">
        <x:v>hysteresis</x:v>
      </x:c>
      <x:c r="K30" s="25" t="str">
        <x:v>/Users/lihd/discovery/paleomagnetic-r3-workflow/dist/paleomagnetic-r357-calibrated-workflow-full/data/parsed_mds/3774.txt</x:v>
      </x:c>
    </x:row>
    <x:row r="31" ht="48" customHeight="1">
      <x:c r="A31" s="25" t="str">
        <x:v>practical</x:v>
      </x:c>
      <x:c r="B31" s="25" t="str">
        <x:v>3774</x:v>
      </x:c>
      <x:c r="C31" s="25" t="str">
        <x:v>9411</x:v>
      </x:c>
      <x:c r="D31" s="25" t="str">
        <x:v>Modipe Gabbro</x:v>
      </x:c>
      <x:c r="E31" s="25" t="str">
        <x:v>ABSTAIN_IDENTITY</x:v>
      </x:c>
      <x:c r="F31" s="25" t="str"/>
      <x:c r="G31" s="25" t="str">
        <x:v>method</x:v>
      </x:c>
      <x:c r="H31" s="25" t="n">
        <x:v>8</x:v>
      </x:c>
      <x:c r="I31" s="25" t="str">
        <x:v>target_context</x:v>
      </x:c>
      <x:c r="J31" s="25" t="str">
        <x:v>Hysteresis</x:v>
      </x:c>
      <x:c r="K31" s="25" t="str">
        <x:v>/Users/lihd/discovery/paleomagnetic-r3-workflow/dist/paleomagnetic-r357-calibrated-workflow-full/data/parsed_mds/3774.txt</x:v>
      </x:c>
    </x:row>
    <x:row r="32" ht="48" customHeight="1">
      <x:c r="A32" s="25" t="str">
        <x:v>practical</x:v>
      </x:c>
      <x:c r="B32" s="25" t="str">
        <x:v>3774</x:v>
      </x:c>
      <x:c r="C32" s="25" t="str">
        <x:v>9411</x:v>
      </x:c>
      <x:c r="D32" s="25" t="str">
        <x:v>Modipe Gabbro</x:v>
      </x:c>
      <x:c r="E32" s="25" t="str">
        <x:v>ABSTAIN_IDENTITY</x:v>
      </x:c>
      <x:c r="F32" s="25" t="str"/>
      <x:c r="G32" s="25" t="str">
        <x:v>method</x:v>
      </x:c>
      <x:c r="H32" s="25" t="n">
        <x:v>1</x:v>
      </x:c>
      <x:c r="I32" s="25" t="str">
        <x:v>same_target_page</x:v>
      </x:c>
      <x:c r="J32" s="25" t="str">
        <x:v>FORC</x:v>
      </x:c>
      <x:c r="K32" s="25" t="str">
        <x:v>/Users/lihd/discovery/paleomagnetic-r3-workflow/dist/paleomagnetic-r357-calibrated-workflow-full/data/parsed_mds/3774.txt</x:v>
      </x:c>
    </x:row>
    <x:row r="33" ht="48" customHeight="1">
      <x:c r="A33" s="25" t="str">
        <x:v>practical</x:v>
      </x:c>
      <x:c r="B33" s="25" t="str">
        <x:v>3774</x:v>
      </x:c>
      <x:c r="C33" s="25" t="str">
        <x:v>9411</x:v>
      </x:c>
      <x:c r="D33" s="25" t="str">
        <x:v>Modipe Gabbro</x:v>
      </x:c>
      <x:c r="E33" s="25" t="str">
        <x:v>ABSTAIN_IDENTITY</x:v>
      </x:c>
      <x:c r="F33" s="25" t="str"/>
      <x:c r="G33" s="25" t="str">
        <x:v>carrier</x:v>
      </x:c>
      <x:c r="H33" s="25" t="n">
        <x:v>3</x:v>
      </x:c>
      <x:c r="I33" s="25" t="str">
        <x:v>target_same_sentence</x:v>
      </x:c>
      <x:c r="J33" s="25" t="str">
        <x:v>Indeed, and7 Cresults.Anexamplefrom eachcategoryis occasional large magnetite grains are present in the shown in Figure 6, and the results for all 25 speci- Modipe Gabbro [Evans et al., 1968].</x:v>
      </x:c>
      <x:c r="K33" s="25" t="str">
        <x:v>/Users/lihd/discovery/paleomagnetic-r3-workflow/dist/paleomagnetic-r357-calibrated-workflow-full/data/parsed_mds/3774.txt</x:v>
      </x:c>
    </x:row>
    <x:row r="34" ht="48" customHeight="1">
      <x:c r="A34" s="25" t="str">
        <x:v>practical</x:v>
      </x:c>
      <x:c r="B34" s="25" t="str">
        <x:v>3774</x:v>
      </x:c>
      <x:c r="C34" s="25" t="str">
        <x:v>9411</x:v>
      </x:c>
      <x:c r="D34" s="25" t="str">
        <x:v>Modipe Gabbro</x:v>
      </x:c>
      <x:c r="E34" s="25" t="str">
        <x:v>ABSTAIN_IDENTITY</x:v>
      </x:c>
      <x:c r="F34" s="25" t="str"/>
      <x:c r="G34" s="25" t="str">
        <x:v>carrier</x:v>
      </x:c>
      <x:c r="H34" s="25" t="n">
        <x:v>3</x:v>
      </x:c>
      <x:c r="I34" s="25" t="str">
        <x:v>same_target_page</x:v>
      </x:c>
      <x:c r="J34" s="25" t="str">
        <x:v>magnetite</x:v>
      </x:c>
      <x:c r="K34" s="25" t="str">
        <x:v>/Users/lihd/discovery/paleomagnetic-r3-workflow/dist/paleomagnetic-r357-calibrated-workflow-full/data/parsed_mds/3774.txt</x:v>
      </x:c>
    </x:row>
    <x:row r="35" ht="48" customHeight="1">
      <x:c r="A35" s="25" t="str">
        <x:v>practical</x:v>
      </x:c>
      <x:c r="B35" s="25" t="str">
        <x:v>3774</x:v>
      </x:c>
      <x:c r="C35" s="25" t="str">
        <x:v>9411</x:v>
      </x:c>
      <x:c r="D35" s="25" t="str">
        <x:v>Modipe Gabbro</x:v>
      </x:c>
      <x:c r="E35" s="25" t="str">
        <x:v>ABSTAIN_IDENTITY</x:v>
      </x:c>
      <x:c r="F35" s="25" t="str"/>
      <x:c r="G35" s="25" t="str">
        <x:v>carrier</x:v>
      </x:c>
      <x:c r="H35" s="25" t="n">
        <x:v>4</x:v>
      </x:c>
      <x:c r="I35" s="25" t="str">
        <x:v>same_target_page</x:v>
      </x:c>
      <x:c r="J35" s="25" t="str">
        <x:v>magnetite</x:v>
      </x:c>
      <x:c r="K35" s="25" t="str">
        <x:v>/Users/lihd/discovery/paleomagnetic-r3-workflow/dist/paleomagnetic-r357-calibrated-workflow-full/data/parsed_mds/3774.txt</x:v>
      </x:c>
    </x:row>
    <x:row r="36" ht="48" customHeight="1">
      <x:c r="A36" s="25" t="str">
        <x:v>practical</x:v>
      </x:c>
      <x:c r="B36" s="25" t="str">
        <x:v>3774</x:v>
      </x:c>
      <x:c r="C36" s="25" t="str">
        <x:v>9411</x:v>
      </x:c>
      <x:c r="D36" s="25" t="str">
        <x:v>Modipe Gabbro</x:v>
      </x:c>
      <x:c r="E36" s="25" t="str">
        <x:v>ABSTAIN_IDENTITY</x:v>
      </x:c>
      <x:c r="F36" s="25" t="str"/>
      <x:c r="G36" s="25" t="str">
        <x:v>carrier</x:v>
      </x:c>
      <x:c r="H36" s="25" t="n">
        <x:v>8</x:v>
      </x:c>
      <x:c r="I36" s="25" t="str">
        <x:v>same_target_page</x:v>
      </x:c>
      <x:c r="J36" s="25" t="str">
        <x:v>magnetite</x:v>
      </x:c>
      <x:c r="K36" s="25" t="str">
        <x:v>/Users/lihd/discovery/paleomagnetic-r3-workflow/dist/paleomagnetic-r357-calibrated-workflow-full/data/parsed_mds/3774.txt</x:v>
      </x:c>
    </x:row>
    <x:row r="37" ht="48" customHeight="1">
      <x:c r="A37" s="25" t="str">
        <x:v>practical</x:v>
      </x:c>
      <x:c r="B37" s="25" t="str">
        <x:v>3774</x:v>
      </x:c>
      <x:c r="C37" s="25" t="str">
        <x:v>9411</x:v>
      </x:c>
      <x:c r="D37" s="25" t="str">
        <x:v>Modipe Gabbro</x:v>
      </x:c>
      <x:c r="E37" s="25" t="str">
        <x:v>ABSTAIN_IDENTITY</x:v>
      </x:c>
      <x:c r="F37" s="25" t="str"/>
      <x:c r="G37" s="25" t="str">
        <x:v>bridge</x:v>
      </x:c>
      <x:c r="H37" s="25" t="n">
        <x:v>8</x:v>
      </x:c>
      <x:c r="I37" s="25" t="str">
        <x:v>same_target_page</x:v>
      </x:c>
      <x:c r="J37" s="25" t="str">
        <x:v>TRM in single-domain (2007), Geomagnetic field strength 3.2 billion years ago magnetite</x:v>
      </x:c>
      <x:c r="K37" s="25" t="str">
        <x:v>/Users/lihd/discovery/paleomagnetic-r3-workflow/dist/paleomagnetic-r357-calibrated-workflow-full/data/parsed_mds/3774.txt</x:v>
      </x:c>
    </x:row>
    <x:row r="38" ht="48" customHeight="1">
      <x:c r="A38" s="25" t="str">
        <x:v>practical</x:v>
      </x:c>
      <x:c r="B38" s="25" t="str">
        <x:v>4168</x:v>
      </x:c>
      <x:c r="C38" s="25" t="str">
        <x:v>10005</x:v>
      </x:c>
      <x:c r="D38" s="25" t="str">
        <x:v>Kopparnäs Dykes</x:v>
      </x:c>
      <x:c r="E38" s="25" t="str">
        <x:v>PRESENT</x:v>
      </x:c>
      <x:c r="F38" s="25" t="str">
        <x:v>IRM,SUSC-T,HYST,SEM,OP(TM,PYRR,ILM,MAGN)</x:v>
      </x:c>
      <x:c r="G38" s="25" t="str">
        <x:v>method</x:v>
      </x:c>
      <x:c r="H38" s="25" t="n">
        <x:v>6</x:v>
      </x:c>
      <x:c r="I38" s="25" t="str">
        <x:v>target_same_sentence</x:v>
      </x:c>
      <x:c r="J38" s="25" t="str">
        <x:v>Salminen et al. P r e c a m b r i a n R e s e a r c h 365(2021)106406 (IRM) (Lowrie, 1990) and acquisition of IRM curves were carried out presence of titanomagnetite with variable Ti-content as exemplified with a Molspin pulse magnetizer (GTK) for Kopparna¨s samples.</x:v>
      </x:c>
      <x:c r="K38" s="25" t="str">
        <x:v>/Users/lihd/discovery/paleomagnetic-r3-workflow/dist/paleomagnetic-r357-calibrated-workflow-full/data/parsed_mds/4168.txt</x:v>
      </x:c>
    </x:row>
    <x:row r="39" ht="48" customHeight="1">
      <x:c r="A39" s="25" t="str">
        <x:v>practical</x:v>
      </x:c>
      <x:c r="B39" s="25" t="str">
        <x:v>4168</x:v>
      </x:c>
      <x:c r="C39" s="25" t="str">
        <x:v>10005</x:v>
      </x:c>
      <x:c r="D39" s="25" t="str">
        <x:v>Kopparnäs Dykes</x:v>
      </x:c>
      <x:c r="E39" s="25" t="str">
        <x:v>PRESENT</x:v>
      </x:c>
      <x:c r="F39" s="25" t="str">
        <x:v>IRM,SUSC-T,HYST,SEM,OP(TM,PYRR,ILM,MAGN)</x:v>
      </x:c>
      <x:c r="G39" s="25" t="str">
        <x:v>method</x:v>
      </x:c>
      <x:c r="H39" s="25" t="n">
        <x:v>6</x:v>
      </x:c>
      <x:c r="I39" s="25" t="str">
        <x:v>target_same_sentence</x:v>
      </x:c>
      <x:c r="J39" s="25" t="str">
        <x:v>SEM studies of the dykes SQUID magnetometer (UH, LTU) and for the Kopparna¨s dykes with a RF show the presence of titanomagnetite, ilmenite, pyrite and occasionally SQUID magnetometer (GTK) to isolate a characteristic remanent pyrrhotite (Fig. 3).</x:v>
      </x:c>
      <x:c r="K39" s="25" t="str">
        <x:v>/Users/lihd/discovery/paleomagnetic-r3-workflow/dist/paleomagnetic-r357-calibrated-workflow-full/data/parsed_mds/4168.txt</x:v>
      </x:c>
    </x:row>
    <x:row r="40" ht="48" customHeight="1">
      <x:c r="A40" s="25" t="str">
        <x:v>practical</x:v>
      </x:c>
      <x:c r="B40" s="25" t="str">
        <x:v>4168</x:v>
      </x:c>
      <x:c r="C40" s="25" t="str">
        <x:v>10005</x:v>
      </x:c>
      <x:c r="D40" s="25" t="str">
        <x:v>Kopparnäs Dykes</x:v>
      </x:c>
      <x:c r="E40" s="25" t="str">
        <x:v>PRESENT</x:v>
      </x:c>
      <x:c r="F40" s="25" t="str">
        <x:v>IRM,SUSC-T,HYST,SEM,OP(TM,PYRR,ILM,MAGN)</x:v>
      </x:c>
      <x:c r="G40" s="25" t="str">
        <x:v>method</x:v>
      </x:c>
      <x:c r="H40" s="25" t="n">
        <x:v>7</x:v>
      </x:c>
      <x:c r="I40" s="25" t="str">
        <x:v>target_same_sentence</x:v>
      </x:c>
      <x:c r="J40" s="25" t="str">
        <x:v>Kopparna¨s petrophysics, rock magnetism and SEM (a) Remanence – magnetic susceptibility plot (logarithmic scales) of the site mean values of the dykes.</x:v>
      </x:c>
      <x:c r="K40" s="25" t="str">
        <x:v>/Users/lihd/discovery/paleomagnetic-r3-workflow/dist/paleomagnetic-r357-calibrated-workflow-full/data/parsed_mds/4168.txt</x:v>
      </x:c>
    </x:row>
    <x:row r="41" ht="48" customHeight="1">
      <x:c r="A41" s="25" t="str">
        <x:v>practical</x:v>
      </x:c>
      <x:c r="B41" s="25" t="str">
        <x:v>4168</x:v>
      </x:c>
      <x:c r="C41" s="25" t="str">
        <x:v>10005</x:v>
      </x:c>
      <x:c r="D41" s="25" t="str">
        <x:v>Kopparnäs Dykes</x:v>
      </x:c>
      <x:c r="E41" s="25" t="str">
        <x:v>PRESENT</x:v>
      </x:c>
      <x:c r="F41" s="25" t="str">
        <x:v>IRM,SUSC-T,HYST,SEM,OP(TM,PYRR,ILM,MAGN)</x:v>
      </x:c>
      <x:c r="G41" s="25" t="str">
        <x:v>method</x:v>
      </x:c>
      <x:c r="H41" s="25" t="n">
        <x:v>6</x:v>
      </x:c>
      <x:c r="I41" s="25" t="str">
        <x:v>near_target</x:v>
      </x:c>
      <x:c r="J41" s="25" t="str">
        <x:v>SEM</x:v>
      </x:c>
      <x:c r="K41" s="25" t="str">
        <x:v>/Users/lihd/discovery/paleomagnetic-r3-workflow/dist/paleomagnetic-r357-calibrated-workflow-full/data/parsed_mds/4168.txt</x:v>
      </x:c>
    </x:row>
    <x:row r="42" ht="48" customHeight="1">
      <x:c r="A42" s="25" t="str">
        <x:v>practical</x:v>
      </x:c>
      <x:c r="B42" s="25" t="str">
        <x:v>4168</x:v>
      </x:c>
      <x:c r="C42" s="25" t="str">
        <x:v>10005</x:v>
      </x:c>
      <x:c r="D42" s="25" t="str">
        <x:v>Kopparnäs Dykes</x:v>
      </x:c>
      <x:c r="E42" s="25" t="str">
        <x:v>PRESENT</x:v>
      </x:c>
      <x:c r="F42" s="25" t="str">
        <x:v>IRM,SUSC-T,HYST,SEM,OP(TM,PYRR,ILM,MAGN)</x:v>
      </x:c>
      <x:c r="G42" s="25" t="str">
        <x:v>method</x:v>
      </x:c>
      <x:c r="H42" s="25" t="n">
        <x:v>6</x:v>
      </x:c>
      <x:c r="I42" s="25" t="str">
        <x:v>near_target</x:v>
      </x:c>
      <x:c r="J42" s="25" t="str">
        <x:v>thin section</x:v>
      </x:c>
      <x:c r="K42" s="25" t="str">
        <x:v>/Users/lihd/discovery/paleomagnetic-r3-workflow/dist/paleomagnetic-r357-calibrated-workflow-full/data/parsed_mds/4168.txt</x:v>
      </x:c>
    </x:row>
    <x:row r="43" ht="48" customHeight="1">
      <x:c r="A43" s="25" t="str">
        <x:v>practical</x:v>
      </x:c>
      <x:c r="B43" s="25" t="str">
        <x:v>4168</x:v>
      </x:c>
      <x:c r="C43" s="25" t="str">
        <x:v>10005</x:v>
      </x:c>
      <x:c r="D43" s="25" t="str">
        <x:v>Kopparnäs Dykes</x:v>
      </x:c>
      <x:c r="E43" s="25" t="str">
        <x:v>PRESENT</x:v>
      </x:c>
      <x:c r="F43" s="25" t="str">
        <x:v>IRM,SUSC-T,HYST,SEM,OP(TM,PYRR,ILM,MAGN)</x:v>
      </x:c>
      <x:c r="G43" s="25" t="str">
        <x:v>method</x:v>
      </x:c>
      <x:c r="H43" s="25" t="n">
        <x:v>5</x:v>
      </x:c>
      <x:c r="I43" s="25" t="str">
        <x:v>target_context</x:v>
      </x:c>
      <x:c r="J43" s="25" t="str">
        <x:v>Temperature dependence of low-field magnetic susceptibility</x:v>
      </x:c>
      <x:c r="K43" s="25" t="str">
        <x:v>/Users/lihd/discovery/paleomagnetic-r3-workflow/dist/paleomagnetic-r357-calibrated-workflow-full/data/parsed_mds/4168.txt</x:v>
      </x:c>
    </x:row>
    <x:row r="44" ht="48" customHeight="1">
      <x:c r="A44" s="25" t="str">
        <x:v>practical</x:v>
      </x:c>
      <x:c r="B44" s="25" t="str">
        <x:v>4168</x:v>
      </x:c>
      <x:c r="C44" s="25" t="str">
        <x:v>10005</x:v>
      </x:c>
      <x:c r="D44" s="25" t="str">
        <x:v>Kopparnäs Dykes</x:v>
      </x:c>
      <x:c r="E44" s="25" t="str">
        <x:v>PRESENT</x:v>
      </x:c>
      <x:c r="F44" s="25" t="str">
        <x:v>IRM,SUSC-T,HYST,SEM,OP(TM,PYRR,ILM,MAGN)</x:v>
      </x:c>
      <x:c r="G44" s="25" t="str">
        <x:v>method</x:v>
      </x:c>
      <x:c r="H44" s="25" t="n">
        <x:v>6</x:v>
      </x:c>
      <x:c r="I44" s="25" t="str">
        <x:v>target_context</x:v>
      </x:c>
      <x:c r="J44" s="25" t="str">
        <x:v>hysteresis</x:v>
      </x:c>
      <x:c r="K44" s="25" t="str">
        <x:v>/Users/lihd/discovery/paleomagnetic-r3-workflow/dist/paleomagnetic-r357-calibrated-workflow-full/data/parsed_mds/4168.txt</x:v>
      </x:c>
    </x:row>
    <x:row r="45" ht="48" customHeight="1">
      <x:c r="A45" s="25" t="str">
        <x:v>practical</x:v>
      </x:c>
      <x:c r="B45" s="25" t="str">
        <x:v>4168</x:v>
      </x:c>
      <x:c r="C45" s="25" t="str">
        <x:v>10005</x:v>
      </x:c>
      <x:c r="D45" s="25" t="str">
        <x:v>Kopparnäs Dykes</x:v>
      </x:c>
      <x:c r="E45" s="25" t="str">
        <x:v>PRESENT</x:v>
      </x:c>
      <x:c r="F45" s="25" t="str">
        <x:v>IRM,SUSC-T,HYST,SEM,OP(TM,PYRR,ILM,MAGN)</x:v>
      </x:c>
      <x:c r="G45" s="25" t="str">
        <x:v>carrier</x:v>
      </x:c>
      <x:c r="H45" s="25" t="n">
        <x:v>6</x:v>
      </x:c>
      <x:c r="I45" s="25" t="str">
        <x:v>target_same_sentence</x:v>
      </x:c>
      <x:c r="J45" s="25" t="str">
        <x:v>Salminen et al. P r e c a m b r i a n R e s e a r c h 365(2021)106406 (IRM) (Lowrie, 1990) and acquisition of IRM curves were carried out presence of titanomagnetite with variable Ti-content as exemplified with a Molspin pulse magnetizer (GTK) for Kopparna¨s samples.</x:v>
      </x:c>
      <x:c r="K45" s="25" t="str">
        <x:v>/Users/lihd/discovery/paleomagnetic-r3-workflow/dist/paleomagnetic-r357-calibrated-workflow-full/data/parsed_mds/4168.txt</x:v>
      </x:c>
    </x:row>
    <x:row r="46" ht="48" customHeight="1">
      <x:c r="A46" s="25" t="str">
        <x:v>practical</x:v>
      </x:c>
      <x:c r="B46" s="25" t="str">
        <x:v>4168</x:v>
      </x:c>
      <x:c r="C46" s="25" t="str">
        <x:v>10006</x:v>
      </x:c>
      <x:c r="D46" s="25" t="str">
        <x:v>Ragunda Dykes, Group 2+host</x:v>
      </x:c>
      <x:c r="E46" s="25" t="str">
        <x:v>PRESENT</x:v>
      </x:c>
      <x:c r="F46" s="25" t="str">
        <x:v>IRM,SUSC-T,HYST(PYRR,MAGN,TM)</x:v>
      </x:c>
      <x:c r="G46" s="25" t="str">
        <x:v>method</x:v>
      </x:c>
      <x:c r="H46" s="25" t="n">
        <x:v>5</x:v>
      </x:c>
      <x:c r="I46" s="25" t="str">
        <x:v>near_target</x:v>
      </x:c>
      <x:c r="J46" s="25" t="str">
        <x:v>Temperature dependence of low-field magnetic susceptibility</x:v>
      </x:c>
      <x:c r="K46" s="25" t="str">
        <x:v>/Users/lihd/discovery/paleomagnetic-r3-workflow/dist/paleomagnetic-r357-calibrated-workflow-full/data/parsed_mds/4168.txt</x:v>
      </x:c>
    </x:row>
    <x:row r="47" ht="48" customHeight="1">
      <x:c r="A47" s="25" t="str">
        <x:v>practical</x:v>
      </x:c>
      <x:c r="B47" s="25" t="str">
        <x:v>4168</x:v>
      </x:c>
      <x:c r="C47" s="25" t="str">
        <x:v>10006</x:v>
      </x:c>
      <x:c r="D47" s="25" t="str">
        <x:v>Ragunda Dykes, Group 2+host</x:v>
      </x:c>
      <x:c r="E47" s="25" t="str">
        <x:v>PRESENT</x:v>
      </x:c>
      <x:c r="F47" s="25" t="str">
        <x:v>IRM,SUSC-T,HYST(PYRR,MAGN,TM)</x:v>
      </x:c>
      <x:c r="G47" s="25" t="str">
        <x:v>method</x:v>
      </x:c>
      <x:c r="H47" s="25" t="n">
        <x:v>6</x:v>
      </x:c>
      <x:c r="I47" s="25" t="str">
        <x:v>near_target</x:v>
      </x:c>
      <x:c r="J47" s="25" t="str">
        <x:v>hysteresis</x:v>
      </x:c>
      <x:c r="K47" s="25" t="str">
        <x:v>/Users/lihd/discovery/paleomagnetic-r3-workflow/dist/paleomagnetic-r357-calibrated-workflow-full/data/parsed_mds/4168.txt</x:v>
      </x:c>
    </x:row>
    <x:row r="48" ht="48" customHeight="1">
      <x:c r="A48" s="25" t="str">
        <x:v>practical</x:v>
      </x:c>
      <x:c r="B48" s="25" t="str">
        <x:v>4168</x:v>
      </x:c>
      <x:c r="C48" s="25" t="str">
        <x:v>10006</x:v>
      </x:c>
      <x:c r="D48" s="25" t="str">
        <x:v>Ragunda Dykes, Group 2+host</x:v>
      </x:c>
      <x:c r="E48" s="25" t="str">
        <x:v>PRESENT</x:v>
      </x:c>
      <x:c r="F48" s="25" t="str">
        <x:v>IRM,SUSC-T,HYST(PYRR,MAGN,TM)</x:v>
      </x:c>
      <x:c r="G48" s="25" t="str">
        <x:v>method</x:v>
      </x:c>
      <x:c r="H48" s="25" t="n">
        <x:v>6</x:v>
      </x:c>
      <x:c r="I48" s="25" t="str">
        <x:v>near_target</x:v>
      </x:c>
      <x:c r="J48" s="25" t="str">
        <x:v>IRM</x:v>
      </x:c>
      <x:c r="K48" s="25" t="str">
        <x:v>/Users/lihd/discovery/paleomagnetic-r3-workflow/dist/paleomagnetic-r357-calibrated-workflow-full/data/parsed_mds/4168.txt</x:v>
      </x:c>
    </x:row>
    <x:row r="49" ht="48" customHeight="1">
      <x:c r="A49" s="25" t="str">
        <x:v>practical</x:v>
      </x:c>
      <x:c r="B49" s="25" t="str">
        <x:v>4168</x:v>
      </x:c>
      <x:c r="C49" s="25" t="str">
        <x:v>10006</x:v>
      </x:c>
      <x:c r="D49" s="25" t="str">
        <x:v>Ragunda Dykes, Group 2+host</x:v>
      </x:c>
      <x:c r="E49" s="25" t="str">
        <x:v>PRESENT</x:v>
      </x:c>
      <x:c r="F49" s="25" t="str">
        <x:v>IRM,SUSC-T,HYST(PYRR,MAGN,TM)</x:v>
      </x:c>
      <x:c r="G49" s="25" t="str">
        <x:v>method</x:v>
      </x:c>
      <x:c r="H49" s="25" t="n">
        <x:v>9</x:v>
      </x:c>
      <x:c r="I49" s="25" t="str">
        <x:v>near_target</x:v>
      </x:c>
      <x:c r="J49" s="25" t="str">
        <x:v>hysteresis</x:v>
      </x:c>
      <x:c r="K49" s="25" t="str">
        <x:v>/Users/lihd/discovery/paleomagnetic-r3-workflow/dist/paleomagnetic-r357-calibrated-workflow-full/data/parsed_mds/4168.txt</x:v>
      </x:c>
    </x:row>
    <x:row r="50" ht="48" customHeight="1">
      <x:c r="A50" s="25" t="str">
        <x:v>practical</x:v>
      </x:c>
      <x:c r="B50" s="25" t="str">
        <x:v>4168</x:v>
      </x:c>
      <x:c r="C50" s="25" t="str">
        <x:v>10006</x:v>
      </x:c>
      <x:c r="D50" s="25" t="str">
        <x:v>Ragunda Dykes, Group 2+host</x:v>
      </x:c>
      <x:c r="E50" s="25" t="str">
        <x:v>PRESENT</x:v>
      </x:c>
      <x:c r="F50" s="25" t="str">
        <x:v>IRM,SUSC-T,HYST(PYRR,MAGN,TM)</x:v>
      </x:c>
      <x:c r="G50" s="25" t="str">
        <x:v>carrier</x:v>
      </x:c>
      <x:c r="H50" s="25" t="n">
        <x:v>6</x:v>
      </x:c>
      <x:c r="I50" s="25" t="str">
        <x:v>near_target</x:v>
      </x:c>
      <x:c r="J50" s="25" t="str">
        <x:v>pyrrhotite</x:v>
      </x:c>
      <x:c r="K50" s="25" t="str">
        <x:v>/Users/lihd/discovery/paleomagnetic-r3-workflow/dist/paleomagnetic-r357-calibrated-workflow-full/data/parsed_mds/4168.txt</x:v>
      </x:c>
    </x:row>
    <x:row r="51" ht="48" customHeight="1">
      <x:c r="A51" s="25" t="str">
        <x:v>practical</x:v>
      </x:c>
      <x:c r="B51" s="25" t="str">
        <x:v>4168</x:v>
      </x:c>
      <x:c r="C51" s="25" t="str">
        <x:v>10006</x:v>
      </x:c>
      <x:c r="D51" s="25" t="str">
        <x:v>Ragunda Dykes, Group 2+host</x:v>
      </x:c>
      <x:c r="E51" s="25" t="str">
        <x:v>PRESENT</x:v>
      </x:c>
      <x:c r="F51" s="25" t="str">
        <x:v>IRM,SUSC-T,HYST(PYRR,MAGN,TM)</x:v>
      </x:c>
      <x:c r="G51" s="25" t="str">
        <x:v>carrier</x:v>
      </x:c>
      <x:c r="H51" s="25" t="n">
        <x:v>6</x:v>
      </x:c>
      <x:c r="I51" s="25" t="str">
        <x:v>near_target</x:v>
      </x:c>
      <x:c r="J51" s="25" t="str">
        <x:v>magnetite</x:v>
      </x:c>
      <x:c r="K51" s="25" t="str">
        <x:v>/Users/lihd/discovery/paleomagnetic-r3-workflow/dist/paleomagnetic-r357-calibrated-workflow-full/data/parsed_mds/4168.txt</x:v>
      </x:c>
    </x:row>
    <x:row r="52" ht="48" customHeight="1">
      <x:c r="A52" s="25" t="str">
        <x:v>practical</x:v>
      </x:c>
      <x:c r="B52" s="25" t="str">
        <x:v>4168</x:v>
      </x:c>
      <x:c r="C52" s="25" t="str">
        <x:v>10006</x:v>
      </x:c>
      <x:c r="D52" s="25" t="str">
        <x:v>Ragunda Dykes, Group 2+host</x:v>
      </x:c>
      <x:c r="E52" s="25" t="str">
        <x:v>PRESENT</x:v>
      </x:c>
      <x:c r="F52" s="25" t="str">
        <x:v>IRM,SUSC-T,HYST(PYRR,MAGN,TM)</x:v>
      </x:c>
      <x:c r="G52" s="25" t="str">
        <x:v>carrier</x:v>
      </x:c>
      <x:c r="H52" s="25" t="n">
        <x:v>9</x:v>
      </x:c>
      <x:c r="I52" s="25" t="str">
        <x:v>near_target</x:v>
      </x:c>
      <x:c r="J52" s="25" t="str">
        <x:v>pyrrhotite</x:v>
      </x:c>
      <x:c r="K52" s="25" t="str">
        <x:v>/Users/lihd/discovery/paleomagnetic-r3-workflow/dist/paleomagnetic-r357-calibrated-workflow-full/data/parsed_mds/4168.txt</x:v>
      </x:c>
    </x:row>
    <x:row r="53" ht="48" customHeight="1">
      <x:c r="A53" s="25" t="str">
        <x:v>practical</x:v>
      </x:c>
      <x:c r="B53" s="25" t="str">
        <x:v>4168</x:v>
      </x:c>
      <x:c r="C53" s="25" t="str">
        <x:v>10006</x:v>
      </x:c>
      <x:c r="D53" s="25" t="str">
        <x:v>Ragunda Dykes, Group 2+host</x:v>
      </x:c>
      <x:c r="E53" s="25" t="str">
        <x:v>PRESENT</x:v>
      </x:c>
      <x:c r="F53" s="25" t="str">
        <x:v>IRM,SUSC-T,HYST(PYRR,MAGN,TM)</x:v>
      </x:c>
      <x:c r="G53" s="25" t="str">
        <x:v>carrier</x:v>
      </x:c>
      <x:c r="H53" s="25" t="n">
        <x:v>9</x:v>
      </x:c>
      <x:c r="I53" s="25" t="str">
        <x:v>near_target</x:v>
      </x:c>
      <x:c r="J53" s="25" t="str">
        <x:v>magnetite</x:v>
      </x:c>
      <x:c r="K53" s="25" t="str">
        <x:v>/Users/lihd/discovery/paleomagnetic-r3-workflow/dist/paleomagnetic-r357-calibrated-workflow-full/data/parsed_mds/4168.txt</x:v>
      </x:c>
    </x:row>
    <x:row r="54" ht="48" customHeight="1">
      <x:c r="A54" s="25" t="str">
        <x:v>practical</x:v>
      </x:c>
      <x:c r="B54" s="25" t="str">
        <x:v>4168</x:v>
      </x:c>
      <x:c r="C54" s="25" t="str">
        <x:v>10012</x:v>
      </x:c>
      <x:c r="D54" s="25" t="str">
        <x:v>Noran Rapakivi Complex</x:v>
      </x:c>
      <x:c r="E54" s="25" t="str">
        <x:v>PRESENT</x:v>
      </x:c>
      <x:c r="F54" s="25" t="str">
        <x:v>SUSC-T(MAGN,TM,PYRR)</x:v>
      </x:c>
      <x:c r="G54" s="25" t="str">
        <x:v>method</x:v>
      </x:c>
      <x:c r="H54" s="25" t="n">
        <x:v>5</x:v>
      </x:c>
      <x:c r="I54" s="25" t="str">
        <x:v>near_target</x:v>
      </x:c>
      <x:c r="J54" s="25" t="str">
        <x:v>Temperature dependence of low-field magnetic susceptibility</x:v>
      </x:c>
      <x:c r="K54" s="25" t="str">
        <x:v>/Users/lihd/discovery/paleomagnetic-r3-workflow/dist/paleomagnetic-r357-calibrated-workflow-full/data/parsed_mds/4168.txt</x:v>
      </x:c>
    </x:row>
    <x:row r="55" ht="48" customHeight="1">
      <x:c r="A55" s="25" t="str">
        <x:v>practical</x:v>
      </x:c>
      <x:c r="B55" s="25" t="str">
        <x:v>4168</x:v>
      </x:c>
      <x:c r="C55" s="25" t="str">
        <x:v>10012</x:v>
      </x:c>
      <x:c r="D55" s="25" t="str">
        <x:v>Noran Rapakivi Complex</x:v>
      </x:c>
      <x:c r="E55" s="25" t="str">
        <x:v>PRESENT</x:v>
      </x:c>
      <x:c r="F55" s="25" t="str">
        <x:v>SUSC-T(MAGN,TM,PYRR)</x:v>
      </x:c>
      <x:c r="G55" s="25" t="str">
        <x:v>carrier</x:v>
      </x:c>
      <x:c r="H55" s="25" t="n">
        <x:v>6</x:v>
      </x:c>
      <x:c r="I55" s="25" t="str">
        <x:v>near_target</x:v>
      </x:c>
      <x:c r="J55" s="25" t="str">
        <x:v>magnetite</x:v>
      </x:c>
      <x:c r="K55" s="25" t="str">
        <x:v>/Users/lihd/discovery/paleomagnetic-r3-workflow/dist/paleomagnetic-r357-calibrated-workflow-full/data/parsed_mds/4168.txt</x:v>
      </x:c>
    </x:row>
    <x:row r="56" ht="48" customHeight="1">
      <x:c r="A56" s="25" t="str">
        <x:v>practical</x:v>
      </x:c>
      <x:c r="B56" s="25" t="str">
        <x:v>4168</x:v>
      </x:c>
      <x:c r="C56" s="25" t="str">
        <x:v>10012</x:v>
      </x:c>
      <x:c r="D56" s="25" t="str">
        <x:v>Noran Rapakivi Complex</x:v>
      </x:c>
      <x:c r="E56" s="25" t="str">
        <x:v>PRESENT</x:v>
      </x:c>
      <x:c r="F56" s="25" t="str">
        <x:v>SUSC-T(MAGN,TM,PYRR)</x:v>
      </x:c>
      <x:c r="G56" s="25" t="str">
        <x:v>carrier</x:v>
      </x:c>
      <x:c r="H56" s="25" t="n">
        <x:v>6</x:v>
      </x:c>
      <x:c r="I56" s="25" t="str">
        <x:v>near_target</x:v>
      </x:c>
      <x:c r="J56" s="25" t="str">
        <x:v>titanomagnetite</x:v>
      </x:c>
      <x:c r="K56" s="25" t="str">
        <x:v>/Users/lihd/discovery/paleomagnetic-r3-workflow/dist/paleomagnetic-r357-calibrated-workflow-full/data/parsed_mds/4168.txt</x:v>
      </x:c>
    </x:row>
    <x:row r="57" ht="48" customHeight="1">
      <x:c r="A57" s="25" t="str">
        <x:v>practical</x:v>
      </x:c>
      <x:c r="B57" s="25" t="str">
        <x:v>4168</x:v>
      </x:c>
      <x:c r="C57" s="25" t="str">
        <x:v>10012</x:v>
      </x:c>
      <x:c r="D57" s="25" t="str">
        <x:v>Noran Rapakivi Complex</x:v>
      </x:c>
      <x:c r="E57" s="25" t="str">
        <x:v>PRESENT</x:v>
      </x:c>
      <x:c r="F57" s="25" t="str">
        <x:v>SUSC-T(MAGN,TM,PYRR)</x:v>
      </x:c>
      <x:c r="G57" s="25" t="str">
        <x:v>carrier</x:v>
      </x:c>
      <x:c r="H57" s="25" t="n">
        <x:v>6</x:v>
      </x:c>
      <x:c r="I57" s="25" t="str">
        <x:v>target_context</x:v>
      </x:c>
      <x:c r="J57" s="25" t="str">
        <x:v>pyrrhotite</x:v>
      </x:c>
      <x:c r="K57" s="25" t="str">
        <x:v>/Users/lihd/discovery/paleomagnetic-r3-workflow/dist/paleomagnetic-r357-calibrated-workflow-full/data/parsed_mds/4168.txt</x:v>
      </x:c>
    </x:row>
    <x:row r="58" ht="48" customHeight="1">
      <x:c r="A58" s="25" t="str">
        <x:v>practical</x:v>
      </x:c>
      <x:c r="B58" s="25" t="str">
        <x:v>4168</x:v>
      </x:c>
      <x:c r="C58" s="25" t="str">
        <x:v>10012</x:v>
      </x:c>
      <x:c r="D58" s="25" t="str">
        <x:v>Noran Rapakivi Complex</x:v>
      </x:c>
      <x:c r="E58" s="25" t="str">
        <x:v>PRESENT</x:v>
      </x:c>
      <x:c r="F58" s="25" t="str">
        <x:v>SUSC-T(MAGN,TM,PYRR)</x:v>
      </x:c>
      <x:c r="G58" s="25" t="str">
        <x:v>method</x:v>
      </x:c>
      <x:c r="H58" s="25" t="n">
        <x:v>6</x:v>
      </x:c>
      <x:c r="I58" s="25" t="str">
        <x:v>near_target</x:v>
      </x:c>
      <x:c r="J58" s="25" t="str">
        <x:v>single-domain</x:v>
      </x:c>
      <x:c r="K58" s="25" t="str">
        <x:v>/Users/lihd/discovery/paleomagnetic-r3-workflow/dist/paleomagnetic-r357-calibrated-workflow-full/data/parsed_mds/4168.txt</x:v>
      </x:c>
    </x:row>
    <x:row r="59" ht="48" customHeight="1">
      <x:c r="A59" s="25" t="str">
        <x:v>practical</x:v>
      </x:c>
      <x:c r="B59" s="25" t="str">
        <x:v>4168</x:v>
      </x:c>
      <x:c r="C59" s="25" t="str">
        <x:v>10012</x:v>
      </x:c>
      <x:c r="D59" s="25" t="str">
        <x:v>Noran Rapakivi Complex</x:v>
      </x:c>
      <x:c r="E59" s="25" t="str">
        <x:v>PRESENT</x:v>
      </x:c>
      <x:c r="F59" s="25" t="str">
        <x:v>SUSC-T(MAGN,TM,PYRR)</x:v>
      </x:c>
      <x:c r="G59" s="25" t="str">
        <x:v>diagnostic</x:v>
      </x:c>
      <x:c r="H59" s="25" t="n">
        <x:v>6</x:v>
      </x:c>
      <x:c r="I59" s="25" t="str">
        <x:v>same_target_page</x:v>
      </x:c>
      <x:c r="J59" s="25" t="str">
        <x:v>not saturated by 1.5 T</x:v>
      </x:c>
      <x:c r="K59" s="25" t="str">
        <x:v>/Users/lihd/discovery/paleomagnetic-r3-workflow/dist/paleomagnetic-r357-calibrated-workflow-full/data/parsed_mds/4168.txt</x:v>
      </x:c>
    </x:row>
    <x:row r="60" ht="48" customHeight="1">
      <x:c r="A60" s="25" t="str">
        <x:v>practical</x:v>
      </x:c>
      <x:c r="B60" s="25" t="str">
        <x:v>4298</x:v>
      </x:c>
      <x:c r="C60" s="25" t="str">
        <x:v>10189</x:v>
      </x:c>
      <x:c r="D60" s="25" t="str">
        <x:v>Gzhelian Sediments</x:v>
      </x:c>
      <x:c r="E60" s="25" t="str">
        <x:v>PRESENT</x:v>
      </x:c>
      <x:c r="F60" s="25" t="str">
        <x:v>SUSC-T,OP(MAGN,HEM)</x:v>
      </x:c>
      <x:c r="G60" s="25" t="str">
        <x:v>method</x:v>
      </x:c>
      <x:c r="H60" s="25" t="n">
        <x:v>4</x:v>
      </x:c>
      <x:c r="I60" s="25" t="str">
        <x:v>target_same_sentence</x:v>
      </x:c>
      <x:c r="J60" s="25" t="str">
        <x:v>Magnetic susceptibility measurements (the Gzhelian stage of the Carboniferous) (Fig. 3a, were conducted by KLY-3 kappabridge (AGICO, Czech sample 6049), one magnetic phase with the Curie Republic) and the analysis of the temperature depen- point of 560–580°C probably corresponding to non- dence of the magnetic susceptibility on a MFK-1-FA stoichiometric magnetite is isolated.</x:v>
      </x:c>
      <x:c r="K60" s="25" t="str">
        <x:v>/Users/lihd/discovery/paleomagnetic-r3-workflow/dist/paleomagnetic-r357-calibrated-workflow-full/data/parsed_mds/4298.txt</x:v>
      </x:c>
    </x:row>
    <x:row r="61" ht="48" customHeight="1">
      <x:c r="A61" s="25" t="str">
        <x:v>practical</x:v>
      </x:c>
      <x:c r="B61" s="25" t="str">
        <x:v>4298</x:v>
      </x:c>
      <x:c r="C61" s="25" t="str">
        <x:v>10189</x:v>
      </x:c>
      <x:c r="D61" s="25" t="str">
        <x:v>Gzhelian Sediments</x:v>
      </x:c>
      <x:c r="E61" s="25" t="str">
        <x:v>PRESENT</x:v>
      </x:c>
      <x:c r="F61" s="25" t="str">
        <x:v>SUSC-T,OP(MAGN,HEM)</x:v>
      </x:c>
      <x:c r="G61" s="25" t="str">
        <x:v>method</x:v>
      </x:c>
      <x:c r="H61" s="25" t="n">
        <x:v>6</x:v>
      </x:c>
      <x:c r="I61" s="25" t="str">
        <x:v>target_context</x:v>
      </x:c>
      <x:c r="J61" s="25" t="str">
        <x:v>thin section</x:v>
      </x:c>
      <x:c r="K61" s="25" t="str">
        <x:v>/Users/lihd/discovery/paleomagnetic-r3-workflow/dist/paleomagnetic-r357-calibrated-workflow-full/data/parsed_mds/4298.txt</x:v>
      </x:c>
    </x:row>
    <x:row r="62" ht="48" customHeight="1">
      <x:c r="A62" s="25" t="str">
        <x:v>practical</x:v>
      </x:c>
      <x:c r="B62" s="25" t="str">
        <x:v>4298</x:v>
      </x:c>
      <x:c r="C62" s="25" t="str">
        <x:v>10189</x:v>
      </x:c>
      <x:c r="D62" s="25" t="str">
        <x:v>Gzhelian Sediments</x:v>
      </x:c>
      <x:c r="E62" s="25" t="str">
        <x:v>PRESENT</x:v>
      </x:c>
      <x:c r="F62" s="25" t="str">
        <x:v>SUSC-T,OP(MAGN,HEM)</x:v>
      </x:c>
      <x:c r="G62" s="25" t="str">
        <x:v>method</x:v>
      </x:c>
      <x:c r="H62" s="25" t="n">
        <x:v>4</x:v>
      </x:c>
      <x:c r="I62" s="25" t="str">
        <x:v>same_target_page</x:v>
      </x:c>
      <x:c r="J62" s="25" t="str">
        <x:v>thin section</x:v>
      </x:c>
      <x:c r="K62" s="25" t="str">
        <x:v>/Users/lihd/discovery/paleomagnetic-r3-workflow/dist/paleomagnetic-r357-calibrated-workflow-full/data/parsed_mds/4298.txt</x:v>
      </x:c>
    </x:row>
    <x:row r="63" ht="48" customHeight="1">
      <x:c r="A63" s="25" t="str">
        <x:v>practical</x:v>
      </x:c>
      <x:c r="B63" s="25" t="str">
        <x:v>4298</x:v>
      </x:c>
      <x:c r="C63" s="25" t="str">
        <x:v>10189</x:v>
      </x:c>
      <x:c r="D63" s="25" t="str">
        <x:v>Gzhelian Sediments</x:v>
      </x:c>
      <x:c r="E63" s="25" t="str">
        <x:v>PRESENT</x:v>
      </x:c>
      <x:c r="F63" s="25" t="str">
        <x:v>SUSC-T,OP(MAGN,HEM)</x:v>
      </x:c>
      <x:c r="G63" s="25" t="str">
        <x:v>carrier</x:v>
      </x:c>
      <x:c r="H63" s="25" t="n">
        <x:v>4</x:v>
      </x:c>
      <x:c r="I63" s="25" t="str">
        <x:v>target_same_sentence</x:v>
      </x:c>
      <x:c r="J63" s="25" t="str">
        <x:v>Magnetic susceptibility measurements (the Gzhelian stage of the Carboniferous) (Fig. 3a, were conducted by KLY-3 kappabridge (AGICO, Czech sample 6049), one magnetic phase with the Curie Republic) and the analysis of the temperature depen- point of 560–580°C probably corresponding to non- dence of the magnetic susceptibility on a MFK-1-FA stoichiometric magnetite is isolated.</x:v>
      </x:c>
      <x:c r="K63" s="25" t="str">
        <x:v>/Users/lihd/discovery/paleomagnetic-r3-workflow/dist/paleomagnetic-r357-calibrated-workflow-full/data/parsed_mds/4298.txt</x:v>
      </x:c>
    </x:row>
    <x:row r="64" ht="48" customHeight="1">
      <x:c r="A64" s="25" t="str">
        <x:v>practical</x:v>
      </x:c>
      <x:c r="B64" s="25" t="str">
        <x:v>4298</x:v>
      </x:c>
      <x:c r="C64" s="25" t="str">
        <x:v>10189</x:v>
      </x:c>
      <x:c r="D64" s="25" t="str">
        <x:v>Gzhelian Sediments</x:v>
      </x:c>
      <x:c r="E64" s="25" t="str">
        <x:v>PRESENT</x:v>
      </x:c>
      <x:c r="F64" s="25" t="str">
        <x:v>SUSC-T,OP(MAGN,HEM)</x:v>
      </x:c>
      <x:c r="G64" s="25" t="str">
        <x:v>carrier</x:v>
      </x:c>
      <x:c r="H64" s="25" t="n">
        <x:v>6</x:v>
      </x:c>
      <x:c r="I64" s="25" t="str">
        <x:v>near_target</x:v>
      </x:c>
      <x:c r="J64" s="25" t="str">
        <x:v>hematite</x:v>
      </x:c>
      <x:c r="K64" s="25" t="str">
        <x:v>/Users/lihd/discovery/paleomagnetic-r3-workflow/dist/paleomagnetic-r357-calibrated-workflow-full/data/parsed_mds/4298.txt</x:v>
      </x:c>
    </x:row>
    <x:row r="65" ht="48" customHeight="1">
      <x:c r="A65" s="25" t="str">
        <x:v>practical</x:v>
      </x:c>
      <x:c r="B65" s="25" t="str">
        <x:v>4298</x:v>
      </x:c>
      <x:c r="C65" s="25" t="str">
        <x:v>10189</x:v>
      </x:c>
      <x:c r="D65" s="25" t="str">
        <x:v>Gzhelian Sediments</x:v>
      </x:c>
      <x:c r="E65" s="25" t="str">
        <x:v>PRESENT</x:v>
      </x:c>
      <x:c r="F65" s="25" t="str">
        <x:v>SUSC-T,OP(MAGN,HEM)</x:v>
      </x:c>
      <x:c r="G65" s="25" t="str">
        <x:v>carrier</x:v>
      </x:c>
      <x:c r="H65" s="25" t="n">
        <x:v>4</x:v>
      </x:c>
      <x:c r="I65" s="25" t="str">
        <x:v>same_target_page</x:v>
      </x:c>
      <x:c r="J65" s="25" t="str">
        <x:v>hematite</x:v>
      </x:c>
      <x:c r="K65" s="25" t="str">
        <x:v>/Users/lihd/discovery/paleomagnetic-r3-workflow/dist/paleomagnetic-r357-calibrated-workflow-full/data/parsed_mds/4298.txt</x:v>
      </x:c>
    </x:row>
    <x:row r="66" ht="48" customHeight="1">
      <x:c r="A66" s="25" t="str">
        <x:v>practical</x:v>
      </x:c>
      <x:c r="B66" s="25" t="str">
        <x:v>4298</x:v>
      </x:c>
      <x:c r="C66" s="25" t="str">
        <x:v>10189</x:v>
      </x:c>
      <x:c r="D66" s="25" t="str">
        <x:v>Gzhelian Sediments</x:v>
      </x:c>
      <x:c r="E66" s="25" t="str">
        <x:v>PRESENT</x:v>
      </x:c>
      <x:c r="F66" s="25" t="str">
        <x:v>SUSC-T,OP(MAGN,HEM)</x:v>
      </x:c>
      <x:c r="G66" s="25" t="str">
        <x:v>carrier</x:v>
      </x:c>
      <x:c r="H66" s="25" t="n">
        <x:v>4</x:v>
      </x:c>
      <x:c r="I66" s="25" t="str">
        <x:v>same_target_page</x:v>
      </x:c>
      <x:c r="J66" s="25" t="str">
        <x:v>magnetite</x:v>
      </x:c>
      <x:c r="K66" s="25" t="str">
        <x:v>/Users/lihd/discovery/paleomagnetic-r3-workflow/dist/paleomagnetic-r357-calibrated-workflow-full/data/parsed_mds/4298.txt</x:v>
      </x:c>
    </x:row>
    <x:row r="67" ht="48" customHeight="1">
      <x:c r="A67" s="25" t="str">
        <x:v>practical</x:v>
      </x:c>
      <x:c r="B67" s="25" t="str">
        <x:v>4298</x:v>
      </x:c>
      <x:c r="C67" s="25" t="str">
        <x:v>10189</x:v>
      </x:c>
      <x:c r="D67" s="25" t="str">
        <x:v>Gzhelian Sediments</x:v>
      </x:c>
      <x:c r="E67" s="25" t="str">
        <x:v>PRESENT</x:v>
      </x:c>
      <x:c r="F67" s="25" t="str">
        <x:v>SUSC-T,OP(MAGN,HEM)</x:v>
      </x:c>
      <x:c r="G67" s="25" t="str">
        <x:v>carrier</x:v>
      </x:c>
      <x:c r="H67" s="25" t="n">
        <x:v>4</x:v>
      </x:c>
      <x:c r="I67" s="25" t="str">
        <x:v>same_target_page</x:v>
      </x:c>
      <x:c r="J67" s="25" t="str">
        <x:v>Hematite</x:v>
      </x:c>
      <x:c r="K67" s="25" t="str">
        <x:v>/Users/lihd/discovery/paleomagnetic-r3-workflow/dist/paleomagnetic-r357-calibrated-workflow-full/data/parsed_mds/4298.txt</x:v>
      </x:c>
    </x:row>
    <x:row r="68" ht="48" customHeight="1">
      <x:c r="A68" s="25" t="str">
        <x:v>practical</x:v>
      </x:c>
      <x:c r="B68" s="25" t="str">
        <x:v>4298</x:v>
      </x:c>
      <x:c r="C68" s="25" t="str">
        <x:v>10190</x:v>
      </x:c>
      <x:c r="D68" s="25" t="str">
        <x:v>Visean Sediments</x:v>
      </x:c>
      <x:c r="E68" s="25" t="str">
        <x:v>ABSTAIN_IDENTITY</x:v>
      </x:c>
      <x:c r="F68" s="25" t="str"/>
      <x:c r="G68" s="25" t="str">
        <x:v>method</x:v>
      </x:c>
      <x:c r="H68" s="25" t="n">
        <x:v>6</x:v>
      </x:c>
      <x:c r="I68" s="25" t="str">
        <x:v>target_context</x:v>
      </x:c>
      <x:c r="J68" s="25" t="str">
        <x:v>thin section</x:v>
      </x:c>
      <x:c r="K68" s="25" t="str">
        <x:v>/Users/lihd/discovery/paleomagnetic-r3-workflow/dist/paleomagnetic-r357-calibrated-workflow-full/data/parsed_mds/4298.txt</x:v>
      </x:c>
    </x:row>
    <x:row r="69" ht="48" customHeight="1">
      <x:c r="A69" s="25" t="str">
        <x:v>practical</x:v>
      </x:c>
      <x:c r="B69" s="25" t="str">
        <x:v>4298</x:v>
      </x:c>
      <x:c r="C69" s="25" t="str">
        <x:v>10190</x:v>
      </x:c>
      <x:c r="D69" s="25" t="str">
        <x:v>Visean Sediments</x:v>
      </x:c>
      <x:c r="E69" s="25" t="str">
        <x:v>ABSTAIN_IDENTITY</x:v>
      </x:c>
      <x:c r="F69" s="25" t="str"/>
      <x:c r="G69" s="25" t="str">
        <x:v>carrier</x:v>
      </x:c>
      <x:c r="H69" s="25" t="n">
        <x:v>5</x:v>
      </x:c>
      <x:c r="I69" s="25" t="str">
        <x:v>target_same_sentence</x:v>
      </x:c>
      <x:c r="J69" s="25" t="str">
        <x:v>time of formation of clay deposits and subsequently the studied limestones (Visean/Serpukhovian bound- The structural features of hematite are very diverse ary and the beginning of the Serpukhovian Age) is and depend on the conditions in which hematite is marked by a change of the predominantly shallow sea formed.</x:v>
      </x:c>
      <x:c r="K69" s="25" t="str">
        <x:v>/Users/lihd/discovery/paleomagnetic-r3-workflow/dist/paleomagnetic-r357-calibrated-workflow-full/data/parsed_mds/4298.txt</x:v>
      </x:c>
    </x:row>
    <x:row r="70" ht="48" customHeight="1">
      <x:c r="A70" s="25" t="str">
        <x:v>practical</x:v>
      </x:c>
      <x:c r="B70" s="25" t="str">
        <x:v>4298</x:v>
      </x:c>
      <x:c r="C70" s="25" t="str">
        <x:v>10190</x:v>
      </x:c>
      <x:c r="D70" s="25" t="str">
        <x:v>Visean Sediments</x:v>
      </x:c>
      <x:c r="E70" s="25" t="str">
        <x:v>ABSTAIN_IDENTITY</x:v>
      </x:c>
      <x:c r="F70" s="25" t="str"/>
      <x:c r="G70" s="25" t="str">
        <x:v>carrier</x:v>
      </x:c>
      <x:c r="H70" s="25" t="n">
        <x:v>6</x:v>
      </x:c>
      <x:c r="I70" s="25" t="str">
        <x:v>near_target</x:v>
      </x:c>
      <x:c r="J70" s="25" t="str">
        <x:v>hematite</x:v>
      </x:c>
      <x:c r="K70" s="25" t="str">
        <x:v>/Users/lihd/discovery/paleomagnetic-r3-workflow/dist/paleomagnetic-r357-calibrated-workflow-full/data/parsed_mds/4298.txt</x:v>
      </x:c>
    </x:row>
    <x:row r="71" ht="48" customHeight="1">
      <x:c r="A71" s="25" t="str">
        <x:v>practical</x:v>
      </x:c>
      <x:c r="B71" s="25" t="str">
        <x:v>4298</x:v>
      </x:c>
      <x:c r="C71" s="25" t="str">
        <x:v>10190</x:v>
      </x:c>
      <x:c r="D71" s="25" t="str">
        <x:v>Visean Sediments</x:v>
      </x:c>
      <x:c r="E71" s="25" t="str">
        <x:v>ABSTAIN_IDENTITY</x:v>
      </x:c>
      <x:c r="F71" s="25" t="str"/>
      <x:c r="G71" s="25" t="str">
        <x:v>carrier</x:v>
      </x:c>
      <x:c r="H71" s="25" t="n">
        <x:v>5</x:v>
      </x:c>
      <x:c r="I71" s="25" t="str">
        <x:v>target_context</x:v>
      </x:c>
      <x:c r="J71" s="25" t="str">
        <x:v>hematite</x:v>
      </x:c>
      <x:c r="K71" s="25" t="str">
        <x:v>/Users/lihd/discovery/paleomagnetic-r3-workflow/dist/paleomagnetic-r357-calibrated-workflow-full/data/parsed_mds/4298.txt</x:v>
      </x:c>
    </x:row>
    <x:row r="72" ht="48" customHeight="1">
      <x:c r="A72" s="25" t="str">
        <x:v>practical</x:v>
      </x:c>
      <x:c r="B72" s="25" t="str">
        <x:v>4298</x:v>
      </x:c>
      <x:c r="C72" s="25" t="str">
        <x:v>10190</x:v>
      </x:c>
      <x:c r="D72" s="25" t="str">
        <x:v>Visean Sediments</x:v>
      </x:c>
      <x:c r="E72" s="25" t="str">
        <x:v>ABSTAIN_IDENTITY</x:v>
      </x:c>
      <x:c r="F72" s="25" t="str"/>
      <x:c r="G72" s="25" t="str">
        <x:v>carrier</x:v>
      </x:c>
      <x:c r="H72" s="25" t="n">
        <x:v>5</x:v>
      </x:c>
      <x:c r="I72" s="25" t="str">
        <x:v>target_context</x:v>
      </x:c>
      <x:c r="J72" s="25" t="str">
        <x:v>Hematite</x:v>
      </x:c>
      <x:c r="K72" s="25" t="str">
        <x:v>/Users/lihd/discovery/paleomagnetic-r3-workflow/dist/paleomagnetic-r357-calibrated-workflow-full/data/parsed_mds/4298.txt</x:v>
      </x:c>
    </x:row>
    <x:row r="73" ht="48" customHeight="1">
      <x:c r="A73" s="25" t="str">
        <x:v>practical</x:v>
      </x:c>
      <x:c r="B73" s="25" t="str">
        <x:v>4298</x:v>
      </x:c>
      <x:c r="C73" s="25" t="str">
        <x:v>10190</x:v>
      </x:c>
      <x:c r="D73" s="25" t="str">
        <x:v>Visean Sediments</x:v>
      </x:c>
      <x:c r="E73" s="25" t="str">
        <x:v>ABSTAIN_IDENTITY</x:v>
      </x:c>
      <x:c r="F73" s="25" t="str"/>
      <x:c r="G73" s="25" t="str">
        <x:v>carrier</x:v>
      </x:c>
      <x:c r="H73" s="25" t="n">
        <x:v>5</x:v>
      </x:c>
      <x:c r="I73" s="25" t="str">
        <x:v>same_target_page</x:v>
      </x:c>
      <x:c r="J73" s="25" t="str">
        <x:v>magnetite</x:v>
      </x:c>
      <x:c r="K73" s="25" t="str">
        <x:v>/Users/lihd/discovery/paleomagnetic-r3-workflow/dist/paleomagnetic-r357-calibrated-workflow-full/data/parsed_mds/4298.txt</x:v>
      </x:c>
    </x:row>
    <x:row r="74" ht="48" customHeight="1">
      <x:c r="A74" s="25" t="str">
        <x:v>practical</x:v>
      </x:c>
      <x:c r="B74" s="25" t="str">
        <x:v>4298</x:v>
      </x:c>
      <x:c r="C74" s="25" t="str">
        <x:v>10191</x:v>
      </x:c>
      <x:c r="D74" s="25" t="str">
        <x:v>Visean Sediments</x:v>
      </x:c>
      <x:c r="E74" s="25" t="str">
        <x:v>ABSTAIN_IDENTITY</x:v>
      </x:c>
      <x:c r="F74" s="25" t="str"/>
      <x:c r="G74" s="25" t="str">
        <x:v>method</x:v>
      </x:c>
      <x:c r="H74" s="25" t="n">
        <x:v>6</x:v>
      </x:c>
      <x:c r="I74" s="25" t="str">
        <x:v>target_context</x:v>
      </x:c>
      <x:c r="J74" s="25" t="str">
        <x:v>thin section</x:v>
      </x:c>
      <x:c r="K74" s="25" t="str">
        <x:v>/Users/lihd/discovery/paleomagnetic-r3-workflow/dist/paleomagnetic-r357-calibrated-workflow-full/data/parsed_mds/4298.txt</x:v>
      </x:c>
    </x:row>
    <x:row r="75" ht="48" customHeight="1">
      <x:c r="A75" s="25" t="str">
        <x:v>practical</x:v>
      </x:c>
      <x:c r="B75" s="25" t="str">
        <x:v>4298</x:v>
      </x:c>
      <x:c r="C75" s="25" t="str">
        <x:v>10191</x:v>
      </x:c>
      <x:c r="D75" s="25" t="str">
        <x:v>Visean Sediments</x:v>
      </x:c>
      <x:c r="E75" s="25" t="str">
        <x:v>ABSTAIN_IDENTITY</x:v>
      </x:c>
      <x:c r="F75" s="25" t="str"/>
      <x:c r="G75" s="25" t="str">
        <x:v>carrier</x:v>
      </x:c>
      <x:c r="H75" s="25" t="n">
        <x:v>5</x:v>
      </x:c>
      <x:c r="I75" s="25" t="str">
        <x:v>target_same_sentence</x:v>
      </x:c>
      <x:c r="J75" s="25" t="str">
        <x:v>time of formation of clay deposits and subsequently the studied limestones (Visean/Serpukhovian bound- The structural features of hematite are very diverse ary and the beginning of the Serpukhovian Age) is and depend on the conditions in which hematite is marked by a change of the predominantly shallow sea formed.</x:v>
      </x:c>
      <x:c r="K75" s="25" t="str">
        <x:v>/Users/lihd/discovery/paleomagnetic-r3-workflow/dist/paleomagnetic-r357-calibrated-workflow-full/data/parsed_mds/4298.txt</x:v>
      </x:c>
    </x:row>
    <x:row r="76" ht="48" customHeight="1">
      <x:c r="A76" s="25" t="str">
        <x:v>practical</x:v>
      </x:c>
      <x:c r="B76" s="25" t="str">
        <x:v>4298</x:v>
      </x:c>
      <x:c r="C76" s="25" t="str">
        <x:v>10191</x:v>
      </x:c>
      <x:c r="D76" s="25" t="str">
        <x:v>Visean Sediments</x:v>
      </x:c>
      <x:c r="E76" s="25" t="str">
        <x:v>ABSTAIN_IDENTITY</x:v>
      </x:c>
      <x:c r="F76" s="25" t="str"/>
      <x:c r="G76" s="25" t="str">
        <x:v>carrier</x:v>
      </x:c>
      <x:c r="H76" s="25" t="n">
        <x:v>6</x:v>
      </x:c>
      <x:c r="I76" s="25" t="str">
        <x:v>near_target</x:v>
      </x:c>
      <x:c r="J76" s="25" t="str">
        <x:v>hematite</x:v>
      </x:c>
      <x:c r="K76" s="25" t="str">
        <x:v>/Users/lihd/discovery/paleomagnetic-r3-workflow/dist/paleomagnetic-r357-calibrated-workflow-full/data/parsed_mds/4298.txt</x:v>
      </x:c>
    </x:row>
    <x:row r="77" ht="48" customHeight="1">
      <x:c r="A77" s="25" t="str">
        <x:v>practical</x:v>
      </x:c>
      <x:c r="B77" s="25" t="str">
        <x:v>4298</x:v>
      </x:c>
      <x:c r="C77" s="25" t="str">
        <x:v>10191</x:v>
      </x:c>
      <x:c r="D77" s="25" t="str">
        <x:v>Visean Sediments</x:v>
      </x:c>
      <x:c r="E77" s="25" t="str">
        <x:v>ABSTAIN_IDENTITY</x:v>
      </x:c>
      <x:c r="F77" s="25" t="str"/>
      <x:c r="G77" s="25" t="str">
        <x:v>carrier</x:v>
      </x:c>
      <x:c r="H77" s="25" t="n">
        <x:v>5</x:v>
      </x:c>
      <x:c r="I77" s="25" t="str">
        <x:v>target_context</x:v>
      </x:c>
      <x:c r="J77" s="25" t="str">
        <x:v>hematite</x:v>
      </x:c>
      <x:c r="K77" s="25" t="str">
        <x:v>/Users/lihd/discovery/paleomagnetic-r3-workflow/dist/paleomagnetic-r357-calibrated-workflow-full/data/parsed_mds/4298.txt</x:v>
      </x:c>
    </x:row>
    <x:row r="78" ht="48" customHeight="1">
      <x:c r="A78" s="25" t="str">
        <x:v>practical</x:v>
      </x:c>
      <x:c r="B78" s="25" t="str">
        <x:v>4298</x:v>
      </x:c>
      <x:c r="C78" s="25" t="str">
        <x:v>10191</x:v>
      </x:c>
      <x:c r="D78" s="25" t="str">
        <x:v>Visean Sediments</x:v>
      </x:c>
      <x:c r="E78" s="25" t="str">
        <x:v>ABSTAIN_IDENTITY</x:v>
      </x:c>
      <x:c r="F78" s="25" t="str"/>
      <x:c r="G78" s="25" t="str">
        <x:v>carrier</x:v>
      </x:c>
      <x:c r="H78" s="25" t="n">
        <x:v>5</x:v>
      </x:c>
      <x:c r="I78" s="25" t="str">
        <x:v>target_context</x:v>
      </x:c>
      <x:c r="J78" s="25" t="str">
        <x:v>Hematite</x:v>
      </x:c>
      <x:c r="K78" s="25" t="str">
        <x:v>/Users/lihd/discovery/paleomagnetic-r3-workflow/dist/paleomagnetic-r357-calibrated-workflow-full/data/parsed_mds/4298.txt</x:v>
      </x:c>
    </x:row>
    <x:row r="79" ht="48" customHeight="1">
      <x:c r="A79" s="25" t="str">
        <x:v>practical</x:v>
      </x:c>
      <x:c r="B79" s="25" t="str">
        <x:v>4298</x:v>
      </x:c>
      <x:c r="C79" s="25" t="str">
        <x:v>10191</x:v>
      </x:c>
      <x:c r="D79" s="25" t="str">
        <x:v>Visean Sediments</x:v>
      </x:c>
      <x:c r="E79" s="25" t="str">
        <x:v>ABSTAIN_IDENTITY</x:v>
      </x:c>
      <x:c r="F79" s="25" t="str"/>
      <x:c r="G79" s="25" t="str">
        <x:v>carrier</x:v>
      </x:c>
      <x:c r="H79" s="25" t="n">
        <x:v>5</x:v>
      </x:c>
      <x:c r="I79" s="25" t="str">
        <x:v>same_target_page</x:v>
      </x:c>
      <x:c r="J79" s="25" t="str">
        <x:v>magnetite</x:v>
      </x:c>
      <x:c r="K79" s="25" t="str">
        <x:v>/Users/lihd/discovery/paleomagnetic-r3-workflow/dist/paleomagnetic-r357-calibrated-workflow-full/data/parsed_mds/4298.txt</x:v>
      </x:c>
    </x:row>
    <x:row r="80" ht="48" customHeight="1">
      <x:c r="A80" s="25" t="str">
        <x:v>practical</x:v>
      </x:c>
      <x:c r="B80" s="25" t="str">
        <x:v>4298</x:v>
      </x:c>
      <x:c r="C80" s="25" t="str">
        <x:v>10192</x:v>
      </x:c>
      <x:c r="D80" s="25" t="str">
        <x:v>Visean Sediments, Priksha River</x:v>
      </x:c>
      <x:c r="E80" s="25" t="str">
        <x:v>ABSTAIN_IDENTITY</x:v>
      </x:c>
      <x:c r="F80" s="25" t="str"/>
      <x:c r="G80" s="25" t="str">
        <x:v>method</x:v>
      </x:c>
      <x:c r="H80" s="25" t="n">
        <x:v>6</x:v>
      </x:c>
      <x:c r="I80" s="25" t="str">
        <x:v>near_target</x:v>
      </x:c>
      <x:c r="J80" s="25" t="str">
        <x:v>thin section</x:v>
      </x:c>
      <x:c r="K80" s="25" t="str">
        <x:v>/Users/lihd/discovery/paleomagnetic-r3-workflow/dist/paleomagnetic-r357-calibrated-workflow-full/data/parsed_mds/4298.txt</x:v>
      </x:c>
    </x:row>
    <x:row r="81" ht="48" customHeight="1">
      <x:c r="A81" s="25" t="str">
        <x:v>practical</x:v>
      </x:c>
      <x:c r="B81" s="25" t="str">
        <x:v>4298</x:v>
      </x:c>
      <x:c r="C81" s="25" t="str">
        <x:v>10192</x:v>
      </x:c>
      <x:c r="D81" s="25" t="str">
        <x:v>Visean Sediments, Priksha River</x:v>
      </x:c>
      <x:c r="E81" s="25" t="str">
        <x:v>ABSTAIN_IDENTITY</x:v>
      </x:c>
      <x:c r="F81" s="25" t="str"/>
      <x:c r="G81" s="25" t="str">
        <x:v>method</x:v>
      </x:c>
      <x:c r="H81" s="25" t="n">
        <x:v>4</x:v>
      </x:c>
      <x:c r="I81" s="25" t="str">
        <x:v>target_context</x:v>
      </x:c>
      <x:c r="J81" s="25" t="str">
        <x:v>temperature depen- point of 560–580°C probably corresponding to non- dence of the magnetic susceptibility</x:v>
      </x:c>
      <x:c r="K81" s="25" t="str">
        <x:v>/Users/lihd/discovery/paleomagnetic-r3-workflow/dist/paleomagnetic-r357-calibrated-workflow-full/data/parsed_mds/4298.txt</x:v>
      </x:c>
    </x:row>
    <x:row r="82" ht="48" customHeight="1">
      <x:c r="A82" s="25" t="str">
        <x:v>practical</x:v>
      </x:c>
      <x:c r="B82" s="25" t="str">
        <x:v>4298</x:v>
      </x:c>
      <x:c r="C82" s="25" t="str">
        <x:v>10192</x:v>
      </x:c>
      <x:c r="D82" s="25" t="str">
        <x:v>Visean Sediments, Priksha River</x:v>
      </x:c>
      <x:c r="E82" s="25" t="str">
        <x:v>ABSTAIN_IDENTITY</x:v>
      </x:c>
      <x:c r="F82" s="25" t="str"/>
      <x:c r="G82" s="25" t="str">
        <x:v>method</x:v>
      </x:c>
      <x:c r="H82" s="25" t="n">
        <x:v>4</x:v>
      </x:c>
      <x:c r="I82" s="25" t="str">
        <x:v>target_context</x:v>
      </x:c>
      <x:c r="J82" s="25" t="str">
        <x:v>thin section</x:v>
      </x:c>
      <x:c r="K82" s="25" t="str">
        <x:v>/Users/lihd/discovery/paleomagnetic-r3-workflow/dist/paleomagnetic-r357-calibrated-workflow-full/data/parsed_mds/4298.txt</x:v>
      </x:c>
    </x:row>
    <x:row r="83" ht="48" customHeight="1">
      <x:c r="A83" s="25" t="str">
        <x:v>practical</x:v>
      </x:c>
      <x:c r="B83" s="25" t="str">
        <x:v>4298</x:v>
      </x:c>
      <x:c r="C83" s="25" t="str">
        <x:v>10192</x:v>
      </x:c>
      <x:c r="D83" s="25" t="str">
        <x:v>Visean Sediments, Priksha River</x:v>
      </x:c>
      <x:c r="E83" s="25" t="str">
        <x:v>ABSTAIN_IDENTITY</x:v>
      </x:c>
      <x:c r="F83" s="25" t="str"/>
      <x:c r="G83" s="25" t="str">
        <x:v>carrier</x:v>
      </x:c>
      <x:c r="H83" s="25" t="n">
        <x:v>4</x:v>
      </x:c>
      <x:c r="I83" s="25" t="str">
        <x:v>near_target</x:v>
      </x:c>
      <x:c r="J83" s="25" t="str">
        <x:v>magnetite</x:v>
      </x:c>
      <x:c r="K83" s="25" t="str">
        <x:v>/Users/lihd/discovery/paleomagnetic-r3-workflow/dist/paleomagnetic-r357-calibrated-workflow-full/data/parsed_mds/4298.txt</x:v>
      </x:c>
    </x:row>
    <x:row r="84" ht="48" customHeight="1">
      <x:c r="A84" s="25" t="str">
        <x:v>practical</x:v>
      </x:c>
      <x:c r="B84" s="25" t="str">
        <x:v>4298</x:v>
      </x:c>
      <x:c r="C84" s="25" t="str">
        <x:v>10192</x:v>
      </x:c>
      <x:c r="D84" s="25" t="str">
        <x:v>Visean Sediments, Priksha River</x:v>
      </x:c>
      <x:c r="E84" s="25" t="str">
        <x:v>ABSTAIN_IDENTITY</x:v>
      </x:c>
      <x:c r="F84" s="25" t="str"/>
      <x:c r="G84" s="25" t="str">
        <x:v>carrier</x:v>
      </x:c>
      <x:c r="H84" s="25" t="n">
        <x:v>4</x:v>
      </x:c>
      <x:c r="I84" s="25" t="str">
        <x:v>near_target</x:v>
      </x:c>
      <x:c r="J84" s="25" t="str">
        <x:v>hematite</x:v>
      </x:c>
      <x:c r="K84" s="25" t="str">
        <x:v>/Users/lihd/discovery/paleomagnetic-r3-workflow/dist/paleomagnetic-r357-calibrated-workflow-full/data/parsed_mds/4298.txt</x:v>
      </x:c>
    </x:row>
    <x:row r="85" ht="48" customHeight="1">
      <x:c r="A85" s="25" t="str">
        <x:v>practical</x:v>
      </x:c>
      <x:c r="B85" s="25" t="str">
        <x:v>4298</x:v>
      </x:c>
      <x:c r="C85" s="25" t="str">
        <x:v>10192</x:v>
      </x:c>
      <x:c r="D85" s="25" t="str">
        <x:v>Visean Sediments, Priksha River</x:v>
      </x:c>
      <x:c r="E85" s="25" t="str">
        <x:v>ABSTAIN_IDENTITY</x:v>
      </x:c>
      <x:c r="F85" s="25" t="str"/>
      <x:c r="G85" s="25" t="str">
        <x:v>carrier</x:v>
      </x:c>
      <x:c r="H85" s="25" t="n">
        <x:v>4</x:v>
      </x:c>
      <x:c r="I85" s="25" t="str">
        <x:v>near_target</x:v>
      </x:c>
      <x:c r="J85" s="25" t="str">
        <x:v>Hematite</x:v>
      </x:c>
      <x:c r="K85" s="25" t="str">
        <x:v>/Users/lihd/discovery/paleomagnetic-r3-workflow/dist/paleomagnetic-r357-calibrated-workflow-full/data/parsed_mds/4298.txt</x:v>
      </x:c>
    </x:row>
    <x:row r="86" ht="48" customHeight="1">
      <x:c r="A86" s="25" t="str">
        <x:v>practical</x:v>
      </x:c>
      <x:c r="B86" s="25" t="str">
        <x:v>4298</x:v>
      </x:c>
      <x:c r="C86" s="25" t="str">
        <x:v>10192</x:v>
      </x:c>
      <x:c r="D86" s="25" t="str">
        <x:v>Visean Sediments, Priksha River</x:v>
      </x:c>
      <x:c r="E86" s="25" t="str">
        <x:v>ABSTAIN_IDENTITY</x:v>
      </x:c>
      <x:c r="F86" s="25" t="str"/>
      <x:c r="G86" s="25" t="str">
        <x:v>carrier</x:v>
      </x:c>
      <x:c r="H86" s="25" t="n">
        <x:v>5</x:v>
      </x:c>
      <x:c r="I86" s="25" t="str">
        <x:v>near_target</x:v>
      </x:c>
      <x:c r="J86" s="25" t="str">
        <x:v>hematite</x:v>
      </x:c>
      <x:c r="K86" s="25" t="str">
        <x:v>/Users/lihd/discovery/paleomagnetic-r3-workflow/dist/paleomagnetic-r357-calibrated-workflow-full/data/parsed_mds/4298.txt</x:v>
      </x:c>
    </x:row>
    <x:row r="87" ht="48" customHeight="1">
      <x:c r="A87" s="25" t="str">
        <x:v>practical</x:v>
      </x:c>
      <x:c r="B87" s="25" t="str">
        <x:v>4298</x:v>
      </x:c>
      <x:c r="C87" s="25" t="str">
        <x:v>10192</x:v>
      </x:c>
      <x:c r="D87" s="25" t="str">
        <x:v>Visean Sediments, Priksha River</x:v>
      </x:c>
      <x:c r="E87" s="25" t="str">
        <x:v>ABSTAIN_IDENTITY</x:v>
      </x:c>
      <x:c r="F87" s="25" t="str"/>
      <x:c r="G87" s="25" t="str">
        <x:v>carrier</x:v>
      </x:c>
      <x:c r="H87" s="25" t="n">
        <x:v>6</x:v>
      </x:c>
      <x:c r="I87" s="25" t="str">
        <x:v>near_target</x:v>
      </x:c>
      <x:c r="J87" s="25" t="str">
        <x:v>hematite</x:v>
      </x:c>
      <x:c r="K87" s="25" t="str">
        <x:v>/Users/lihd/discovery/paleomagnetic-r3-workflow/dist/paleomagnetic-r357-calibrated-workflow-full/data/parsed_mds/4298.txt</x:v>
      </x:c>
    </x:row>
    <x:row r="88" ht="48" customHeight="1">
      <x:c r="A88" s="25" t="str">
        <x:v>practical</x:v>
      </x:c>
      <x:c r="B88" s="25" t="str">
        <x:v>4298</x:v>
      </x:c>
      <x:c r="C88" s="25" t="str">
        <x:v>10193</x:v>
      </x:c>
      <x:c r="D88" s="25" t="str">
        <x:v>Visean Sediments, Priksha River</x:v>
      </x:c>
      <x:c r="E88" s="25" t="str">
        <x:v>ABSTAIN_IDENTITY</x:v>
      </x:c>
      <x:c r="F88" s="25" t="str"/>
      <x:c r="G88" s="25" t="str">
        <x:v>method</x:v>
      </x:c>
      <x:c r="H88" s="25" t="n">
        <x:v>6</x:v>
      </x:c>
      <x:c r="I88" s="25" t="str">
        <x:v>near_target</x:v>
      </x:c>
      <x:c r="J88" s="25" t="str">
        <x:v>thin section</x:v>
      </x:c>
      <x:c r="K88" s="25" t="str">
        <x:v>/Users/lihd/discovery/paleomagnetic-r3-workflow/dist/paleomagnetic-r357-calibrated-workflow-full/data/parsed_mds/4298.txt</x:v>
      </x:c>
    </x:row>
    <x:row r="89" ht="48" customHeight="1">
      <x:c r="A89" s="25" t="str">
        <x:v>practical</x:v>
      </x:c>
      <x:c r="B89" s="25" t="str">
        <x:v>4298</x:v>
      </x:c>
      <x:c r="C89" s="25" t="str">
        <x:v>10193</x:v>
      </x:c>
      <x:c r="D89" s="25" t="str">
        <x:v>Visean Sediments, Priksha River</x:v>
      </x:c>
      <x:c r="E89" s="25" t="str">
        <x:v>ABSTAIN_IDENTITY</x:v>
      </x:c>
      <x:c r="F89" s="25" t="str"/>
      <x:c r="G89" s="25" t="str">
        <x:v>method</x:v>
      </x:c>
      <x:c r="H89" s="25" t="n">
        <x:v>4</x:v>
      </x:c>
      <x:c r="I89" s="25" t="str">
        <x:v>target_context</x:v>
      </x:c>
      <x:c r="J89" s="25" t="str">
        <x:v>temperature depen- point of 560–580°C probably corresponding to non- dence of the magnetic susceptibility</x:v>
      </x:c>
      <x:c r="K89" s="25" t="str">
        <x:v>/Users/lihd/discovery/paleomagnetic-r3-workflow/dist/paleomagnetic-r357-calibrated-workflow-full/data/parsed_mds/4298.txt</x:v>
      </x:c>
    </x:row>
    <x:row r="90" ht="48" customHeight="1">
      <x:c r="A90" s="25" t="str">
        <x:v>practical</x:v>
      </x:c>
      <x:c r="B90" s="25" t="str">
        <x:v>4298</x:v>
      </x:c>
      <x:c r="C90" s="25" t="str">
        <x:v>10193</x:v>
      </x:c>
      <x:c r="D90" s="25" t="str">
        <x:v>Visean Sediments, Priksha River</x:v>
      </x:c>
      <x:c r="E90" s="25" t="str">
        <x:v>ABSTAIN_IDENTITY</x:v>
      </x:c>
      <x:c r="F90" s="25" t="str"/>
      <x:c r="G90" s="25" t="str">
        <x:v>method</x:v>
      </x:c>
      <x:c r="H90" s="25" t="n">
        <x:v>4</x:v>
      </x:c>
      <x:c r="I90" s="25" t="str">
        <x:v>target_context</x:v>
      </x:c>
      <x:c r="J90" s="25" t="str">
        <x:v>thin section</x:v>
      </x:c>
      <x:c r="K90" s="25" t="str">
        <x:v>/Users/lihd/discovery/paleomagnetic-r3-workflow/dist/paleomagnetic-r357-calibrated-workflow-full/data/parsed_mds/4298.txt</x:v>
      </x:c>
    </x:row>
    <x:row r="91" ht="48" customHeight="1">
      <x:c r="A91" s="25" t="str">
        <x:v>practical</x:v>
      </x:c>
      <x:c r="B91" s="25" t="str">
        <x:v>4298</x:v>
      </x:c>
      <x:c r="C91" s="25" t="str">
        <x:v>10193</x:v>
      </x:c>
      <x:c r="D91" s="25" t="str">
        <x:v>Visean Sediments, Priksha River</x:v>
      </x:c>
      <x:c r="E91" s="25" t="str">
        <x:v>ABSTAIN_IDENTITY</x:v>
      </x:c>
      <x:c r="F91" s="25" t="str"/>
      <x:c r="G91" s="25" t="str">
        <x:v>carrier</x:v>
      </x:c>
      <x:c r="H91" s="25" t="n">
        <x:v>4</x:v>
      </x:c>
      <x:c r="I91" s="25" t="str">
        <x:v>near_target</x:v>
      </x:c>
      <x:c r="J91" s="25" t="str">
        <x:v>magnetite</x:v>
      </x:c>
      <x:c r="K91" s="25" t="str">
        <x:v>/Users/lihd/discovery/paleomagnetic-r3-workflow/dist/paleomagnetic-r357-calibrated-workflow-full/data/parsed_mds/4298.txt</x:v>
      </x:c>
    </x:row>
    <x:row r="92" ht="48" customHeight="1">
      <x:c r="A92" s="25" t="str">
        <x:v>practical</x:v>
      </x:c>
      <x:c r="B92" s="25" t="str">
        <x:v>4298</x:v>
      </x:c>
      <x:c r="C92" s="25" t="str">
        <x:v>10193</x:v>
      </x:c>
      <x:c r="D92" s="25" t="str">
        <x:v>Visean Sediments, Priksha River</x:v>
      </x:c>
      <x:c r="E92" s="25" t="str">
        <x:v>ABSTAIN_IDENTITY</x:v>
      </x:c>
      <x:c r="F92" s="25" t="str"/>
      <x:c r="G92" s="25" t="str">
        <x:v>carrier</x:v>
      </x:c>
      <x:c r="H92" s="25" t="n">
        <x:v>4</x:v>
      </x:c>
      <x:c r="I92" s="25" t="str">
        <x:v>near_target</x:v>
      </x:c>
      <x:c r="J92" s="25" t="str">
        <x:v>hematite</x:v>
      </x:c>
      <x:c r="K92" s="25" t="str">
        <x:v>/Users/lihd/discovery/paleomagnetic-r3-workflow/dist/paleomagnetic-r357-calibrated-workflow-full/data/parsed_mds/4298.txt</x:v>
      </x:c>
    </x:row>
    <x:row r="93" ht="48" customHeight="1">
      <x:c r="A93" s="25" t="str">
        <x:v>practical</x:v>
      </x:c>
      <x:c r="B93" s="25" t="str">
        <x:v>4298</x:v>
      </x:c>
      <x:c r="C93" s="25" t="str">
        <x:v>10193</x:v>
      </x:c>
      <x:c r="D93" s="25" t="str">
        <x:v>Visean Sediments, Priksha River</x:v>
      </x:c>
      <x:c r="E93" s="25" t="str">
        <x:v>ABSTAIN_IDENTITY</x:v>
      </x:c>
      <x:c r="F93" s="25" t="str"/>
      <x:c r="G93" s="25" t="str">
        <x:v>carrier</x:v>
      </x:c>
      <x:c r="H93" s="25" t="n">
        <x:v>4</x:v>
      </x:c>
      <x:c r="I93" s="25" t="str">
        <x:v>near_target</x:v>
      </x:c>
      <x:c r="J93" s="25" t="str">
        <x:v>Hematite</x:v>
      </x:c>
      <x:c r="K93" s="25" t="str">
        <x:v>/Users/lihd/discovery/paleomagnetic-r3-workflow/dist/paleomagnetic-r357-calibrated-workflow-full/data/parsed_mds/4298.txt</x:v>
      </x:c>
    </x:row>
    <x:row r="94" ht="48" customHeight="1">
      <x:c r="A94" s="25" t="str">
        <x:v>practical</x:v>
      </x:c>
      <x:c r="B94" s="25" t="str">
        <x:v>4298</x:v>
      </x:c>
      <x:c r="C94" s="25" t="str">
        <x:v>10193</x:v>
      </x:c>
      <x:c r="D94" s="25" t="str">
        <x:v>Visean Sediments, Priksha River</x:v>
      </x:c>
      <x:c r="E94" s="25" t="str">
        <x:v>ABSTAIN_IDENTITY</x:v>
      </x:c>
      <x:c r="F94" s="25" t="str"/>
      <x:c r="G94" s="25" t="str">
        <x:v>carrier</x:v>
      </x:c>
      <x:c r="H94" s="25" t="n">
        <x:v>5</x:v>
      </x:c>
      <x:c r="I94" s="25" t="str">
        <x:v>near_target</x:v>
      </x:c>
      <x:c r="J94" s="25" t="str">
        <x:v>hematite</x:v>
      </x:c>
      <x:c r="K94" s="25" t="str">
        <x:v>/Users/lihd/discovery/paleomagnetic-r3-workflow/dist/paleomagnetic-r357-calibrated-workflow-full/data/parsed_mds/4298.txt</x:v>
      </x:c>
    </x:row>
    <x:row r="95" ht="48" customHeight="1">
      <x:c r="A95" s="25" t="str">
        <x:v>practical</x:v>
      </x:c>
      <x:c r="B95" s="25" t="str">
        <x:v>4298</x:v>
      </x:c>
      <x:c r="C95" s="25" t="str">
        <x:v>10193</x:v>
      </x:c>
      <x:c r="D95" s="25" t="str">
        <x:v>Visean Sediments, Priksha River</x:v>
      </x:c>
      <x:c r="E95" s="25" t="str">
        <x:v>ABSTAIN_IDENTITY</x:v>
      </x:c>
      <x:c r="F95" s="25" t="str"/>
      <x:c r="G95" s="25" t="str">
        <x:v>carrier</x:v>
      </x:c>
      <x:c r="H95" s="25" t="n">
        <x:v>6</x:v>
      </x:c>
      <x:c r="I95" s="25" t="str">
        <x:v>near_target</x:v>
      </x:c>
      <x:c r="J95" s="25" t="str">
        <x:v>hematite</x:v>
      </x:c>
      <x:c r="K95" s="25" t="str">
        <x:v>/Users/lihd/discovery/paleomagnetic-r3-workflow/dist/paleomagnetic-r357-calibrated-workflow-full/data/parsed_mds/4298.txt</x:v>
      </x:c>
    </x:row>
    <x:row r="96" ht="48" customHeight="1">
      <x:c r="A96" s="25" t="str">
        <x:v>practical</x:v>
      </x:c>
      <x:c r="B96" s="25" t="str">
        <x:v>4298</x:v>
      </x:c>
      <x:c r="C96" s="25" t="str">
        <x:v>10194</x:v>
      </x:c>
      <x:c r="D96" s="25" t="str">
        <x:v>Visean Sediments, Priksha River</x:v>
      </x:c>
      <x:c r="E96" s="25" t="str">
        <x:v>ABSTAIN_IDENTITY</x:v>
      </x:c>
      <x:c r="F96" s="25" t="str"/>
      <x:c r="G96" s="25" t="str">
        <x:v>method</x:v>
      </x:c>
      <x:c r="H96" s="25" t="n">
        <x:v>6</x:v>
      </x:c>
      <x:c r="I96" s="25" t="str">
        <x:v>near_target</x:v>
      </x:c>
      <x:c r="J96" s="25" t="str">
        <x:v>thin section</x:v>
      </x:c>
      <x:c r="K96" s="25" t="str">
        <x:v>/Users/lihd/discovery/paleomagnetic-r3-workflow/dist/paleomagnetic-r357-calibrated-workflow-full/data/parsed_mds/4298.txt</x:v>
      </x:c>
    </x:row>
    <x:row r="97" ht="48" customHeight="1">
      <x:c r="A97" s="25" t="str">
        <x:v>practical</x:v>
      </x:c>
      <x:c r="B97" s="25" t="str">
        <x:v>4298</x:v>
      </x:c>
      <x:c r="C97" s="25" t="str">
        <x:v>10194</x:v>
      </x:c>
      <x:c r="D97" s="25" t="str">
        <x:v>Visean Sediments, Priksha River</x:v>
      </x:c>
      <x:c r="E97" s="25" t="str">
        <x:v>ABSTAIN_IDENTITY</x:v>
      </x:c>
      <x:c r="F97" s="25" t="str"/>
      <x:c r="G97" s="25" t="str">
        <x:v>method</x:v>
      </x:c>
      <x:c r="H97" s="25" t="n">
        <x:v>4</x:v>
      </x:c>
      <x:c r="I97" s="25" t="str">
        <x:v>target_context</x:v>
      </x:c>
      <x:c r="J97" s="25" t="str">
        <x:v>temperature depen- point of 560–580°C probably corresponding to non- dence of the magnetic susceptibility</x:v>
      </x:c>
      <x:c r="K97" s="25" t="str">
        <x:v>/Users/lihd/discovery/paleomagnetic-r3-workflow/dist/paleomagnetic-r357-calibrated-workflow-full/data/parsed_mds/4298.txt</x:v>
      </x:c>
    </x:row>
    <x:row r="98" ht="48" customHeight="1">
      <x:c r="A98" s="25" t="str">
        <x:v>practical</x:v>
      </x:c>
      <x:c r="B98" s="25" t="str">
        <x:v>4298</x:v>
      </x:c>
      <x:c r="C98" s="25" t="str">
        <x:v>10194</x:v>
      </x:c>
      <x:c r="D98" s="25" t="str">
        <x:v>Visean Sediments, Priksha River</x:v>
      </x:c>
      <x:c r="E98" s="25" t="str">
        <x:v>ABSTAIN_IDENTITY</x:v>
      </x:c>
      <x:c r="F98" s="25" t="str"/>
      <x:c r="G98" s="25" t="str">
        <x:v>method</x:v>
      </x:c>
      <x:c r="H98" s="25" t="n">
        <x:v>4</x:v>
      </x:c>
      <x:c r="I98" s="25" t="str">
        <x:v>target_context</x:v>
      </x:c>
      <x:c r="J98" s="25" t="str">
        <x:v>thin section</x:v>
      </x:c>
      <x:c r="K98" s="25" t="str">
        <x:v>/Users/lihd/discovery/paleomagnetic-r3-workflow/dist/paleomagnetic-r357-calibrated-workflow-full/data/parsed_mds/4298.txt</x:v>
      </x:c>
    </x:row>
    <x:row r="99" ht="48" customHeight="1">
      <x:c r="A99" s="25" t="str">
        <x:v>practical</x:v>
      </x:c>
      <x:c r="B99" s="25" t="str">
        <x:v>4298</x:v>
      </x:c>
      <x:c r="C99" s="25" t="str">
        <x:v>10194</x:v>
      </x:c>
      <x:c r="D99" s="25" t="str">
        <x:v>Visean Sediments, Priksha River</x:v>
      </x:c>
      <x:c r="E99" s="25" t="str">
        <x:v>ABSTAIN_IDENTITY</x:v>
      </x:c>
      <x:c r="F99" s="25" t="str"/>
      <x:c r="G99" s="25" t="str">
        <x:v>carrier</x:v>
      </x:c>
      <x:c r="H99" s="25" t="n">
        <x:v>4</x:v>
      </x:c>
      <x:c r="I99" s="25" t="str">
        <x:v>near_target</x:v>
      </x:c>
      <x:c r="J99" s="25" t="str">
        <x:v>magnetite</x:v>
      </x:c>
      <x:c r="K99" s="25" t="str">
        <x:v>/Users/lihd/discovery/paleomagnetic-r3-workflow/dist/paleomagnetic-r357-calibrated-workflow-full/data/parsed_mds/4298.txt</x:v>
      </x:c>
    </x:row>
    <x:row r="100" ht="48" customHeight="1">
      <x:c r="A100" s="25" t="str">
        <x:v>practical</x:v>
      </x:c>
      <x:c r="B100" s="25" t="str">
        <x:v>4298</x:v>
      </x:c>
      <x:c r="C100" s="25" t="str">
        <x:v>10194</x:v>
      </x:c>
      <x:c r="D100" s="25" t="str">
        <x:v>Visean Sediments, Priksha River</x:v>
      </x:c>
      <x:c r="E100" s="25" t="str">
        <x:v>ABSTAIN_IDENTITY</x:v>
      </x:c>
      <x:c r="F100" s="25" t="str"/>
      <x:c r="G100" s="25" t="str">
        <x:v>carrier</x:v>
      </x:c>
      <x:c r="H100" s="25" t="n">
        <x:v>4</x:v>
      </x:c>
      <x:c r="I100" s="25" t="str">
        <x:v>near_target</x:v>
      </x:c>
      <x:c r="J100" s="25" t="str">
        <x:v>hematite</x:v>
      </x:c>
      <x:c r="K100" s="25" t="str">
        <x:v>/Users/lihd/discovery/paleomagnetic-r3-workflow/dist/paleomagnetic-r357-calibrated-workflow-full/data/parsed_mds/4298.txt</x:v>
      </x:c>
    </x:row>
    <x:row r="101" ht="48" customHeight="1">
      <x:c r="A101" s="25" t="str">
        <x:v>practical</x:v>
      </x:c>
      <x:c r="B101" s="25" t="str">
        <x:v>4298</x:v>
      </x:c>
      <x:c r="C101" s="25" t="str">
        <x:v>10194</x:v>
      </x:c>
      <x:c r="D101" s="25" t="str">
        <x:v>Visean Sediments, Priksha River</x:v>
      </x:c>
      <x:c r="E101" s="25" t="str">
        <x:v>ABSTAIN_IDENTITY</x:v>
      </x:c>
      <x:c r="F101" s="25" t="str"/>
      <x:c r="G101" s="25" t="str">
        <x:v>carrier</x:v>
      </x:c>
      <x:c r="H101" s="25" t="n">
        <x:v>4</x:v>
      </x:c>
      <x:c r="I101" s="25" t="str">
        <x:v>near_target</x:v>
      </x:c>
      <x:c r="J101" s="25" t="str">
        <x:v>Hematite</x:v>
      </x:c>
      <x:c r="K101" s="25" t="str">
        <x:v>/Users/lihd/discovery/paleomagnetic-r3-workflow/dist/paleomagnetic-r357-calibrated-workflow-full/data/parsed_mds/4298.txt</x:v>
      </x:c>
    </x:row>
    <x:row r="102" ht="48" customHeight="1">
      <x:c r="A102" s="25" t="str">
        <x:v>practical</x:v>
      </x:c>
      <x:c r="B102" s="25" t="str">
        <x:v>4298</x:v>
      </x:c>
      <x:c r="C102" s="25" t="str">
        <x:v>10194</x:v>
      </x:c>
      <x:c r="D102" s="25" t="str">
        <x:v>Visean Sediments, Priksha River</x:v>
      </x:c>
      <x:c r="E102" s="25" t="str">
        <x:v>ABSTAIN_IDENTITY</x:v>
      </x:c>
      <x:c r="F102" s="25" t="str"/>
      <x:c r="G102" s="25" t="str">
        <x:v>carrier</x:v>
      </x:c>
      <x:c r="H102" s="25" t="n">
        <x:v>5</x:v>
      </x:c>
      <x:c r="I102" s="25" t="str">
        <x:v>near_target</x:v>
      </x:c>
      <x:c r="J102" s="25" t="str">
        <x:v>hematite</x:v>
      </x:c>
      <x:c r="K102" s="25" t="str">
        <x:v>/Users/lihd/discovery/paleomagnetic-r3-workflow/dist/paleomagnetic-r357-calibrated-workflow-full/data/parsed_mds/4298.txt</x:v>
      </x:c>
    </x:row>
    <x:row r="103" ht="48" customHeight="1">
      <x:c r="A103" s="25" t="str">
        <x:v>practical</x:v>
      </x:c>
      <x:c r="B103" s="25" t="str">
        <x:v>4298</x:v>
      </x:c>
      <x:c r="C103" s="25" t="str">
        <x:v>10194</x:v>
      </x:c>
      <x:c r="D103" s="25" t="str">
        <x:v>Visean Sediments, Priksha River</x:v>
      </x:c>
      <x:c r="E103" s="25" t="str">
        <x:v>ABSTAIN_IDENTITY</x:v>
      </x:c>
      <x:c r="F103" s="25" t="str"/>
      <x:c r="G103" s="25" t="str">
        <x:v>carrier</x:v>
      </x:c>
      <x:c r="H103" s="25" t="n">
        <x:v>6</x:v>
      </x:c>
      <x:c r="I103" s="25" t="str">
        <x:v>near_target</x:v>
      </x:c>
      <x:c r="J103" s="25" t="str">
        <x:v>hematite</x:v>
      </x:c>
      <x:c r="K103" s="25" t="str">
        <x:v>/Users/lihd/discovery/paleomagnetic-r3-workflow/dist/paleomagnetic-r357-calibrated-workflow-full/data/parsed_mds/4298.txt</x:v>
      </x:c>
    </x:row>
    <x:row r="104" ht="48" customHeight="1">
      <x:c r="A104" s="25" t="str">
        <x:v>strict</x:v>
      </x:c>
      <x:c r="B104" s="25" t="str">
        <x:v>4324</x:v>
      </x:c>
      <x:c r="C104" s="25" t="str">
        <x:v>10236</x:v>
      </x:c>
      <x:c r="D104" s="25" t="str">
        <x:v>Kiuruvesi Gabbrodiorite</x:v>
      </x:c>
      <x:c r="E104" s="25" t="str">
        <x:v>PRESENT</x:v>
      </x:c>
      <x:c r="F104" s="25" t="str">
        <x:v>IRM(MAGN,MAGH,TM)</x:v>
      </x:c>
      <x:c r="G104" s="25" t="str">
        <x:v>method</x:v>
      </x:c>
      <x:c r="H104" s="25" t="n">
        <x:v>4</x:v>
      </x:c>
      <x:c r="I104" s="25" t="str">
        <x:v>target_same_sentence</x:v>
      </x:c>
      <x:c r="J104" s="25" t="str">
        <x:v>IRM was imparted in Kiuruvesi gabbrodiorite, although the susceptibility decrease at ca .</x:v>
      </x:c>
      <x:c r="K104" s="25" t="str">
        <x:v>/Users/lihd/discovery/paleomagnetic-r3-workflow/dist/paleomagnetic-r357-calibrated-workflow-full/data/parsed_mds/4324.txt</x:v>
      </x:c>
    </x:row>
    <x:row r="105" ht="48" customHeight="1">
      <x:c r="A105" s="25" t="str">
        <x:v>strict</x:v>
      </x:c>
      <x:c r="B105" s="25" t="str">
        <x:v>4324</x:v>
      </x:c>
      <x:c r="C105" s="25" t="str">
        <x:v>10236</x:v>
      </x:c>
      <x:c r="D105" s="25" t="str">
        <x:v>Kiuruvesi Gabbrodiorite</x:v>
      </x:c>
      <x:c r="E105" s="25" t="str">
        <x:v>PRESENT</x:v>
      </x:c>
      <x:c r="F105" s="25" t="str">
        <x:v>IRM(MAGN,MAGH,TM)</x:v>
      </x:c>
      <x:c r="G105" s="25" t="str">
        <x:v>diagnostic</x:v>
      </x:c>
      <x:c r="H105" s="25" t="n">
        <x:v>4</x:v>
      </x:c>
      <x:c r="I105" s="25" t="str">
        <x:v>same_target_page</x:v>
      </x:c>
      <x:c r="J105" s="25" t="str">
        <x:v>MD magnetite grains</x:v>
      </x:c>
      <x:c r="K105" s="25" t="str">
        <x:v>/Users/lihd/discovery/paleomagnetic-r3-workflow/dist/paleomagnetic-r357-calibrated-workflow-full/data/parsed_mds/4324.txt</x:v>
      </x:c>
    </x:row>
    <x:row r="106" ht="48" customHeight="1">
      <x:c r="A106" s="25" t="str">
        <x:v>strict</x:v>
      </x:c>
      <x:c r="B106" s="25" t="str">
        <x:v>4324</x:v>
      </x:c>
      <x:c r="C106" s="25" t="str">
        <x:v>10236</x:v>
      </x:c>
      <x:c r="D106" s="25" t="str">
        <x:v>Kiuruvesi Gabbrodiorite</x:v>
      </x:c>
      <x:c r="E106" s="25" t="str">
        <x:v>PRESENT</x:v>
      </x:c>
      <x:c r="F106" s="25" t="str">
        <x:v>IRM(MAGN,MAGH,TM)</x:v>
      </x:c>
      <x:c r="G106" s="25" t="str">
        <x:v>carrier</x:v>
      </x:c>
      <x:c r="H106" s="25" t="n">
        <x:v>4</x:v>
      </x:c>
      <x:c r="I106" s="25" t="str">
        <x:v>near_target</x:v>
      </x:c>
      <x:c r="J106" s="25" t="str">
        <x:v>magnetite</x:v>
      </x:c>
      <x:c r="K106" s="25" t="str">
        <x:v>/Users/lihd/discovery/paleomagnetic-r3-workflow/dist/paleomagnetic-r357-calibrated-workflow-full/data/parsed_mds/4324.txt</x:v>
      </x:c>
    </x:row>
    <x:row r="107" ht="48" customHeight="1">
      <x:c r="A107" s="25" t="str">
        <x:v>strict</x:v>
      </x:c>
      <x:c r="B107" s="25" t="str">
        <x:v>4324</x:v>
      </x:c>
      <x:c r="C107" s="25" t="str">
        <x:v>10236</x:v>
      </x:c>
      <x:c r="D107" s="25" t="str">
        <x:v>Kiuruvesi Gabbrodiorite</x:v>
      </x:c>
      <x:c r="E107" s="25" t="str">
        <x:v>PRESENT</x:v>
      </x:c>
      <x:c r="F107" s="25" t="str">
        <x:v>IRM(MAGN,MAGH,TM)</x:v>
      </x:c>
      <x:c r="G107" s="25" t="str">
        <x:v>carrier</x:v>
      </x:c>
      <x:c r="H107" s="25" t="n">
        <x:v>4</x:v>
      </x:c>
      <x:c r="I107" s="25" t="str">
        <x:v>target_context</x:v>
      </x:c>
      <x:c r="J107" s="25" t="str">
        <x:v>maghemite</x:v>
      </x:c>
      <x:c r="K107" s="25" t="str">
        <x:v>/Users/lihd/discovery/paleomagnetic-r3-workflow/dist/paleomagnetic-r357-calibrated-workflow-full/data/parsed_mds/4324.txt</x:v>
      </x:c>
    </x:row>
    <x:row r="108" ht="48" customHeight="1">
      <x:c r="A108" s="25" t="str">
        <x:v>strict</x:v>
      </x:c>
      <x:c r="B108" s="25" t="str">
        <x:v>4324</x:v>
      </x:c>
      <x:c r="C108" s="25" t="str">
        <x:v>10236</x:v>
      </x:c>
      <x:c r="D108" s="25" t="str">
        <x:v>Kiuruvesi Gabbrodiorite</x:v>
      </x:c>
      <x:c r="E108" s="25" t="str">
        <x:v>PRESENT</x:v>
      </x:c>
      <x:c r="F108" s="25" t="str">
        <x:v>IRM(MAGN,MAGH,TM)</x:v>
      </x:c>
      <x:c r="G108" s="25" t="str">
        <x:v>carrier</x:v>
      </x:c>
      <x:c r="H108" s="25" t="n">
        <x:v>4</x:v>
      </x:c>
      <x:c r="I108" s="25" t="str">
        <x:v>same_target_page</x:v>
      </x:c>
      <x:c r="J108" s="25" t="str">
        <x:v>titanomagnetite</x:v>
      </x:c>
      <x:c r="K108" s="25" t="str">
        <x:v>/Users/lihd/discovery/paleomagnetic-r3-workflow/dist/paleomagnetic-r357-calibrated-workflow-full/data/parsed_mds/4324.txt</x:v>
      </x:c>
    </x:row>
    <x:row r="109" ht="48" customHeight="1">
      <x:c r="A109" s="25" t="str">
        <x:v>strict</x:v>
      </x:c>
      <x:c r="B109" s="25" t="str">
        <x:v>4324</x:v>
      </x:c>
      <x:c r="C109" s="25" t="str">
        <x:v>10236</x:v>
      </x:c>
      <x:c r="D109" s="25" t="str">
        <x:v>Kiuruvesi Gabbrodiorite</x:v>
      </x:c>
      <x:c r="E109" s="25" t="str">
        <x:v>PRESENT</x:v>
      </x:c>
      <x:c r="F109" s="25" t="str">
        <x:v>IRM(MAGN,MAGH,TM)</x:v>
      </x:c>
      <x:c r="G109" s="25" t="str">
        <x:v>method</x:v>
      </x:c>
      <x:c r="H109" s="25" t="n">
        <x:v>4</x:v>
      </x:c>
      <x:c r="I109" s="25" t="str">
        <x:v>near_target</x:v>
      </x:c>
      <x:c r="J109" s="25" t="str">
        <x:v>MD</x:v>
      </x:c>
      <x:c r="K109" s="25" t="str">
        <x:v>/Users/lihd/discovery/paleomagnetic-r3-workflow/dist/paleomagnetic-r357-calibrated-workflow-full/data/parsed_mds/4324.txt</x:v>
      </x:c>
    </x:row>
    <x:row r="110" ht="48" customHeight="1">
      <x:c r="A110" s="25" t="str">
        <x:v>strict</x:v>
      </x:c>
      <x:c r="B110" s="25" t="str">
        <x:v>4324</x:v>
      </x:c>
      <x:c r="C110" s="25" t="str">
        <x:v>10236</x:v>
      </x:c>
      <x:c r="D110" s="25" t="str">
        <x:v>Kiuruvesi Gabbrodiorite</x:v>
      </x:c>
      <x:c r="E110" s="25" t="str">
        <x:v>PRESENT</x:v>
      </x:c>
      <x:c r="F110" s="25" t="str">
        <x:v>IRM(MAGN,MAGH,TM)</x:v>
      </x:c>
      <x:c r="G110" s="25" t="str">
        <x:v>method</x:v>
      </x:c>
      <x:c r="H110" s="25" t="n">
        <x:v>4</x:v>
      </x:c>
      <x:c r="I110" s="25" t="str">
        <x:v>near_target</x:v>
      </x:c>
      <x:c r="J110" s="25" t="str">
        <x:v>coercivity</x:v>
      </x:c>
      <x:c r="K110" s="25" t="str">
        <x:v>/Users/lihd/discovery/paleomagnetic-r3-workflow/dist/paleomagnetic-r357-calibrated-workflow-full/data/parsed_mds/4324.txt</x:v>
      </x:c>
    </x:row>
    <x:row r="111" ht="48" customHeight="1">
      <x:c r="A111" s="25" t="str">
        <x:v>strict</x:v>
      </x:c>
      <x:c r="B111" s="25" t="str">
        <x:v>4324</x:v>
      </x:c>
      <x:c r="C111" s="25" t="str">
        <x:v>10236</x:v>
      </x:c>
      <x:c r="D111" s="25" t="str">
        <x:v>Kiuruvesi Gabbrodiorite</x:v>
      </x:c>
      <x:c r="E111" s="25" t="str">
        <x:v>PRESENT</x:v>
      </x:c>
      <x:c r="F111" s="25" t="str">
        <x:v>IRM(MAGN,MAGH,TM)</x:v>
      </x:c>
      <x:c r="G111" s="25" t="str">
        <x:v>diagnostic</x:v>
      </x:c>
      <x:c r="H111" s="25" t="n">
        <x:v>4</x:v>
      </x:c>
      <x:c r="I111" s="25" t="str">
        <x:v>target_context</x:v>
      </x:c>
      <x:c r="J111" s="25" t="str">
        <x:v>single domain</x:v>
      </x:c>
      <x:c r="K111" s="25" t="str">
        <x:v>/Users/lihd/discovery/paleomagnetic-r3-workflow/dist/paleomagnetic-r357-calibrated-workflow-full/data/parsed_mds/4324.txt</x:v>
      </x:c>
    </x:row>
    <x:row r="112" ht="48" customHeight="1">
      <x:c r="A112" s="25" t="str">
        <x:v>practical</x:v>
      </x:c>
      <x:c r="B112" s="25" t="str">
        <x:v>4324</x:v>
      </x:c>
      <x:c r="C112" s="25" t="str">
        <x:v>10236</x:v>
      </x:c>
      <x:c r="D112" s="25" t="str">
        <x:v>Kiuruvesi Gabbrodiorite</x:v>
      </x:c>
      <x:c r="E112" s="25" t="str">
        <x:v>PRESENT</x:v>
      </x:c>
      <x:c r="F112" s="25" t="str">
        <x:v>IRM,3-axis Jrs-T,HYST(MAGN,MAGH,TM)</x:v>
      </x:c>
      <x:c r="G112" s="25" t="str">
        <x:v>method</x:v>
      </x:c>
      <x:c r="H112" s="25" t="n">
        <x:v>4</x:v>
      </x:c>
      <x:c r="I112" s="25" t="str">
        <x:v>target_same_sentence</x:v>
      </x:c>
      <x:c r="J112" s="25" t="str">
        <x:v>IRM was imparted in Kiuruvesi gabbrodiorite, although the susceptibility decrease at ca .</x:v>
      </x:c>
      <x:c r="K112" s="25" t="str">
        <x:v>/Users/lihd/discovery/paleomagnetic-r3-workflow/dist/paleomagnetic-r357-calibrated-workflow-full/data/parsed_mds/4324.txt</x:v>
      </x:c>
    </x:row>
    <x:row r="113" ht="48" customHeight="1">
      <x:c r="A113" s="25" t="str">
        <x:v>practical</x:v>
      </x:c>
      <x:c r="B113" s="25" t="str">
        <x:v>4324</x:v>
      </x:c>
      <x:c r="C113" s="25" t="str">
        <x:v>10236</x:v>
      </x:c>
      <x:c r="D113" s="25" t="str">
        <x:v>Kiuruvesi Gabbrodiorite</x:v>
      </x:c>
      <x:c r="E113" s="25" t="str">
        <x:v>PRESENT</x:v>
      </x:c>
      <x:c r="F113" s="25" t="str">
        <x:v>IRM,3-axis Jrs-T,HYST(MAGN,MAGH,TM)</x:v>
      </x:c>
      <x:c r="G113" s="25" t="str">
        <x:v>method</x:v>
      </x:c>
      <x:c r="H113" s="25" t="n">
        <x:v>4</x:v>
      </x:c>
      <x:c r="I113" s="25" t="str">
        <x:v>target_same_discourse</x:v>
      </x:c>
      <x:c r="J113" s="25" t="str">
        <x:v>The Lowrie–Fuller test demonstrated significantly x -direction.</x:v>
      </x:c>
      <x:c r="K113" s="25" t="str">
        <x:v>/Users/lihd/discovery/paleomagnetic-r3-workflow/dist/paleomagnetic-r357-calibrated-workflow-full/data/parsed_mds/4324.txt</x:v>
      </x:c>
    </x:row>
    <x:row r="114" ht="48" customHeight="1">
      <x:c r="A114" s="25" t="str">
        <x:v>practical</x:v>
      </x:c>
      <x:c r="B114" s="25" t="str">
        <x:v>4324</x:v>
      </x:c>
      <x:c r="C114" s="25" t="str">
        <x:v>10236</x:v>
      </x:c>
      <x:c r="D114" s="25" t="str">
        <x:v>Kiuruvesi Gabbrodiorite</x:v>
      </x:c>
      <x:c r="E114" s="25" t="str">
        <x:v>PRESENT</x:v>
      </x:c>
      <x:c r="F114" s="25" t="str">
        <x:v>IRM,3-axis Jrs-T,HYST(MAGN,MAGH,TM)</x:v>
      </x:c>
      <x:c r="G114" s="25" t="str">
        <x:v>method</x:v>
      </x:c>
      <x:c r="H114" s="25" t="n">
        <x:v>4</x:v>
      </x:c>
      <x:c r="I114" s="25" t="str">
        <x:v>near_target</x:v>
      </x:c>
      <x:c r="J114" s="25" t="str">
        <x:v>hysteresis</x:v>
      </x:c>
      <x:c r="K114" s="25" t="str">
        <x:v>/Users/lihd/discovery/paleomagnetic-r3-workflow/dist/paleomagnetic-r357-calibrated-workflow-full/data/parsed_mds/4324.txt</x:v>
      </x:c>
    </x:row>
    <x:row r="115" ht="48" customHeight="1">
      <x:c r="A115" s="25" t="str">
        <x:v>practical</x:v>
      </x:c>
      <x:c r="B115" s="25" t="str">
        <x:v>4324</x:v>
      </x:c>
      <x:c r="C115" s="25" t="str">
        <x:v>10236</x:v>
      </x:c>
      <x:c r="D115" s="25" t="str">
        <x:v>Kiuruvesi Gabbrodiorite</x:v>
      </x:c>
      <x:c r="E115" s="25" t="str">
        <x:v>PRESENT</x:v>
      </x:c>
      <x:c r="F115" s="25" t="str">
        <x:v>IRM,3-axis Jrs-T,HYST(MAGN,MAGH,TM)</x:v>
      </x:c>
      <x:c r="G115" s="25" t="str">
        <x:v>method</x:v>
      </x:c>
      <x:c r="H115" s="25" t="n">
        <x:v>6</x:v>
      </x:c>
      <x:c r="I115" s="25" t="str">
        <x:v>near_target</x:v>
      </x:c>
      <x:c r="J115" s="25" t="str">
        <x:v>Hysteresis</x:v>
      </x:c>
      <x:c r="K115" s="25" t="str">
        <x:v>/Users/lihd/discovery/paleomagnetic-r3-workflow/dist/paleomagnetic-r357-calibrated-workflow-full/data/parsed_mds/4324.txt</x:v>
      </x:c>
    </x:row>
    <x:row r="116" ht="48" customHeight="1">
      <x:c r="A116" s="25" t="str">
        <x:v>practical</x:v>
      </x:c>
      <x:c r="B116" s="25" t="str">
        <x:v>4324</x:v>
      </x:c>
      <x:c r="C116" s="25" t="str">
        <x:v>10236</x:v>
      </x:c>
      <x:c r="D116" s="25" t="str">
        <x:v>Kiuruvesi Gabbrodiorite</x:v>
      </x:c>
      <x:c r="E116" s="25" t="str">
        <x:v>PRESENT</x:v>
      </x:c>
      <x:c r="F116" s="25" t="str">
        <x:v>IRM,3-axis Jrs-T,HYST(MAGN,MAGH,TM)</x:v>
      </x:c>
      <x:c r="G116" s="25" t="str">
        <x:v>method</x:v>
      </x:c>
      <x:c r="H116" s="25" t="n">
        <x:v>6</x:v>
      </x:c>
      <x:c r="I116" s="25" t="str">
        <x:v>near_target</x:v>
      </x:c>
      <x:c r="J116" s="25" t="str">
        <x:v>IRM</x:v>
      </x:c>
      <x:c r="K116" s="25" t="str">
        <x:v>/Users/lihd/discovery/paleomagnetic-r3-workflow/dist/paleomagnetic-r357-calibrated-workflow-full/data/parsed_mds/4324.txt</x:v>
      </x:c>
    </x:row>
    <x:row r="117" ht="48" customHeight="1">
      <x:c r="A117" s="25" t="str">
        <x:v>practical</x:v>
      </x:c>
      <x:c r="B117" s="25" t="str">
        <x:v>4324</x:v>
      </x:c>
      <x:c r="C117" s="25" t="str">
        <x:v>10236</x:v>
      </x:c>
      <x:c r="D117" s="25" t="str">
        <x:v>Kiuruvesi Gabbrodiorite</x:v>
      </x:c>
      <x:c r="E117" s="25" t="str">
        <x:v>PRESENT</x:v>
      </x:c>
      <x:c r="F117" s="25" t="str">
        <x:v>IRM,3-axis Jrs-T,HYST(MAGN,MAGH,TM)</x:v>
      </x:c>
      <x:c r="G117" s="25" t="str">
        <x:v>diagnostic</x:v>
      </x:c>
      <x:c r="H117" s="25" t="n">
        <x:v>4</x:v>
      </x:c>
      <x:c r="I117" s="25" t="str">
        <x:v>same_target_page</x:v>
      </x:c>
      <x:c r="J117" s="25" t="str">
        <x:v>MD magnetite grains</x:v>
      </x:c>
      <x:c r="K117" s="25" t="str">
        <x:v>/Users/lihd/discovery/paleomagnetic-r3-workflow/dist/paleomagnetic-r357-calibrated-workflow-full/data/parsed_mds/4324.txt</x:v>
      </x:c>
    </x:row>
    <x:row r="118" ht="48" customHeight="1">
      <x:c r="A118" s="25" t="str">
        <x:v>practical</x:v>
      </x:c>
      <x:c r="B118" s="25" t="str">
        <x:v>4324</x:v>
      </x:c>
      <x:c r="C118" s="25" t="str">
        <x:v>10236</x:v>
      </x:c>
      <x:c r="D118" s="25" t="str">
        <x:v>Kiuruvesi Gabbrodiorite</x:v>
      </x:c>
      <x:c r="E118" s="25" t="str">
        <x:v>PRESENT</x:v>
      </x:c>
      <x:c r="F118" s="25" t="str">
        <x:v>IRM,3-axis Jrs-T,HYST(MAGN,MAGH,TM)</x:v>
      </x:c>
      <x:c r="G118" s="25" t="str">
        <x:v>carrier</x:v>
      </x:c>
      <x:c r="H118" s="25" t="n">
        <x:v>4</x:v>
      </x:c>
      <x:c r="I118" s="25" t="str">
        <x:v>near_target</x:v>
      </x:c>
      <x:c r="J118" s="25" t="str">
        <x:v>magnetite</x:v>
      </x:c>
      <x:c r="K118" s="25" t="str">
        <x:v>/Users/lihd/discovery/paleomagnetic-r3-workflow/dist/paleomagnetic-r357-calibrated-workflow-full/data/parsed_mds/4324.txt</x:v>
      </x:c>
    </x:row>
    <x:row r="119" ht="48" customHeight="1">
      <x:c r="A119" s="25" t="str">
        <x:v>practical</x:v>
      </x:c>
      <x:c r="B119" s="25" t="str">
        <x:v>4324</x:v>
      </x:c>
      <x:c r="C119" s="25" t="str">
        <x:v>10236</x:v>
      </x:c>
      <x:c r="D119" s="25" t="str">
        <x:v>Kiuruvesi Gabbrodiorite</x:v>
      </x:c>
      <x:c r="E119" s="25" t="str">
        <x:v>PRESENT</x:v>
      </x:c>
      <x:c r="F119" s="25" t="str">
        <x:v>IRM,3-axis Jrs-T,HYST(MAGN,MAGH,TM)</x:v>
      </x:c>
      <x:c r="G119" s="25" t="str">
        <x:v>carrier</x:v>
      </x:c>
      <x:c r="H119" s="25" t="n">
        <x:v>5</x:v>
      </x:c>
      <x:c r="I119" s="25" t="str">
        <x:v>near_target</x:v>
      </x:c>
      <x:c r="J119" s="25" t="str">
        <x:v>magnetite</x:v>
      </x:c>
      <x:c r="K119" s="25" t="str">
        <x:v>/Users/lihd/discovery/paleomagnetic-r3-workflow/dist/paleomagnetic-r357-calibrated-workflow-full/data/parsed_mds/4324.txt</x:v>
      </x:c>
    </x:row>
    <x:row r="120" ht="48" customHeight="1">
      <x:c r="A120" s="25" t="str">
        <x:v>practical</x:v>
      </x:c>
      <x:c r="B120" s="25" t="str">
        <x:v>4324</x:v>
      </x:c>
      <x:c r="C120" s="25" t="str">
        <x:v>10237</x:v>
      </x:c>
      <x:c r="D120" s="25" t="str">
        <x:v>Ylivieska Gabbro</x:v>
      </x:c>
      <x:c r="E120" s="25" t="str">
        <x:v>PRESENT</x:v>
      </x:c>
      <x:c r="F120" s="25" t="str">
        <x:v>IRM,3-axis Jrs-T,HYST(SD/MD MAGN)</x:v>
      </x:c>
      <x:c r="G120" s="25" t="str">
        <x:v>method</x:v>
      </x:c>
      <x:c r="H120" s="25" t="n">
        <x:v>11</x:v>
      </x:c>
      <x:c r="I120" s="25" t="str">
        <x:v>target_same_discourse</x:v>
      </x:c>
      <x:c r="J120" s="25" t="str">
        <x:v>Fur ther more, the Lowrie test demonstrates that magnetite is palaeomagnetic poles of several cratons display large back-and- present in three coercivity fractions (Fig. 4 ).</x:v>
      </x:c>
      <x:c r="K120" s="25" t="str">
        <x:v>/Users/lihd/discovery/paleomagnetic-r3-workflow/dist/paleomagnetic-r357-calibrated-workflow-full/data/parsed_mds/4324.txt</x:v>
      </x:c>
    </x:row>
    <x:row r="121" ht="48" customHeight="1">
      <x:c r="A121" s="25" t="str">
        <x:v>practical</x:v>
      </x:c>
      <x:c r="B121" s="25" t="str">
        <x:v>4324</x:v>
      </x:c>
      <x:c r="C121" s="25" t="str">
        <x:v>10237</x:v>
      </x:c>
      <x:c r="D121" s="25" t="str">
        <x:v>Ylivieska Gabbro</x:v>
      </x:c>
      <x:c r="E121" s="25" t="str">
        <x:v>PRESENT</x:v>
      </x:c>
      <x:c r="F121" s="25" t="str">
        <x:v>IRM,3-axis Jrs-T,HYST(SD/MD MAGN)</x:v>
      </x:c>
      <x:c r="G121" s="25" t="str">
        <x:v>method</x:v>
      </x:c>
      <x:c r="H121" s="25" t="n">
        <x:v>11</x:v>
      </x:c>
      <x:c r="I121" s="25" t="str">
        <x:v>target_same_discourse</x:v>
      </x:c>
      <x:c r="J121" s="25" t="str">
        <x:v>Fur ther more, the Lowrie test demonstrates that magnetite is palaeomagnetic poles of several cratons display large back-and- present in three coercivity fractions (Fig. 4 ).</x:v>
      </x:c>
      <x:c r="K121" s="25" t="str">
        <x:v>/Users/lihd/discovery/paleomagnetic-r3-workflow/dist/paleomagnetic-r357-calibrated-workflow-full/data/parsed_mds/4324.txt</x:v>
      </x:c>
    </x:row>
    <x:row r="122" ht="48" customHeight="1">
      <x:c r="A122" s="25" t="str">
        <x:v>practical</x:v>
      </x:c>
      <x:c r="B122" s="25" t="str">
        <x:v>4324</x:v>
      </x:c>
      <x:c r="C122" s="25" t="str">
        <x:v>10237</x:v>
      </x:c>
      <x:c r="D122" s="25" t="str">
        <x:v>Ylivieska Gabbro</x:v>
      </x:c>
      <x:c r="E122" s="25" t="str">
        <x:v>PRESENT</x:v>
      </x:c>
      <x:c r="F122" s="25" t="str">
        <x:v>IRM,3-axis Jrs-T,HYST(SD/MD MAGN)</x:v>
      </x:c>
      <x:c r="G122" s="25" t="str">
        <x:v>method</x:v>
      </x:c>
      <x:c r="H122" s="25" t="n">
        <x:v>4</x:v>
      </x:c>
      <x:c r="I122" s="25" t="str">
        <x:v>near_target</x:v>
      </x:c>
      <x:c r="J122" s="25" t="str">
        <x:v>hysteresis</x:v>
      </x:c>
      <x:c r="K122" s="25" t="str">
        <x:v>/Users/lihd/discovery/paleomagnetic-r3-workflow/dist/paleomagnetic-r357-calibrated-workflow-full/data/parsed_mds/4324.txt</x:v>
      </x:c>
    </x:row>
    <x:row r="123" ht="48" customHeight="1">
      <x:c r="A123" s="25" t="str">
        <x:v>practical</x:v>
      </x:c>
      <x:c r="B123" s="25" t="str">
        <x:v>4324</x:v>
      </x:c>
      <x:c r="C123" s="25" t="str">
        <x:v>10237</x:v>
      </x:c>
      <x:c r="D123" s="25" t="str">
        <x:v>Ylivieska Gabbro</x:v>
      </x:c>
      <x:c r="E123" s="25" t="str">
        <x:v>PRESENT</x:v>
      </x:c>
      <x:c r="F123" s="25" t="str">
        <x:v>IRM,3-axis Jrs-T,HYST(SD/MD MAGN)</x:v>
      </x:c>
      <x:c r="G123" s="25" t="str">
        <x:v>method</x:v>
      </x:c>
      <x:c r="H123" s="25" t="n">
        <x:v>4</x:v>
      </x:c>
      <x:c r="I123" s="25" t="str">
        <x:v>near_target</x:v>
      </x:c>
      <x:c r="J123" s="25" t="str">
        <x:v>IRM</x:v>
      </x:c>
      <x:c r="K123" s="25" t="str">
        <x:v>/Users/lihd/discovery/paleomagnetic-r3-workflow/dist/paleomagnetic-r357-calibrated-workflow-full/data/parsed_mds/4324.txt</x:v>
      </x:c>
    </x:row>
    <x:row r="124" ht="48" customHeight="1">
      <x:c r="A124" s="25" t="str">
        <x:v>practical</x:v>
      </x:c>
      <x:c r="B124" s="25" t="str">
        <x:v>4324</x:v>
      </x:c>
      <x:c r="C124" s="25" t="str">
        <x:v>10237</x:v>
      </x:c>
      <x:c r="D124" s="25" t="str">
        <x:v>Ylivieska Gabbro</x:v>
      </x:c>
      <x:c r="E124" s="25" t="str">
        <x:v>PRESENT</x:v>
      </x:c>
      <x:c r="F124" s="25" t="str">
        <x:v>IRM,3-axis Jrs-T,HYST(SD/MD MAGN)</x:v>
      </x:c>
      <x:c r="G124" s="25" t="str">
        <x:v>carrier</x:v>
      </x:c>
      <x:c r="H124" s="25" t="n">
        <x:v>11</x:v>
      </x:c>
      <x:c r="I124" s="25" t="str">
        <x:v>target_same_discourse</x:v>
      </x:c>
      <x:c r="J124" s="25" t="str">
        <x:v>Fur ther more, the Lowrie test demonstrates that magnetite is palaeomagnetic poles of several cratons display large back-and- present in three coercivity fractions (Fig. 4 ).</x:v>
      </x:c>
      <x:c r="K124" s="25" t="str">
        <x:v>/Users/lihd/discovery/paleomagnetic-r3-workflow/dist/paleomagnetic-r357-calibrated-workflow-full/data/parsed_mds/4324.txt</x:v>
      </x:c>
    </x:row>
    <x:row r="125" ht="48" customHeight="1">
      <x:c r="A125" s="25" t="str">
        <x:v>practical</x:v>
      </x:c>
      <x:c r="B125" s="25" t="str">
        <x:v>4324</x:v>
      </x:c>
      <x:c r="C125" s="25" t="str">
        <x:v>10237</x:v>
      </x:c>
      <x:c r="D125" s="25" t="str">
        <x:v>Ylivieska Gabbro</x:v>
      </x:c>
      <x:c r="E125" s="25" t="str">
        <x:v>PRESENT</x:v>
      </x:c>
      <x:c r="F125" s="25" t="str">
        <x:v>IRM,3-axis Jrs-T,HYST(SD/MD MAGN)</x:v>
      </x:c>
      <x:c r="G125" s="25" t="str">
        <x:v>method</x:v>
      </x:c>
      <x:c r="H125" s="25" t="n">
        <x:v>4</x:v>
      </x:c>
      <x:c r="I125" s="25" t="str">
        <x:v>target_same_sentence</x:v>
      </x:c>
      <x:c r="J125" s="25" t="str">
        <x:v>In addition, a very narrow hystere- The magnetic mineralogy of the samples from the Ylivieska and sis loop indicates the presence of multidomain (MD) magnetite Kiur uvesi intr usions was investigated using ther momagnetic analy- (Fig. 4 ).</x:v>
      </x:c>
      <x:c r="K125" s="25" t="str">
        <x:v>/Users/lihd/discovery/paleomagnetic-r3-workflow/dist/paleomagnetic-r357-calibrated-workflow-full/data/parsed_mds/4324.txt</x:v>
      </x:c>
    </x:row>
    <x:row r="126" ht="48" customHeight="1">
      <x:c r="A126" s="25" t="str">
        <x:v>practical</x:v>
      </x:c>
      <x:c r="B126" s="25" t="str">
        <x:v>4324</x:v>
      </x:c>
      <x:c r="C126" s="25" t="str">
        <x:v>10237</x:v>
      </x:c>
      <x:c r="D126" s="25" t="str">
        <x:v>Ylivieska Gabbro</x:v>
      </x:c>
      <x:c r="E126" s="25" t="str">
        <x:v>PRESENT</x:v>
      </x:c>
      <x:c r="F126" s="25" t="str">
        <x:v>IRM,3-axis Jrs-T,HYST(SD/MD MAGN)</x:v>
      </x:c>
      <x:c r="G126" s="25" t="str">
        <x:v>method</x:v>
      </x:c>
      <x:c r="H126" s="25" t="n">
        <x:v>5</x:v>
      </x:c>
      <x:c r="I126" s="25" t="str">
        <x:v>target_same_sentence</x:v>
      </x:c>
      <x:c r="J126" s="25" t="str">
        <x:v>Most of the samples from microtonalite and 1790 Ma lamprophyre dykes the Ylivieska gabbro displayed remanence with a viscous com- Palaeomagnetic data from 13 microtonalite dykes in the Nilsi a¨ study ponent, probably carried by MD magnetite.</x:v>
      </x:c>
      <x:c r="K126" s="25" t="str">
        <x:v>/Users/lihd/discovery/paleomagnetic-r3-workflow/dist/paleomagnetic-r357-calibrated-workflow-full/data/parsed_mds/4324.txt</x:v>
      </x:c>
    </x:row>
    <x:row r="127" ht="48" customHeight="1">
      <x:c r="A127" s="25" t="str">
        <x:v>practical</x:v>
      </x:c>
      <x:c r="B127" s="25" t="str">
        <x:v>4324</x:v>
      </x:c>
      <x:c r="C127" s="25" t="str">
        <x:v>10237</x:v>
      </x:c>
      <x:c r="D127" s="25" t="str">
        <x:v>Ylivieska Gabbro</x:v>
      </x:c>
      <x:c r="E127" s="25" t="str">
        <x:v>PRESENT</x:v>
      </x:c>
      <x:c r="F127" s="25" t="str">
        <x:v>IRM,3-axis Jrs-T,HYST(SD/MD MAGN)</x:v>
      </x:c>
      <x:c r="G127" s="25" t="str">
        <x:v>method</x:v>
      </x:c>
      <x:c r="H127" s="25" t="n">
        <x:v>5</x:v>
      </x:c>
      <x:c r="I127" s="25" t="str">
        <x:v>target_same_sentence</x:v>
      </x:c>
      <x:c r="J127" s="25" t="str">
        <x:v>In ad- downward inclination ( D = 339 ◦, I = 44 ◦ with α95 = 5 ◦ and dition, their behaviour during AF demagnetization was typical for k = 106), similar to Ylivieska and Kiuruvesi gabbros (Figs 5 (titano)magnetite (Fig. 5 ).</x:v>
      </x:c>
      <x:c r="K127" s="25" t="str">
        <x:v>/Users/lihd/discovery/paleomagnetic-r3-workflow/dist/paleomagnetic-r357-calibrated-workflow-full/data/parsed_mds/4324.txt</x:v>
      </x:c>
    </x:row>
    <x:row r="128" ht="48" customHeight="1">
      <x:c r="A128" s="25" t="str">
        <x:v>practical</x:v>
      </x:c>
      <x:c r="B128" s="25" t="str">
        <x:v>4324</x:v>
      </x:c>
      <x:c r="C128" s="25" t="str">
        <x:v>10238</x:v>
      </x:c>
      <x:c r="D128" s="25" t="str">
        <x:v>Mertuanoja Gabbro</x:v>
      </x:c>
      <x:c r="E128" s="25" t="str">
        <x:v>PRESENT</x:v>
      </x:c>
      <x:c r="F128" s="25" t="str">
        <x:v>IRM,HYST(MAGN,MAGH,TM)</x:v>
      </x:c>
      <x:c r="G128" s="25" t="str">
        <x:v>method</x:v>
      </x:c>
      <x:c r="H128" s="25" t="n">
        <x:v>4</x:v>
      </x:c>
      <x:c r="I128" s="25" t="str">
        <x:v>near_target</x:v>
      </x:c>
      <x:c r="J128" s="25" t="str">
        <x:v>IRM</x:v>
      </x:c>
      <x:c r="K128" s="25" t="str">
        <x:v>/Users/lihd/discovery/paleomagnetic-r3-workflow/dist/paleomagnetic-r357-calibrated-workflow-full/data/parsed_mds/4324.txt</x:v>
      </x:c>
    </x:row>
    <x:row r="129" ht="48" customHeight="1">
      <x:c r="A129" s="25" t="str">
        <x:v>practical</x:v>
      </x:c>
      <x:c r="B129" s="25" t="str">
        <x:v>4324</x:v>
      </x:c>
      <x:c r="C129" s="25" t="str">
        <x:v>10238</x:v>
      </x:c>
      <x:c r="D129" s="25" t="str">
        <x:v>Mertuanoja Gabbro</x:v>
      </x:c>
      <x:c r="E129" s="25" t="str">
        <x:v>PRESENT</x:v>
      </x:c>
      <x:c r="F129" s="25" t="str">
        <x:v>IRM,HYST(MAGN,MAGH,TM)</x:v>
      </x:c>
      <x:c r="G129" s="25" t="str">
        <x:v>method</x:v>
      </x:c>
      <x:c r="H129" s="25" t="n">
        <x:v>5</x:v>
      </x:c>
      <x:c r="I129" s="25" t="str">
        <x:v>near_target</x:v>
      </x:c>
      <x:c r="J129" s="25" t="str">
        <x:v>hysteresis</x:v>
      </x:c>
      <x:c r="K129" s="25" t="str">
        <x:v>/Users/lihd/discovery/paleomagnetic-r3-workflow/dist/paleomagnetic-r357-calibrated-workflow-full/data/parsed_mds/4324.txt</x:v>
      </x:c>
    </x:row>
    <x:row r="130" ht="48" customHeight="1">
      <x:c r="A130" s="25" t="str">
        <x:v>practical</x:v>
      </x:c>
      <x:c r="B130" s="25" t="str">
        <x:v>4324</x:v>
      </x:c>
      <x:c r="C130" s="25" t="str">
        <x:v>10238</x:v>
      </x:c>
      <x:c r="D130" s="25" t="str">
        <x:v>Mertuanoja Gabbro</x:v>
      </x:c>
      <x:c r="E130" s="25" t="str">
        <x:v>PRESENT</x:v>
      </x:c>
      <x:c r="F130" s="25" t="str">
        <x:v>IRM,HYST(MAGN,MAGH,TM)</x:v>
      </x:c>
      <x:c r="G130" s="25" t="str">
        <x:v>method</x:v>
      </x:c>
      <x:c r="H130" s="25" t="n">
        <x:v>6</x:v>
      </x:c>
      <x:c r="I130" s="25" t="str">
        <x:v>near_target</x:v>
      </x:c>
      <x:c r="J130" s="25" t="str">
        <x:v>Hysteresis</x:v>
      </x:c>
      <x:c r="K130" s="25" t="str">
        <x:v>/Users/lihd/discovery/paleomagnetic-r3-workflow/dist/paleomagnetic-r357-calibrated-workflow-full/data/parsed_mds/4324.txt</x:v>
      </x:c>
    </x:row>
    <x:row r="131" ht="48" customHeight="1">
      <x:c r="A131" s="25" t="str">
        <x:v>practical</x:v>
      </x:c>
      <x:c r="B131" s="25" t="str">
        <x:v>4324</x:v>
      </x:c>
      <x:c r="C131" s="25" t="str">
        <x:v>10238</x:v>
      </x:c>
      <x:c r="D131" s="25" t="str">
        <x:v>Mertuanoja Gabbro</x:v>
      </x:c>
      <x:c r="E131" s="25" t="str">
        <x:v>PRESENT</x:v>
      </x:c>
      <x:c r="F131" s="25" t="str">
        <x:v>IRM,HYST(MAGN,MAGH,TM)</x:v>
      </x:c>
      <x:c r="G131" s="25" t="str">
        <x:v>diagnostic</x:v>
      </x:c>
      <x:c r="H131" s="25" t="n">
        <x:v>4</x:v>
      </x:c>
      <x:c r="I131" s="25" t="str">
        <x:v>target_context</x:v>
      </x:c>
      <x:c r="J131" s="25" t="str">
        <x:v>MD magnetite grains</x:v>
      </x:c>
      <x:c r="K131" s="25" t="str">
        <x:v>/Users/lihd/discovery/paleomagnetic-r3-workflow/dist/paleomagnetic-r357-calibrated-workflow-full/data/parsed_mds/4324.txt</x:v>
      </x:c>
    </x:row>
    <x:row r="132" ht="48" customHeight="1">
      <x:c r="A132" s="25" t="str">
        <x:v>practical</x:v>
      </x:c>
      <x:c r="B132" s="25" t="str">
        <x:v>4324</x:v>
      </x:c>
      <x:c r="C132" s="25" t="str">
        <x:v>10238</x:v>
      </x:c>
      <x:c r="D132" s="25" t="str">
        <x:v>Mertuanoja Gabbro</x:v>
      </x:c>
      <x:c r="E132" s="25" t="str">
        <x:v>PRESENT</x:v>
      </x:c>
      <x:c r="F132" s="25" t="str">
        <x:v>IRM,HYST(MAGN,MAGH,TM)</x:v>
      </x:c>
      <x:c r="G132" s="25" t="str">
        <x:v>carrier</x:v>
      </x:c>
      <x:c r="H132" s="25" t="n">
        <x:v>5</x:v>
      </x:c>
      <x:c r="I132" s="25" t="str">
        <x:v>target_same_discourse</x:v>
      </x:c>
      <x:c r="J132" s="25" t="str">
        <x:v>In ad- downward inclination ( D = 339 ◦, I = 44 ◦ with α95 = 5 ◦ and dition, their behaviour during AF demagnetization was typical for k = 106), similar to Ylivieska and Kiuruvesi gabbros (Figs 5 (titano)magnetite (Fig. 5 ).</x:v>
      </x:c>
      <x:c r="K132" s="25" t="str">
        <x:v>/Users/lihd/discovery/paleomagnetic-r3-workflow/dist/paleomagnetic-r357-calibrated-workflow-full/data/parsed_mds/4324.txt</x:v>
      </x:c>
    </x:row>
    <x:row r="133" ht="48" customHeight="1">
      <x:c r="A133" s="25" t="str">
        <x:v>practical</x:v>
      </x:c>
      <x:c r="B133" s="25" t="str">
        <x:v>4324</x:v>
      </x:c>
      <x:c r="C133" s="25" t="str">
        <x:v>10238</x:v>
      </x:c>
      <x:c r="D133" s="25" t="str">
        <x:v>Mertuanoja Gabbro</x:v>
      </x:c>
      <x:c r="E133" s="25" t="str">
        <x:v>PRESENT</x:v>
      </x:c>
      <x:c r="F133" s="25" t="str">
        <x:v>IRM,HYST(MAGN,MAGH,TM)</x:v>
      </x:c>
      <x:c r="G133" s="25" t="str">
        <x:v>carrier</x:v>
      </x:c>
      <x:c r="H133" s="25" t="n">
        <x:v>5</x:v>
      </x:c>
      <x:c r="I133" s="25" t="str">
        <x:v>near_target</x:v>
      </x:c>
      <x:c r="J133" s="25" t="str">
        <x:v>magnetite</x:v>
      </x:c>
      <x:c r="K133" s="25" t="str">
        <x:v>/Users/lihd/discovery/paleomagnetic-r3-workflow/dist/paleomagnetic-r357-calibrated-workflow-full/data/parsed_mds/4324.txt</x:v>
      </x:c>
    </x:row>
    <x:row r="134" ht="48" customHeight="1">
      <x:c r="A134" s="25" t="str">
        <x:v>practical</x:v>
      </x:c>
      <x:c r="B134" s="25" t="str">
        <x:v>4324</x:v>
      </x:c>
      <x:c r="C134" s="25" t="str">
        <x:v>10238</x:v>
      </x:c>
      <x:c r="D134" s="25" t="str">
        <x:v>Mertuanoja Gabbro</x:v>
      </x:c>
      <x:c r="E134" s="25" t="str">
        <x:v>PRESENT</x:v>
      </x:c>
      <x:c r="F134" s="25" t="str">
        <x:v>IRM,HYST(MAGN,MAGH,TM)</x:v>
      </x:c>
      <x:c r="G134" s="25" t="str">
        <x:v>carrier</x:v>
      </x:c>
      <x:c r="H134" s="25" t="n">
        <x:v>4</x:v>
      </x:c>
      <x:c r="I134" s="25" t="str">
        <x:v>same_target_page</x:v>
      </x:c>
      <x:c r="J134" s="25" t="str">
        <x:v>magnetite</x:v>
      </x:c>
      <x:c r="K134" s="25" t="str">
        <x:v>/Users/lihd/discovery/paleomagnetic-r3-workflow/dist/paleomagnetic-r357-calibrated-workflow-full/data/parsed_mds/4324.txt</x:v>
      </x:c>
    </x:row>
    <x:row r="135" ht="48" customHeight="1">
      <x:c r="A135" s="25" t="str">
        <x:v>practical</x:v>
      </x:c>
      <x:c r="B135" s="25" t="str">
        <x:v>4324</x:v>
      </x:c>
      <x:c r="C135" s="25" t="str">
        <x:v>10238</x:v>
      </x:c>
      <x:c r="D135" s="25" t="str">
        <x:v>Mertuanoja Gabbro</x:v>
      </x:c>
      <x:c r="E135" s="25" t="str">
        <x:v>PRESENT</x:v>
      </x:c>
      <x:c r="F135" s="25" t="str">
        <x:v>IRM,HYST(MAGN,MAGH,TM)</x:v>
      </x:c>
      <x:c r="G135" s="25" t="str">
        <x:v>carrier</x:v>
      </x:c>
      <x:c r="H135" s="25" t="n">
        <x:v>4</x:v>
      </x:c>
      <x:c r="I135" s="25" t="str">
        <x:v>same_target_page</x:v>
      </x:c>
      <x:c r="J135" s="25" t="str">
        <x:v>maghemite</x:v>
      </x:c>
      <x:c r="K135" s="25" t="str">
        <x:v>/Users/lihd/discovery/paleomagnetic-r3-workflow/dist/paleomagnetic-r357-calibrated-workflow-full/data/parsed_mds/4324.txt</x:v>
      </x:c>
    </x:row>
    <x:row r="136" ht="48" customHeight="1">
      <x:c r="A136" s="25" t="str">
        <x:v>practical</x:v>
      </x:c>
      <x:c r="B136" s="25" t="str">
        <x:v>4324</x:v>
      </x:c>
      <x:c r="C136" s="25" t="str">
        <x:v>10240</x:v>
      </x:c>
      <x:c r="D136" s="25" t="str">
        <x:v>Jalokoski Gabbro</x:v>
      </x:c>
      <x:c r="E136" s="25" t="str">
        <x:v>PRESENT</x:v>
      </x:c>
      <x:c r="F136" s="25" t="str">
        <x:v>HYST(MAGN,MAGH,TM)</x:v>
      </x:c>
      <x:c r="G136" s="25" t="str">
        <x:v>method</x:v>
      </x:c>
      <x:c r="H136" s="25" t="n">
        <x:v>5</x:v>
      </x:c>
      <x:c r="I136" s="25" t="str">
        <x:v>near_target</x:v>
      </x:c>
      <x:c r="J136" s="25" t="str">
        <x:v>hysteresis</x:v>
      </x:c>
      <x:c r="K136" s="25" t="str">
        <x:v>/Users/lihd/discovery/paleomagnetic-r3-workflow/dist/paleomagnetic-r357-calibrated-workflow-full/data/parsed_mds/4324.txt</x:v>
      </x:c>
    </x:row>
    <x:row r="137" ht="48" customHeight="1">
      <x:c r="A137" s="25" t="str">
        <x:v>practical</x:v>
      </x:c>
      <x:c r="B137" s="25" t="str">
        <x:v>4324</x:v>
      </x:c>
      <x:c r="C137" s="25" t="str">
        <x:v>10240</x:v>
      </x:c>
      <x:c r="D137" s="25" t="str">
        <x:v>Jalokoski Gabbro</x:v>
      </x:c>
      <x:c r="E137" s="25" t="str">
        <x:v>PRESENT</x:v>
      </x:c>
      <x:c r="F137" s="25" t="str">
        <x:v>HYST(MAGN,MAGH,TM)</x:v>
      </x:c>
      <x:c r="G137" s="25" t="str">
        <x:v>method</x:v>
      </x:c>
      <x:c r="H137" s="25" t="n">
        <x:v>4</x:v>
      </x:c>
      <x:c r="I137" s="25" t="str">
        <x:v>same_target_page</x:v>
      </x:c>
      <x:c r="J137" s="25" t="str">
        <x:v>hysteresis</x:v>
      </x:c>
      <x:c r="K137" s="25" t="str">
        <x:v>/Users/lihd/discovery/paleomagnetic-r3-workflow/dist/paleomagnetic-r357-calibrated-workflow-full/data/parsed_mds/4324.txt</x:v>
      </x:c>
    </x:row>
    <x:row r="138" ht="48" customHeight="1">
      <x:c r="A138" s="25" t="str">
        <x:v>practical</x:v>
      </x:c>
      <x:c r="B138" s="25" t="str">
        <x:v>4324</x:v>
      </x:c>
      <x:c r="C138" s="25" t="str">
        <x:v>10240</x:v>
      </x:c>
      <x:c r="D138" s="25" t="str">
        <x:v>Jalokoski Gabbro</x:v>
      </x:c>
      <x:c r="E138" s="25" t="str">
        <x:v>PRESENT</x:v>
      </x:c>
      <x:c r="F138" s="25" t="str">
        <x:v>HYST(MAGN,MAGH,TM)</x:v>
      </x:c>
      <x:c r="G138" s="25" t="str">
        <x:v>method</x:v>
      </x:c>
      <x:c r="H138" s="25" t="n">
        <x:v>4</x:v>
      </x:c>
      <x:c r="I138" s="25" t="str">
        <x:v>same_target_page</x:v>
      </x:c>
      <x:c r="J138" s="25" t="str">
        <x:v>Hysteresis</x:v>
      </x:c>
      <x:c r="K138" s="25" t="str">
        <x:v>/Users/lihd/discovery/paleomagnetic-r3-workflow/dist/paleomagnetic-r357-calibrated-workflow-full/data/parsed_mds/4324.txt</x:v>
      </x:c>
    </x:row>
    <x:row r="139" ht="48" customHeight="1">
      <x:c r="A139" s="25" t="str">
        <x:v>practical</x:v>
      </x:c>
      <x:c r="B139" s="25" t="str">
        <x:v>4324</x:v>
      </x:c>
      <x:c r="C139" s="25" t="str">
        <x:v>10240</x:v>
      </x:c>
      <x:c r="D139" s="25" t="str">
        <x:v>Jalokoski Gabbro</x:v>
      </x:c>
      <x:c r="E139" s="25" t="str">
        <x:v>PRESENT</x:v>
      </x:c>
      <x:c r="F139" s="25" t="str">
        <x:v>HYST(MAGN,MAGH,TM)</x:v>
      </x:c>
      <x:c r="G139" s="25" t="str">
        <x:v>diagnostic</x:v>
      </x:c>
      <x:c r="H139" s="25" t="n">
        <x:v>4</x:v>
      </x:c>
      <x:c r="I139" s="25" t="str">
        <x:v>same_target_page</x:v>
      </x:c>
      <x:c r="J139" s="25" t="str">
        <x:v>MD magnetite grains</x:v>
      </x:c>
      <x:c r="K139" s="25" t="str">
        <x:v>/Users/lihd/discovery/paleomagnetic-r3-workflow/dist/paleomagnetic-r357-calibrated-workflow-full/data/parsed_mds/4324.txt</x:v>
      </x:c>
    </x:row>
    <x:row r="140" ht="48" customHeight="1">
      <x:c r="A140" s="25" t="str">
        <x:v>practical</x:v>
      </x:c>
      <x:c r="B140" s="25" t="str">
        <x:v>4324</x:v>
      </x:c>
      <x:c r="C140" s="25" t="str">
        <x:v>10240</x:v>
      </x:c>
      <x:c r="D140" s="25" t="str">
        <x:v>Jalokoski Gabbro</x:v>
      </x:c>
      <x:c r="E140" s="25" t="str">
        <x:v>PRESENT</x:v>
      </x:c>
      <x:c r="F140" s="25" t="str">
        <x:v>HYST(MAGN,MAGH,TM)</x:v>
      </x:c>
      <x:c r="G140" s="25" t="str">
        <x:v>carrier</x:v>
      </x:c>
      <x:c r="H140" s="25" t="n">
        <x:v>5</x:v>
      </x:c>
      <x:c r="I140" s="25" t="str">
        <x:v>near_target</x:v>
      </x:c>
      <x:c r="J140" s="25" t="str">
        <x:v>magnetite</x:v>
      </x:c>
      <x:c r="K140" s="25" t="str">
        <x:v>/Users/lihd/discovery/paleomagnetic-r3-workflow/dist/paleomagnetic-r357-calibrated-workflow-full/data/parsed_mds/4324.txt</x:v>
      </x:c>
    </x:row>
    <x:row r="141" ht="48" customHeight="1">
      <x:c r="A141" s="25" t="str">
        <x:v>practical</x:v>
      </x:c>
      <x:c r="B141" s="25" t="str">
        <x:v>4324</x:v>
      </x:c>
      <x:c r="C141" s="25" t="str">
        <x:v>10240</x:v>
      </x:c>
      <x:c r="D141" s="25" t="str">
        <x:v>Jalokoski Gabbro</x:v>
      </x:c>
      <x:c r="E141" s="25" t="str">
        <x:v>PRESENT</x:v>
      </x:c>
      <x:c r="F141" s="25" t="str">
        <x:v>HYST(MAGN,MAGH,TM)</x:v>
      </x:c>
      <x:c r="G141" s="25" t="str">
        <x:v>carrier</x:v>
      </x:c>
      <x:c r="H141" s="25" t="n">
        <x:v>4</x:v>
      </x:c>
      <x:c r="I141" s="25" t="str">
        <x:v>same_target_page</x:v>
      </x:c>
      <x:c r="J141" s="25" t="str">
        <x:v>magnetite</x:v>
      </x:c>
      <x:c r="K141" s="25" t="str">
        <x:v>/Users/lihd/discovery/paleomagnetic-r3-workflow/dist/paleomagnetic-r357-calibrated-workflow-full/data/parsed_mds/4324.txt</x:v>
      </x:c>
    </x:row>
    <x:row r="142" ht="48" customHeight="1">
      <x:c r="A142" s="25" t="str">
        <x:v>practical</x:v>
      </x:c>
      <x:c r="B142" s="25" t="str">
        <x:v>4324</x:v>
      </x:c>
      <x:c r="C142" s="25" t="str">
        <x:v>10240</x:v>
      </x:c>
      <x:c r="D142" s="25" t="str">
        <x:v>Jalokoski Gabbro</x:v>
      </x:c>
      <x:c r="E142" s="25" t="str">
        <x:v>PRESENT</x:v>
      </x:c>
      <x:c r="F142" s="25" t="str">
        <x:v>HYST(MAGN,MAGH,TM)</x:v>
      </x:c>
      <x:c r="G142" s="25" t="str">
        <x:v>carrier</x:v>
      </x:c>
      <x:c r="H142" s="25" t="n">
        <x:v>4</x:v>
      </x:c>
      <x:c r="I142" s="25" t="str">
        <x:v>same_target_page</x:v>
      </x:c>
      <x:c r="J142" s="25" t="str">
        <x:v>maghemite</x:v>
      </x:c>
      <x:c r="K142" s="25" t="str">
        <x:v>/Users/lihd/discovery/paleomagnetic-r3-workflow/dist/paleomagnetic-r357-calibrated-workflow-full/data/parsed_mds/4324.txt</x:v>
      </x:c>
    </x:row>
    <x:row r="143" ht="48" customHeight="1">
      <x:c r="A143" s="25" t="str">
        <x:v>practical</x:v>
      </x:c>
      <x:c r="B143" s="25" t="str">
        <x:v>4324</x:v>
      </x:c>
      <x:c r="C143" s="25" t="str">
        <x:v>10240</x:v>
      </x:c>
      <x:c r="D143" s="25" t="str">
        <x:v>Jalokoski Gabbro</x:v>
      </x:c>
      <x:c r="E143" s="25" t="str">
        <x:v>PRESENT</x:v>
      </x:c>
      <x:c r="F143" s="25" t="str">
        <x:v>HYST(MAGN,MAGH,TM)</x:v>
      </x:c>
      <x:c r="G143" s="25" t="str">
        <x:v>carrier</x:v>
      </x:c>
      <x:c r="H143" s="25" t="n">
        <x:v>4</x:v>
      </x:c>
      <x:c r="I143" s="25" t="str">
        <x:v>same_target_page</x:v>
      </x:c>
      <x:c r="J143" s="25" t="str">
        <x:v>titanomagnetite</x:v>
      </x:c>
      <x:c r="K143" s="25" t="str">
        <x:v>/Users/lihd/discovery/paleomagnetic-r3-workflow/dist/paleomagnetic-r357-calibrated-workflow-full/data/parsed_mds/4324.txt</x:v>
      </x:c>
    </x:row>
  </x:sheetData>
  <x:pageMargins left="0.7" right="0.7" top="0.75" bottom="0.75" header="0.3" footer="0.3"/>
  <x:tableParts count="1">
    <x:tablePart xmlns:r="http://schemas.openxmlformats.org/officeDocument/2006/relationships" r:id="R750f0620728e45f7"/>
  </x:tableParts>
</x:worksheet>
</file>

<file path=xl/worksheets/sheet5.xml><?xml version="1.0" encoding="utf-8"?>
<x:worksheet xmlns:x="http://schemas.openxmlformats.org/spreadsheetml/2006/main">
  <x:sheetViews>
    <x:sheetView showGridLines="0" workbookViewId="0"/>
  </x:sheetViews>
  <x:sheetFormatPr defaultRowHeight="15"/>
  <x:cols>
    <x:col min="1" max="1" width="28" hidden="0" customWidth="1"/>
    <x:col min="2" max="2" width="100" hidden="0" customWidth="1"/>
  </x:cols>
  <x:sheetData>
    <x:row r="1">
      <x:c r="A1" s="27" t="str">
        <x:v>Item</x:v>
      </x:c>
      <x:c r="B1" s="27" t="str">
        <x:v>Definition</x:v>
      </x:c>
    </x:row>
    <x:row r="2" ht="42" customHeight="1">
      <x:c r="A2" s="25" t="str">
        <x:v>Objective</x:v>
      </x:c>
      <x:c r="B2" s="25" t="str">
        <x:v>Reconstruct one PMAGRESULT-style ROCKMAG code per RESULTNO/ROCKNAME from original-paper text, then derive R3 directly as 1 when a field is reconstructed.</x:v>
      </x:c>
    </x:row>
    <x:row r="3" ht="42" customHeight="1">
      <x:c r="A3" s="25" t="str">
        <x:v>Blind boundary</x:v>
      </x:c>
      <x:c r="B3" s="25" t="str">
        <x:v>Prediction code reads only identity_manifest.json and data/parsed_mds/&lt;REFNO&gt;.txt. PMAGRESULT, historical R3, prior predictions and evaluation files are forbidden.</x:v>
      </x:c>
    </x:row>
    <x:row r="4" ht="42" customHeight="1">
      <x:c r="A4" s="25" t="str">
        <x:v>Strict policy</x:v>
      </x:c>
      <x:c r="B4" s="25" t="str">
        <x:v>A performed method claim must contain the complete normalized ROCKNAME; carrier/diagnostic evidence may be added only on that same target page.</x:v>
      </x:c>
    </x:row>
    <x:row r="5" ht="42" customHeight="1">
      <x:c r="A5" s="25" t="str">
        <x:v>Practical policy</x:v>
      </x:c>
      <x:c r="B5" s="25" t="str">
        <x:v>Accepts the existing retriever's same-sentence/paragraph/table/discourse/section target binding, plus strong target-page context; method and carrier/diagnostic must be on the same or adjacent page.</x:v>
      </x:c>
    </x:row>
    <x:row r="6" ht="42" customHeight="1">
      <x:c r="A6" s="25" t="str">
        <x:v>Direct R3</x:v>
      </x:c>
      <x:c r="B6" s="25" t="str">
        <x:v>R3=1 iff prediction_status=PRESENT; ABSENT and all ABSTAIN states map to compatibility value 0.</x:v>
      </x:c>
    </x:row>
    <x:row r="7" ht="42" customHeight="1">
      <x:c r="A7" s="25" t="str">
        <x:v>Historical comparison</x:v>
      </x:c>
      <x:c r="B7" s="25" t="str">
        <x:v>Opened only after strict and practical JSONL predictions and SHA-256 receipts were frozen.</x:v>
      </x:c>
    </x:row>
    <x:row r="8" ht="42" customHeight="1">
      <x:c r="A8" s="25" t="str">
        <x:v>Identity limitation</x:v>
      </x:c>
      <x:c r="B8" s="25" t="str">
        <x:v>Rows sharing the same REFNO and normalized ROCKNAME cannot be separated without component/site/pole locators and are marked ABSTAIN_IDENTITY.</x:v>
      </x:c>
    </x:row>
    <x:row r="9" ht="42" customHeight="1">
      <x:c r="A9" s="25" t="str">
        <x:v>Gold limitation</x:v>
      </x:c>
      <x:c r="B9" s="25" t="str">
        <x:v>Historical ROCKMAG and historical R3 are related but not equivalent. Oracle ROCKMAG-presence accuracy against R3 is reported explicitly.</x:v>
      </x:c>
    </x:row>
    <x:row r="10" ht="42" customHeight="1">
      <x:c r="A10" s="25" t="str">
        <x:v>Selection limitation</x:v>
      </x:c>
      <x:c r="B10" s="25" t="str">
        <x:v>The 10 papers were deliberately selected for multi-target difficulty and historical variation; metrics are diagnostic, not independent generalization estimates.</x:v>
      </x:c>
    </x:row>
    <x:row r="11" ht="42" customHeight="1">
      <x:c r="A11" s="25" t="str">
        <x:v>Method codes</x:v>
      </x:c>
      <x:c r="B11" s="25" t="str">
        <x:v>IRM; 3-axis Jrs-T; SUSC-T; HYST; FORC; SEM/TEM; OP; Low-T; X-RAY; MICROPROBE.</x:v>
      </x:c>
    </x:row>
    <x:row r="12" ht="42" customHeight="1">
      <x:c r="A12" s="25" t="str">
        <x:v>Carrier codes</x:v>
      </x:c>
      <x:c r="B12" s="25" t="str">
        <x:v>MAGN=magnetite; TM=titanomagnetite; HEM=hematite/specularite; MAGH=maghemite; PYRR=pyrrhotite; GREIG=greigite; GOETH=goethite; ILM=ilmenite.</x:v>
      </x:c>
    </x:row>
    <x:row r="13" ht="42" customHeight="1">
      <x:c r="A13" s="25" t="str">
        <x:v>Selected REFNO</x:v>
      </x:c>
      <x:c r="B13" s="25" t="str">
        <x:v>1152, 3434, 3765, 3774, 3792, 4168, 4181, 4298, 4324, 4339</x:v>
      </x:c>
    </x:row>
    <x:row r="14" ht="42" customHeight="1">
      <x:c r="A14" s="25" t="str">
        <x:v>Strict prediction SHA-256</x:v>
      </x:c>
      <x:c r="B14" s="25" t="str">
        <x:v>09a857eeacbcc99e99d96cd902331a05db3743cd604cf8d7bb2a3b5ca6f5c485</x:v>
      </x:c>
    </x:row>
    <x:row r="15" ht="42" customHeight="1">
      <x:c r="A15" s="25" t="str">
        <x:v>Practical prediction SHA-256</x:v>
      </x:c>
      <x:c r="B15" s="25" t="str">
        <x:v>965d64135e89674ced06a3f952befd0dd79a164f5fe9d783657f1930f1c1132c</x:v>
      </x:c>
    </x:row>
  </x:sheetData>
  <x:pageMargins left="0.7" right="0.7" top="0.75" bottom="0.75" header="0.3" footer="0.3"/>
</x:worksheet>
</file>