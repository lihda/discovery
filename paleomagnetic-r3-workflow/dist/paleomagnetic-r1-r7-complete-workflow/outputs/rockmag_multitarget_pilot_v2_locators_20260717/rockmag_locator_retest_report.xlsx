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d3a87c56b74e82" /></Relationships>
</file>

<file path=xl/workbook.xml><?xml version="1.0" encoding="utf-8"?>
<x:workbook xmlns:x="http://schemas.openxmlformats.org/spreadsheetml/2006/main">
  <x:sheets>
    <x:sheet xmlns:r="http://schemas.openxmlformats.org/officeDocument/2006/relationships" name="Summary" sheetId="1" r:id="Rc9c616d5063a4bfd"/>
    <x:sheet xmlns:r="http://schemas.openxmlformats.org/officeDocument/2006/relationships" name="Review" sheetId="2" r:id="R5592452249b24240"/>
    <x:sheet xmlns:r="http://schemas.openxmlformats.org/officeDocument/2006/relationships" name="Predictions" sheetId="3" r:id="R1ba5fc456e214141"/>
    <x:sheet xmlns:r="http://schemas.openxmlformats.org/officeDocument/2006/relationships" name="Identity Conflicts" sheetId="4" r:id="R341f22e828e94a7e"/>
    <x:sheet xmlns:r="http://schemas.openxmlformats.org/officeDocument/2006/relationships" name="Evidence" sheetId="5" r:id="R05f5bd5937e749c8"/>
    <x:sheet xmlns:r="http://schemas.openxmlformats.org/officeDocument/2006/relationships" name="Protocol" sheetId="6" r:id="R29c1ccc5173f4e2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4">
    <x:font>
      <x:sz val="11"/>
      <x:name val="Carlito"/>
    </x:font>
    <x:font>
      <x:b/>
      <x:sz val="11"/>
      <x:color rgb="FFFFFFFF"/>
      <x:name val="Carlito"/>
    </x:font>
    <x:font>
      <x:b/>
      <x:sz val="11"/>
      <x:color rgb="FF1F2933"/>
      <x:name val="Carlito"/>
    </x:font>
    <x:font>
      <x:sz val="11"/>
      <x:color rgb="FF1F2933"/>
      <x:name val="Carlito"/>
    </x:font>
  </x:fonts>
  <x:fills count="4">
    <x:fill>
      <x:patternFill patternType="none"/>
    </x:fill>
    <x:fill>
      <x:patternFill patternType="gray125"/>
    </x:fill>
    <x:fill>
      <x:patternFill patternType="solid">
        <x:fgColor rgb="FF20383B"/>
      </x:patternFill>
    </x:fill>
    <x:fill>
      <x:patternFill patternType="solid">
        <x:fgColor rgb="FF2F6F73"/>
      </x:patternFill>
    </x:fill>
  </x:fills>
  <x:borders count="1">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200" fontId="0" fillId="0" borderId="0" xfId="0" applyNumberFormat="1" applyFont="1" applyFill="1" applyBorder="1"/>
    <x:xf numFmtId="201" fontId="0" fillId="0" borderId="0" xfId="0" applyNumberFormat="1" applyFont="1" applyFill="1" applyBorder="1"/>
    <x:xf numFmtId="0" fontId="2" fillId="2" borderId="0" xfId="0" applyNumberFormat="1" applyFont="1" applyFill="1" applyBorder="1"/>
    <x:xf numFmtId="0" fontId="3" fillId="0" borderId="0" xfId="0" applyNumberFormat="1" applyFont="1" applyFill="1" applyBorder="1"/>
    <x:xf numFmtId="0" fontId="2" fillId="3" borderId="0" xfId="0" applyNumberFormat="1" applyFont="1" applyFill="1" applyBorder="1"/>
    <x:xf numFmtId="201" fontId="3" fillId="0" borderId="0" xfId="0" applyNumberFormat="1" applyFont="1" applyFill="1" applyBorder="1"/>
    <x:xf numFmtId="200" fontId="3" fillId="0" borderId="0" xfId="0" applyNumberFormat="1" applyFont="1" applyFill="1" applyBorder="1"/>
    <x:xf numFmtId="0" fontId="2" fillId="2" borderId="0" xfId="0" applyNumberFormat="1" applyFont="1" applyFill="1" applyBorder="1" applyAlignment="1">
      <x:alignment vertical="top"/>
    </x:xf>
    <x:xf numFmtId="0" fontId="3" fillId="0" borderId="0" xfId="0" applyNumberFormat="1" applyFont="1" applyFill="1" applyBorder="1" applyAlignment="1">
      <x:alignment vertical="top"/>
    </x:xf>
    <x:xf numFmtId="0" fontId="2" fillId="3" borderId="0" xfId="0" applyNumberFormat="1" applyFont="1" applyFill="1" applyBorder="1" applyAlignment="1">
      <x:alignment vertical="top"/>
    </x:xf>
    <x:xf numFmtId="201" fontId="3" fillId="0" borderId="0" xfId="0" applyNumberFormat="1" applyFont="1" applyFill="1" applyBorder="1" applyAlignment="1">
      <x:alignment vertical="top"/>
    </x:xf>
    <x:xf numFmtId="200" fontId="3"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3"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200" fontId="3" fillId="0"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dxfs count="12">
    <x:dxf>
      <x:fill>
        <x:patternFill patternType="solid">
          <x:bgColor rgb="FFDCEFE2"/>
        </x:patternFill>
      </x:fill>
    </x:dxf>
    <x:dxf>
      <x:fill>
        <x:patternFill patternType="solid">
          <x:bgColor rgb="FFF7DDDA"/>
        </x:patternFill>
      </x:fill>
    </x:dxf>
    <x:dxf>
      <x:fill>
        <x:patternFill patternType="solid">
          <x:bgColor rgb="FFDCEFE2"/>
        </x:patternFill>
      </x:fill>
    </x:dxf>
    <x:dxf>
      <x:fill>
        <x:patternFill patternType="solid">
          <x:bgColor rgb="FFF7DDDA"/>
        </x:patternFill>
      </x:fill>
    </x:dxf>
    <x:dxf>
      <x:fill>
        <x:patternFill patternType="solid">
          <x:bgColor rgb="FFF6EBCB"/>
        </x:patternFill>
      </x:fill>
    </x:dxf>
    <x:dxf>
      <x:fill>
        <x:patternFill patternType="solid">
          <x:bgColor rgb="FFF6EBCB"/>
        </x:patternFill>
      </x:fill>
    </x:dxf>
    <x:dxf>
      <x:fill>
        <x:patternFill patternType="solid">
          <x:bgColor rgb="FFDCEFE2"/>
        </x:patternFill>
      </x:fill>
    </x:dxf>
    <x:dxf>
      <x:fill>
        <x:patternFill patternType="solid">
          <x:bgColor rgb="FFF7DDDA"/>
        </x:patternFill>
      </x:fill>
    </x:dxf>
    <x:dxf>
      <x:fill>
        <x:patternFill patternType="solid">
          <x:bgColor rgb="FFDCEFE2"/>
        </x:patternFill>
      </x:fill>
    </x:dxf>
    <x:dxf>
      <x:fill>
        <x:patternFill patternType="solid">
          <x:bgColor rgb="FFF7DDDA"/>
        </x:patternFill>
      </x:fill>
    </x:dxf>
    <x:dxf>
      <x:fill>
        <x:patternFill patternType="solid">
          <x:bgColor rgb="FFDCEFE2"/>
        </x:patternFill>
      </x:fill>
    </x:dxf>
    <x:dxf>
      <x:fill>
        <x:patternFill patternType="solid">
          <x:bgColor rgb="FFF7DD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8d1a94c022446e8" /><Relationship Type="http://schemas.openxmlformats.org/officeDocument/2006/relationships/theme" Target="/xl/theme/theme1.xml" Id="R0fb448dd6dbe4980" /><Relationship Type="http://schemas.openxmlformats.org/officeDocument/2006/relationships/sharedStrings" Target="/xl/sharedStrings.xml" Id="Raff6951e39af4ca5" /><Relationship Type="http://schemas.openxmlformats.org/officeDocument/2006/relationships/worksheet" Target="/xl/worksheets/sheet1.xml" Id="Rc9c616d5063a4bfd" /><Relationship Type="http://schemas.openxmlformats.org/officeDocument/2006/relationships/worksheet" Target="/xl/worksheets/sheet2.xml" Id="R5592452249b24240" /><Relationship Type="http://schemas.openxmlformats.org/officeDocument/2006/relationships/worksheet" Target="/xl/worksheets/sheet3.xml" Id="R1ba5fc456e214141" /><Relationship Type="http://schemas.openxmlformats.org/officeDocument/2006/relationships/worksheet" Target="/xl/worksheets/sheet4.xml" Id="R341f22e828e94a7e" /><Relationship Type="http://schemas.openxmlformats.org/officeDocument/2006/relationships/worksheet" Target="/xl/worksheets/sheet5.xml" Id="R05f5bd5937e749c8" /><Relationship Type="http://schemas.openxmlformats.org/officeDocument/2006/relationships/worksheet" Target="/xl/worksheets/sheet6.xml" Id="R29c1ccc5173f4e24" /></Relationships>
</file>

<file path=xl/tables/table1.xml><?xml version="1.0" encoding="utf-8"?>
<x:table xmlns:x="http://schemas.openxmlformats.org/spreadsheetml/2006/main" id="1" name="PaperRetestSummaryTable" displayName="PaperRetestSummaryTable" ref="A24:K34" headerRowCount="1" totalsRowCount="0" totalsRowShown="0">
  <x:tableColumns count="11">
    <x:tableColumn id="1" name="REFNO"/>
    <x:tableColumn id="2" name="Paper"/>
    <x:tableColumn id="3" name="Targets"/>
    <x:tableColumn id="4" name="Historical nonempty"/>
    <x:tableColumn id="5" name="Baseline present"/>
    <x:tableColumn id="6" name="Locator present"/>
    <x:tableColumn id="7" name="Baseline field acc."/>
    <x:tableColumn id="8" name="Locator field acc."/>
    <x:tableColumn id="9" name="Field delta"/>
    <x:tableColumn id="10" name="Locator R3 acc."/>
    <x:tableColumn id="11" name="Dominant v2 issue"/>
  </x:tableColumns>
  <x:tableStyleInfo name="TableStyleMedium2" showFirstColumn="0" showLastColumn="0" showRowStripes="1" showColumnStripes="0"/>
</x:table>
</file>

<file path=xl/tables/table2.xml><?xml version="1.0" encoding="utf-8"?>
<x:table xmlns:x="http://schemas.openxmlformats.org/spreadsheetml/2006/main" id="3" name="LocatorReviewTable" displayName="LocatorReviewTable" ref="A1:O63" headerRowCount="1" totalsRowCount="0" totalsRowShown="0">
  <x:tableColumns count="15">
    <x:tableColumn id="1" name="REFNO"/>
    <x:tableColumn id="2" name="RESULTNO"/>
    <x:tableColumn id="3" name="ROCKNAME"/>
    <x:tableColumn id="4" name="COMPONENT"/>
    <x:tableColumn id="5" name="BASE_STATUS"/>
    <x:tableColumn id="6" name="BASE_ROCKMAG"/>
    <x:tableColumn id="7" name="LOCATOR_STATUS"/>
    <x:tableColumn id="8" name="LOCATOR_ROCKMAG"/>
    <x:tableColumn id="9" name="HIST_ROCKMAG"/>
    <x:tableColumn id="10" name="FIELD_CHANGE"/>
    <x:tableColumn id="11" name="LOCATOR_R3"/>
    <x:tableColumn id="12" name="HIST_R3"/>
    <x:tableColumn id="13" name="R3_CHANGE"/>
    <x:tableColumn id="14" name="LOCATOR_RESOLUTION"/>
    <x:tableColumn id="15" name="LOCATOR_TYPES"/>
  </x:tableColumns>
  <x:tableStyleInfo name="TableStyleMedium2" showFirstColumn="0" showLastColumn="0" showRowStripes="1" showColumnStripes="0"/>
</x:table>
</file>

<file path=xl/tables/table3.xml><?xml version="1.0" encoding="utf-8"?>
<x:table xmlns:x="http://schemas.openxmlformats.org/spreadsheetml/2006/main" id="2" name="LocatorPredictionAuditTable" displayName="LocatorPredictionAuditTable" ref="A1:AI63" headerRowCount="1" totalsRowCount="0" totalsRowShown="0">
  <x:tableColumns count="35">
    <x:tableColumn id="1" name="REFNO"/>
    <x:tableColumn id="2" name="RESULTNO"/>
    <x:tableColumn id="3" name="ROCKUNITNO"/>
    <x:tableColumn id="4" name="ROCKNAME"/>
    <x:tableColumn id="5" name="COMPONENT"/>
    <x:tableColumn id="6" name="RLAT"/>
    <x:tableColumn id="7" name="RLONG"/>
    <x:tableColumn id="8" name="DEC"/>
    <x:tableColumn id="9" name="INC"/>
    <x:tableColumn id="10" name="PLAT"/>
    <x:tableColumn id="11" name="PLONG"/>
    <x:tableColumn id="12" name="PTYPE"/>
    <x:tableColumn id="13" name="HIST_ROCKMAG"/>
    <x:tableColumn id="14" name="HIST_R3"/>
    <x:tableColumn id="15" name="HIST_HAS_ROCKMAG"/>
    <x:tableColumn id="16" name="BASE_STATUS"/>
    <x:tableColumn id="17" name="BASE_ROCKMAG"/>
    <x:tableColumn id="18" name="BASE_R3"/>
    <x:tableColumn id="19" name="LOCATOR_STATUS"/>
    <x:tableColumn id="20" name="LOCATOR_ROCKMAG"/>
    <x:tableColumn id="21" name="LOCATOR_R3"/>
    <x:tableColumn id="22" name="LOCATOR_RESOLUTION"/>
    <x:tableColumn id="23" name="LOCATOR_MATCH_TYPES"/>
    <x:tableColumn id="24" name="BASE_FIELD_MATCH"/>
    <x:tableColumn id="25" name="LOCATOR_FIELD_MATCH"/>
    <x:tableColumn id="26" name="BASE_R3_MATCH"/>
    <x:tableColumn id="27" name="LOCATOR_R3_MATCH"/>
    <x:tableColumn id="28" name="FIELD_CHANGE"/>
    <x:tableColumn id="29" name="R3_CHANGE"/>
    <x:tableColumn id="30" name="ERROR_TYPE"/>
    <x:tableColumn id="31" name="CONFIDENCE"/>
    <x:tableColumn id="32" name="EVIDENCE_PAGES"/>
    <x:tableColumn id="33" name="EVIDENCE_QUOTE"/>
    <x:tableColumn id="34" name="SOURCE_TEXT"/>
    <x:tableColumn id="35" name="HIST_FIELD_R3_MATCH"/>
  </x:tableColumns>
  <x:tableStyleInfo name="TableStyleMedium2" showFirstColumn="0" showLastColumn="0" showRowStripes="1" showColumnStripes="0"/>
</x:table>
</file>

<file path=xl/tables/table4.xml><?xml version="1.0" encoding="utf-8"?>
<x:table xmlns:x="http://schemas.openxmlformats.org/spreadsheetml/2006/main" id="4" name="IdentityConflictResolutionTable" displayName="IdentityConflictResolutionTable" ref="A1:Q17" headerRowCount="1" totalsRowCount="0" totalsRowShown="0">
  <x:tableColumns count="17">
    <x:tableColumn id="1" name="REFNO"/>
    <x:tableColumn id="2" name="RESULTNO"/>
    <x:tableColumn id="3" name="ROCKNAME"/>
    <x:tableColumn id="4" name="COMPONENT"/>
    <x:tableColumn id="5" name="DEC"/>
    <x:tableColumn id="6" name="INC"/>
    <x:tableColumn id="7" name="PLAT"/>
    <x:tableColumn id="8" name="PLONG"/>
    <x:tableColumn id="9" name="BASE_STATUS"/>
    <x:tableColumn id="10" name="LOCATOR_STATUS"/>
    <x:tableColumn id="11" name="LOCATOR_ROCKMAG"/>
    <x:tableColumn id="12" name="HIST_ROCKMAG"/>
    <x:tableColumn id="13" name="FIELD_MATCH"/>
    <x:tableColumn id="14" name="R3_MATCH"/>
    <x:tableColumn id="15" name="LOCATOR_RESOLUTION"/>
    <x:tableColumn id="16" name="EVIDENCE_PAGES"/>
    <x:tableColumn id="17" name="EVIDENCE_QUOTE"/>
  </x:tableColumns>
  <x:tableStyleInfo name="TableStyleMedium2" showFirstColumn="0" showLastColumn="0" showRowStripes="1" showColumnStripes="0"/>
</x:table>
</file>

<file path=xl/tables/table5.xml><?xml version="1.0" encoding="utf-8"?>
<x:table xmlns:x="http://schemas.openxmlformats.org/spreadsheetml/2006/main" id="5" name="LocatorEvidenceAuditTable" displayName="LocatorEvidenceAuditTable" ref="A1:L367" headerRowCount="1" totalsRowCount="0" totalsRowShown="0">
  <x:tableColumns count="12">
    <x:tableColumn id="1" name="REFNO"/>
    <x:tableColumn id="2" name="RESULTNO"/>
    <x:tableColumn id="3" name="ROCKNAME"/>
    <x:tableColumn id="4" name="COMPONENT"/>
    <x:tableColumn id="5" name="STATUS"/>
    <x:tableColumn id="6" name="PREDICTED_ROCKMAG"/>
    <x:tableColumn id="7" name="LOCATOR_RESOLUTION"/>
    <x:tableColumn id="8" name="CATEGORY"/>
    <x:tableColumn id="9" name="PAGE"/>
    <x:tableColumn id="10" name="TARGET_BINDING"/>
    <x:tableColumn id="11" name="QUOTE"/>
    <x:tableColumn id="12" name="SOURCE_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eee045e78dc41b3" /></Relationships>
</file>

<file path=xl/worksheets/_rels/sheet2.xml.rels>&#65279;<?xml version="1.0" encoding="utf-8"?><Relationships xmlns="http://schemas.openxmlformats.org/package/2006/relationships"><Relationship Type="http://schemas.openxmlformats.org/officeDocument/2006/relationships/table" Target="/xl/tables/table2.xml" Id="Rff5fb6c9255848da" /></Relationships>
</file>

<file path=xl/worksheets/_rels/sheet3.xml.rels>&#65279;<?xml version="1.0" encoding="utf-8"?><Relationships xmlns="http://schemas.openxmlformats.org/package/2006/relationships"><Relationship Type="http://schemas.openxmlformats.org/officeDocument/2006/relationships/table" Target="/xl/tables/table3.xml" Id="R21a49ac5babb404c" /></Relationships>
</file>

<file path=xl/worksheets/_rels/sheet4.xml.rels>&#65279;<?xml version="1.0" encoding="utf-8"?><Relationships xmlns="http://schemas.openxmlformats.org/package/2006/relationships"><Relationship Type="http://schemas.openxmlformats.org/officeDocument/2006/relationships/table" Target="/xl/tables/table4.xml" Id="Rda495c49c1a0472b" /></Relationships>
</file>

<file path=xl/worksheets/_rels/sheet5.xml.rels>&#65279;<?xml version="1.0" encoding="utf-8"?><Relationships xmlns="http://schemas.openxmlformats.org/package/2006/relationships"><Relationship Type="http://schemas.openxmlformats.org/officeDocument/2006/relationships/table" Target="/xl/tables/table5.xml" Id="R4a9864e56a11449f" /></Relationships>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50" hidden="0" customWidth="1"/>
    <x:col min="3" max="3" width="18" hidden="0" customWidth="1"/>
    <x:col min="4" max="4" width="18" hidden="0" customWidth="1"/>
    <x:col min="5" max="5" width="34" hidden="0" customWidth="1"/>
    <x:col min="6" max="6" width="17" hidden="0" customWidth="1"/>
    <x:col min="7" max="7" width="17" hidden="0" customWidth="1"/>
    <x:col min="8" max="8" width="17" hidden="0" customWidth="1"/>
    <x:col min="9" max="9" width="17" hidden="0" customWidth="1"/>
    <x:col min="10" max="10" width="17" hidden="0" customWidth="1"/>
    <x:col min="11" max="11" width="40" hidden="0" customWidth="1"/>
  </x:cols>
  <x:sheetData>
    <x:row r="1">
      <x:c r="A1" s="17" t="str">
        <x:v>ROCKMAG locator-enhanced retest: same 10 multi-target papers</x:v>
      </x:c>
      <x:c r="B1" s="17"/>
      <x:c r="C1" s="17"/>
      <x:c r="D1" s="17"/>
      <x:c r="E1" s="17"/>
      <x:c r="F1" s="13"/>
      <x:c r="G1" s="13"/>
      <x:c r="H1" s="13"/>
      <x:c r="I1" s="13"/>
      <x:c r="J1" s="13"/>
      <x:c r="K1" s="13"/>
    </x:row>
    <x:row r="2">
      <x:c r="A2" s="13"/>
      <x:c r="B2" s="13"/>
      <x:c r="C2" s="13"/>
      <x:c r="D2" s="13"/>
      <x:c r="E2" s="13"/>
      <x:c r="F2" s="13"/>
      <x:c r="G2" s="13"/>
      <x:c r="H2" s="13"/>
      <x:c r="I2" s="13"/>
      <x:c r="J2" s="13"/>
      <x:c r="K2" s="13"/>
    </x:row>
    <x:row r="3">
      <x:c r="A3" s="18" t="str">
        <x:v>Design</x:v>
      </x:c>
      <x:c r="B3" s="18" t="str">
        <x:v>Value</x:v>
      </x:c>
      <x:c r="C3" s="13"/>
      <x:c r="D3" s="13"/>
      <x:c r="E3" s="13"/>
      <x:c r="F3" s="13"/>
      <x:c r="G3" s="13"/>
      <x:c r="H3" s="13"/>
      <x:c r="I3" s="13"/>
      <x:c r="J3" s="13"/>
      <x:c r="K3" s="13"/>
    </x:row>
    <x:row r="4">
      <x:c r="A4" s="19" t="str">
        <x:v>Papers</x:v>
      </x:c>
      <x:c r="B4" s="19" t="n">
        <x:v>10</x:v>
      </x:c>
      <x:c r="C4" s="13"/>
      <x:c r="D4" s="13"/>
      <x:c r="E4" s="13"/>
      <x:c r="F4" s="13"/>
      <x:c r="G4" s="13"/>
      <x:c r="H4" s="13"/>
      <x:c r="I4" s="13"/>
      <x:c r="J4" s="13"/>
      <x:c r="K4" s="13"/>
    </x:row>
    <x:row r="5">
      <x:c r="A5" s="19" t="str">
        <x:v>Targets</x:v>
      </x:c>
      <x:c r="B5" s="19" t="n">
        <x:v>62</x:v>
      </x:c>
      <x:c r="C5" s="13"/>
      <x:c r="D5" s="13"/>
      <x:c r="E5" s="13"/>
      <x:c r="F5" s="13"/>
      <x:c r="G5" s="13"/>
      <x:c r="H5" s="13"/>
      <x:c r="I5" s="13"/>
      <x:c r="J5" s="13"/>
      <x:c r="K5" s="13"/>
    </x:row>
    <x:row r="6">
      <x:c r="A6" s="19" t="str">
        <x:v>Locator fields</x:v>
      </x:c>
      <x:c r="B6" s="19" t="str">
        <x:v>RLAT/RLONG + COMPONENT + SLAT/SLONG + DEC/INC + PLAT/PLONG + PTYPE</x:v>
      </x:c>
      <x:c r="C6" s="13"/>
      <x:c r="D6" s="13"/>
      <x:c r="E6" s="13"/>
      <x:c r="F6" s="13"/>
      <x:c r="G6" s="13"/>
      <x:c r="H6" s="13"/>
      <x:c r="I6" s="13"/>
      <x:c r="J6" s="13"/>
      <x:c r="K6" s="13"/>
    </x:row>
    <x:row r="7">
      <x:c r="A7" s="19" t="str">
        <x:v>Scored prediction</x:v>
      </x:c>
      <x:c r="B7" s="19" t="str">
        <x:v>v2.2; preflight v2.0/v2.1 invalidated before gold evaluation</x:v>
      </x:c>
      <x:c r="C7" s="13"/>
      <x:c r="D7" s="13"/>
      <x:c r="E7" s="13"/>
      <x:c r="F7" s="13"/>
      <x:c r="G7" s="13"/>
      <x:c r="H7" s="13"/>
      <x:c r="I7" s="13"/>
      <x:c r="J7" s="13"/>
      <x:c r="K7" s="13"/>
    </x:row>
    <x:row r="8">
      <x:c r="A8" s="19" t="str">
        <x:v>Interpretation</x:v>
      </x:c>
      <x:c r="B8" s="19" t="str">
        <x:v>Source-isolated retest on the same difficult set; not an independent blind validation</x:v>
      </x:c>
      <x:c r="C8" s="13"/>
      <x:c r="D8" s="13"/>
      <x:c r="E8" s="13"/>
      <x:c r="F8" s="13"/>
      <x:c r="G8" s="13"/>
      <x:c r="H8" s="13"/>
      <x:c r="I8" s="13"/>
      <x:c r="J8" s="13"/>
      <x:c r="K8" s="13"/>
    </x:row>
    <x:row r="9">
      <x:c r="A9" s="13"/>
      <x:c r="B9" s="13"/>
      <x:c r="C9" s="13"/>
      <x:c r="D9" s="13"/>
      <x:c r="E9" s="13"/>
      <x:c r="F9" s="13"/>
      <x:c r="G9" s="13"/>
      <x:c r="H9" s="13"/>
      <x:c r="I9" s="13"/>
      <x:c r="J9" s="13"/>
      <x:c r="K9" s="13"/>
    </x:row>
    <x:row r="10">
      <x:c r="A10" s="14" t="str">
        <x:v>Metric</x:v>
      </x:c>
      <x:c r="B10" s="14" t="str">
        <x:v>Baseline practical</x:v>
      </x:c>
      <x:c r="C10" s="14" t="str">
        <x:v>Locator v2.2</x:v>
      </x:c>
      <x:c r="D10" s="14" t="str">
        <x:v>Delta</x:v>
      </x:c>
      <x:c r="E10" s="14" t="str">
        <x:v>Oracle historical ROCKMAG-&gt;R3</x:v>
      </x:c>
      <x:c r="F10" s="13"/>
      <x:c r="G10" s="13"/>
      <x:c r="H10" s="13"/>
      <x:c r="I10" s="13"/>
      <x:c r="J10" s="13"/>
      <x:c r="K10" s="13"/>
    </x:row>
    <x:row r="11">
      <x:c r="A11" s="13" t="str">
        <x:v>Predicted ROCKMAG fields</x:v>
      </x:c>
      <x:c r="B11" s="15" t="n">
        <x:f>COUNTIF('Predictions'!$P$2:$P$63,"PRESENT")</x:f>
        <x:v>12</x:v>
      </x:c>
      <x:c r="C11" s="15" t="n">
        <x:f>COUNTIF('Predictions'!$S$2:$S$63,"PRESENT")</x:f>
        <x:v>21</x:v>
      </x:c>
      <x:c r="D11" s="15" t="n">
        <x:f>C11-B11</x:f>
        <x:v>9</x:v>
      </x:c>
      <x:c r="E11" s="13"/>
      <x:c r="F11" s="13"/>
      <x:c r="G11" s="13"/>
      <x:c r="H11" s="13"/>
      <x:c r="I11" s="13"/>
      <x:c r="J11" s="13"/>
      <x:c r="K11" s="13"/>
    </x:row>
    <x:row r="12">
      <x:c r="A12" s="13" t="str">
        <x:v>Decision coverage</x:v>
      </x:c>
      <x:c r="B12" s="16" t="n">
        <x:f>(COUNTIF('Predictions'!$P$2:$P$63,"PRESENT")+COUNTIF('Predictions'!$P$2:$P$63,"ABSENT"))/62</x:f>
        <x:v>0.20967741935483872</x:v>
      </x:c>
      <x:c r="C12" s="16" t="n">
        <x:f>(COUNTIF('Predictions'!$S$2:$S$63,"PRESENT")+COUNTIF('Predictions'!$S$2:$S$63,"ABSENT"))/62</x:f>
        <x:v>0.3548387096774194</x:v>
      </x:c>
      <x:c r="D12" s="16" t="n">
        <x:f>C12-B12</x:f>
        <x:v>0.14516129032258066</x:v>
      </x:c>
      <x:c r="E12" s="16"/>
      <x:c r="F12" s="13"/>
      <x:c r="G12" s="13"/>
      <x:c r="H12" s="13"/>
      <x:c r="I12" s="13"/>
      <x:c r="J12" s="13"/>
      <x:c r="K12" s="13"/>
    </x:row>
    <x:row r="13">
      <x:c r="A13" s="13" t="str">
        <x:v>Field-presence accuracy</x:v>
      </x:c>
      <x:c r="B13" s="16" t="n">
        <x:f>AVERAGE('Predictions'!$X$2:$X$63)</x:f>
        <x:v>0.5806451612903226</x:v>
      </x:c>
      <x:c r="C13" s="16" t="n">
        <x:f>AVERAGE('Predictions'!$Y$2:$Y$63)</x:f>
        <x:v>0.6935483870967742</x:v>
      </x:c>
      <x:c r="D13" s="16" t="n">
        <x:f>C13-B13</x:f>
        <x:v>0.11290322580645162</x:v>
      </x:c>
      <x:c r="E13" s="16"/>
      <x:c r="F13" s="13"/>
      <x:c r="G13" s="13"/>
      <x:c r="H13" s="13"/>
      <x:c r="I13" s="13"/>
      <x:c r="J13" s="13"/>
      <x:c r="K13" s="13"/>
    </x:row>
    <x:row r="14">
      <x:c r="A14" s="13" t="str">
        <x:v>Field-presence precision</x:v>
      </x:c>
      <x:c r="B14" s="16" t="n">
        <x:f>IFERROR(COUNTIFS('Predictions'!$O$2:$O$63,1,'Predictions'!$P$2:$P$63,"PRESENT")/COUNTIF('Predictions'!$P$2:$P$63,"PRESENT"),0)</x:f>
        <x:v>0.6666666666666666</x:v>
      </x:c>
      <x:c r="C14" s="16" t="n">
        <x:f>IFERROR(COUNTIFS('Predictions'!$O$2:$O$63,1,'Predictions'!$S$2:$S$63,"PRESENT")/COUNTIF('Predictions'!$S$2:$S$63,"PRESENT"),0)</x:f>
        <x:v>0.7619047619047619</x:v>
      </x:c>
      <x:c r="D14" s="16" t="n">
        <x:f>C14-B14</x:f>
        <x:v>0.09523809523809523</x:v>
      </x:c>
      <x:c r="E14" s="16"/>
      <x:c r="F14" s="13"/>
      <x:c r="G14" s="13"/>
      <x:c r="H14" s="13"/>
      <x:c r="I14" s="13"/>
      <x:c r="J14" s="13"/>
      <x:c r="K14" s="13"/>
    </x:row>
    <x:row r="15">
      <x:c r="A15" s="13" t="str">
        <x:v>Field-presence recall</x:v>
      </x:c>
      <x:c r="B15" s="16" t="n">
        <x:f>IFERROR(COUNTIFS('Predictions'!$O$2:$O$63,1,'Predictions'!$P$2:$P$63,"PRESENT")/COUNTIF('Predictions'!$O$2:$O$63,1),0)</x:f>
        <x:v>0.26666666666666666</x:v>
      </x:c>
      <x:c r="C15" s="16" t="n">
        <x:f>IFERROR(COUNTIFS('Predictions'!$O$2:$O$63,1,'Predictions'!$S$2:$S$63,"PRESENT")/COUNTIF('Predictions'!$O$2:$O$63,1),0)</x:f>
        <x:v>0.5333333333333333</x:v>
      </x:c>
      <x:c r="D15" s="16" t="n">
        <x:f>C15-B15</x:f>
        <x:v>0.26666666666666666</x:v>
      </x:c>
      <x:c r="E15" s="16"/>
      <x:c r="F15" s="13"/>
      <x:c r="G15" s="13"/>
      <x:c r="H15" s="13"/>
      <x:c r="I15" s="13"/>
      <x:c r="J15" s="13"/>
      <x:c r="K15" s="13"/>
    </x:row>
    <x:row r="16">
      <x:c r="A16" s="13" t="str">
        <x:v>Field-presence F1</x:v>
      </x:c>
      <x:c r="B16" s="16" t="n">
        <x:f>IFERROR(2*B14*B15/(B14+B15),0)</x:f>
        <x:v>0.3809523809523809</x:v>
      </x:c>
      <x:c r="C16" s="16" t="n">
        <x:f>IFERROR(2*C14*C15/(C14+C15),0)</x:f>
        <x:v>0.6274509803921569</x:v>
      </x:c>
      <x:c r="D16" s="16" t="n">
        <x:f>C16-B16</x:f>
        <x:v>0.24649859943977598</x:v>
      </x:c>
      <x:c r="E16" s="16"/>
      <x:c r="F16" s="13"/>
      <x:c r="G16" s="13"/>
      <x:c r="H16" s="13"/>
      <x:c r="I16" s="13"/>
      <x:c r="J16" s="13"/>
      <x:c r="K16" s="13"/>
    </x:row>
    <x:row r="17">
      <x:c r="A17" s="13" t="str">
        <x:v>Direct R3 accuracy</x:v>
      </x:c>
      <x:c r="B17" s="16" t="n">
        <x:f>AVERAGE('Predictions'!$Z$2:$Z$63)</x:f>
        <x:v>0.6290322580645161</x:v>
      </x:c>
      <x:c r="C17" s="16" t="n">
        <x:f>AVERAGE('Predictions'!$AA$2:$AA$63)</x:f>
        <x:v>0.7419354838709677</x:v>
      </x:c>
      <x:c r="D17" s="16" t="n">
        <x:f>C17-B17</x:f>
        <x:v>0.11290322580645162</x:v>
      </x:c>
      <x:c r="E17" s="16" t="n">
        <x:f>AVERAGE('Predictions'!$AI$2:$AI$63)</x:f>
        <x:v>0.9193548387096774</x:v>
      </x:c>
      <x:c r="F17" s="13"/>
      <x:c r="G17" s="13"/>
      <x:c r="H17" s="13"/>
      <x:c r="I17" s="13"/>
      <x:c r="J17" s="13"/>
      <x:c r="K17" s="13"/>
    </x:row>
    <x:row r="18">
      <x:c r="A18" s="13" t="str">
        <x:v>Direct R3 precision</x:v>
      </x:c>
      <x:c r="B18" s="16" t="n">
        <x:f>IFERROR(COUNTIFS('Predictions'!$N$2:$N$63,1,'Predictions'!$R$2:$R$63,1)/COUNTIF('Predictions'!$R$2:$R$63,1),0)</x:f>
        <x:v>0.75</x:v>
      </x:c>
      <x:c r="C18" s="16" t="n">
        <x:f>IFERROR(COUNTIFS('Predictions'!$N$2:$N$63,1,'Predictions'!$U$2:$U$63,1)/COUNTIF('Predictions'!$U$2:$U$63,1),0)</x:f>
        <x:v>0.8095238095238095</x:v>
      </x:c>
      <x:c r="D18" s="16" t="n">
        <x:f>C18-B18</x:f>
        <x:v>0.059523809523809534</x:v>
      </x:c>
      <x:c r="E18" s="16" t="n">
        <x:f>IFERROR(COUNTIFS('Predictions'!$N$2:$N$63,1,'Predictions'!$O$2:$O$63,1)/COUNTIF('Predictions'!$O$2:$O$63,1),0)</x:f>
        <x:v>0.9</x:v>
      </x:c>
      <x:c r="F18" s="13"/>
      <x:c r="G18" s="13"/>
      <x:c r="H18" s="13"/>
      <x:c r="I18" s="13"/>
      <x:c r="J18" s="13"/>
      <x:c r="K18" s="13"/>
    </x:row>
    <x:row r="19">
      <x:c r="A19" s="13" t="str">
        <x:v>Direct R3 recall</x:v>
      </x:c>
      <x:c r="B19" s="16" t="n">
        <x:f>IFERROR(COUNTIFS('Predictions'!$N$2:$N$63,1,'Predictions'!$R$2:$R$63,1)/COUNTIF('Predictions'!$N$2:$N$63,1),0)</x:f>
        <x:v>0.3103448275862069</x:v>
      </x:c>
      <x:c r="C19" s="16" t="n">
        <x:f>IFERROR(COUNTIFS('Predictions'!$N$2:$N$63,1,'Predictions'!$U$2:$U$63,1)/COUNTIF('Predictions'!$N$2:$N$63,1),0)</x:f>
        <x:v>0.5862068965517241</x:v>
      </x:c>
      <x:c r="D19" s="16" t="n">
        <x:f>C19-B19</x:f>
        <x:v>0.2758620689655172</x:v>
      </x:c>
      <x:c r="E19" s="16" t="n">
        <x:f>IFERROR(COUNTIFS('Predictions'!$N$2:$N$63,1,'Predictions'!$O$2:$O$63,1)/COUNTIF('Predictions'!$N$2:$N$63,1),0)</x:f>
        <x:v>0.9310344827586207</x:v>
      </x:c>
      <x:c r="F19" s="13"/>
      <x:c r="G19" s="13"/>
      <x:c r="H19" s="13"/>
      <x:c r="I19" s="13"/>
      <x:c r="J19" s="13"/>
      <x:c r="K19" s="13"/>
    </x:row>
    <x:row r="20">
      <x:c r="A20" s="13" t="str">
        <x:v>Direct R3 F1</x:v>
      </x:c>
      <x:c r="B20" s="16" t="n">
        <x:f>IFERROR(2*B18*B19/(B18+B19),0)</x:f>
        <x:v>0.4390243902439025</x:v>
      </x:c>
      <x:c r="C20" s="16" t="n">
        <x:f>IFERROR(2*C18*C19/(C18+C19),0)</x:f>
        <x:v>0.68</x:v>
      </x:c>
      <x:c r="D20" s="16" t="n">
        <x:f>C20-B20</x:f>
        <x:v>0.24097560975609755</x:v>
      </x:c>
      <x:c r="E20" s="16" t="n">
        <x:f>IFERROR(2*E18*E19/(E18+E19),0)</x:f>
        <x:v>0.9152542372881356</x:v>
      </x:c>
      <x:c r="F20" s="13"/>
      <x:c r="G20" s="13"/>
      <x:c r="H20" s="13"/>
      <x:c r="I20" s="13"/>
      <x:c r="J20" s="13"/>
      <x:c r="K20" s="13"/>
    </x:row>
    <x:row r="21">
      <x:c r="A21" s="13" t="str">
        <x:v>ABSTAIN_IDENTITY rows</x:v>
      </x:c>
      <x:c r="B21" s="15" t="n">
        <x:f>COUNTIF('Predictions'!$P$2:$P$63,"ABSTAIN_IDENTITY")</x:f>
        <x:v>16</x:v>
      </x:c>
      <x:c r="C21" s="15" t="n">
        <x:f>COUNTIF('Predictions'!$S$2:$S$63,"ABSTAIN_IDENTITY")</x:f>
        <x:v>0</x:v>
      </x:c>
      <x:c r="D21" s="15" t="n">
        <x:f>C21-B21</x:f>
        <x:v>-16</x:v>
      </x:c>
      <x:c r="E21" s="13"/>
      <x:c r="F21" s="13"/>
      <x:c r="G21" s="13"/>
      <x:c r="H21" s="13"/>
      <x:c r="I21" s="13"/>
      <x:c r="J21" s="13"/>
      <x:c r="K21" s="13"/>
    </x:row>
    <x:row r="22">
      <x:c r="A22" s="13" t="str">
        <x:v>All ABSTAIN rows</x:v>
      </x:c>
      <x:c r="B22" s="15" t="n">
        <x:f>COUNTIF('Predictions'!$P$2:$P$63,"ABSTAIN_ANCHOR")+COUNTIF('Predictions'!$P$2:$P$63,"ABSTAIN_IDENTITY")+COUNTIF('Predictions'!$P$2:$P$63,"ABSTAIN_INSUFFICIENT")</x:f>
        <x:v>49</x:v>
      </x:c>
      <x:c r="C22" s="15" t="n">
        <x:f>COUNTIF('Predictions'!$S$2:$S$63,"ABSTAIN_ANCHOR")+COUNTIF('Predictions'!$S$2:$S$63,"ABSTAIN_IDENTITY")+COUNTIF('Predictions'!$S$2:$S$63,"ABSTAIN_INSUFFICIENT")</x:f>
        <x:v>40</x:v>
      </x:c>
      <x:c r="D22" s="15" t="n">
        <x:f>C22-B22</x:f>
        <x:v>-9</x:v>
      </x:c>
      <x:c r="E22" s="13"/>
      <x:c r="F22" s="13"/>
      <x:c r="G22" s="13"/>
      <x:c r="H22" s="13"/>
      <x:c r="I22" s="13"/>
      <x:c r="J22" s="13"/>
      <x:c r="K22" s="13"/>
    </x:row>
    <x:row r="23">
      <x:c r="A23" s="13"/>
      <x:c r="B23" s="13"/>
      <x:c r="C23" s="13"/>
      <x:c r="D23" s="13"/>
      <x:c r="E23" s="13"/>
      <x:c r="F23" s="13"/>
      <x:c r="G23" s="13"/>
      <x:c r="H23" s="13"/>
      <x:c r="I23" s="13"/>
      <x:c r="J23" s="13"/>
      <x:c r="K23" s="13"/>
    </x:row>
    <x:row r="24">
      <x:c r="A24" s="18" t="str">
        <x:v>REFNO</x:v>
      </x:c>
      <x:c r="B24" s="18" t="str">
        <x:v>Paper</x:v>
      </x:c>
      <x:c r="C24" s="18" t="str">
        <x:v>Targets</x:v>
      </x:c>
      <x:c r="D24" s="18" t="str">
        <x:v>Historical nonempty</x:v>
      </x:c>
      <x:c r="E24" s="18" t="str">
        <x:v>Baseline present</x:v>
      </x:c>
      <x:c r="F24" s="18" t="str">
        <x:v>Locator present</x:v>
      </x:c>
      <x:c r="G24" s="18" t="str">
        <x:v>Baseline field acc.</x:v>
      </x:c>
      <x:c r="H24" s="18" t="str">
        <x:v>Locator field acc.</x:v>
      </x:c>
      <x:c r="I24" s="18" t="str">
        <x:v>Field delta</x:v>
      </x:c>
      <x:c r="J24" s="18" t="str">
        <x:v>Locator R3 acc.</x:v>
      </x:c>
      <x:c r="K24" s="18" t="str">
        <x:v>Dominant v2 issue</x:v>
      </x:c>
    </x:row>
    <x:row r="25" ht="36" customHeight="1">
      <x:c r="A25" s="19" t="str">
        <x:v>1152</x:v>
      </x:c>
      <x:c r="B25" s="19" t="str">
        <x:v>Duff (1979), Armorican redbeds, Erquy Spilite and Tregastel granite</x:v>
      </x:c>
      <x:c r="C25" s="19" t="n">
        <x:v>4</x:v>
      </x:c>
      <x:c r="D25" s="19" t="n">
        <x:v>2</x:v>
      </x:c>
      <x:c r="E25" s="19" t="n">
        <x:v>0</x:v>
      </x:c>
      <x:c r="F25" s="19" t="n">
        <x:v>2</x:v>
      </x:c>
      <x:c r="G25" s="20" t="n">
        <x:v>0.5</x:v>
      </x:c>
      <x:c r="H25" s="20" t="n">
        <x:v>1</x:v>
      </x:c>
      <x:c r="I25" s="20" t="n">
        <x:v>0.5</x:v>
      </x:c>
      <x:c r="J25" s="20" t="n">
        <x:v>0.75</x:v>
      </x:c>
      <x:c r="K25" s="19" t="str">
        <x:v>SEMANTIC_MATCH</x:v>
      </x:c>
    </x:row>
    <x:row r="26" ht="36" customHeight="1">
      <x:c r="A26" s="19" t="str">
        <x:v>3434</x:v>
      </x:c>
      <x:c r="B26" s="19" t="str">
        <x:v>Idnurm (2000), northern Australia APWP</x:v>
      </x:c>
      <x:c r="C26" s="19" t="n">
        <x:v>22</x:v>
      </x:c>
      <x:c r="D26" s="19" t="n">
        <x:v>1</x:v>
      </x:c>
      <x:c r="E26" s="19" t="n">
        <x:v>4</x:v>
      </x:c>
      <x:c r="F26" s="19" t="n">
        <x:v>4</x:v>
      </x:c>
      <x:c r="G26" s="20" t="n">
        <x:v>0.8636363636363636</x:v>
      </x:c>
      <x:c r="H26" s="20" t="n">
        <x:v>0.8636363636363636</x:v>
      </x:c>
      <x:c r="I26" s="20" t="n">
        <x:v>0</x:v>
      </x:c>
      <x:c r="J26" s="20" t="n">
        <x:v>0.8636363636363636</x:v>
      </x:c>
      <x:c r="K26" s="19" t="str">
        <x:v>TRUE_BLANK</x:v>
      </x:c>
    </x:row>
    <x:row r="27" ht="36" customHeight="1">
      <x:c r="A27" s="19" t="str">
        <x:v>3765</x:v>
      </x:c>
      <x:c r="B27" s="19" t="str">
        <x:v>Strik et al. (2007), Pongola and Ventersdorp Supergroups</x:v>
      </x:c>
      <x:c r="C27" s="19" t="n">
        <x:v>2</x:v>
      </x:c>
      <x:c r="D27" s="19" t="n">
        <x:v>1</x:v>
      </x:c>
      <x:c r="E27" s="19" t="n">
        <x:v>0</x:v>
      </x:c>
      <x:c r="F27" s="19" t="n">
        <x:v>0</x:v>
      </x:c>
      <x:c r="G27" s="20" t="n">
        <x:v>0.5</x:v>
      </x:c>
      <x:c r="H27" s="20" t="n">
        <x:v>0.5</x:v>
      </x:c>
      <x:c r="I27" s="20" t="n">
        <x:v>0</x:v>
      </x:c>
      <x:c r="J27" s="20" t="n">
        <x:v>0.5</x:v>
      </x:c>
      <x:c r="K27" s="19" t="str">
        <x:v>TARGET_ANCHOR_OR_OCR</x:v>
      </x:c>
    </x:row>
    <x:row r="28" ht="36" customHeight="1">
      <x:c r="A28" s="19" t="str">
        <x:v>3774</x:v>
      </x:c>
      <x:c r="B28" s="19" t="str">
        <x:v>Muxworthy et al. (2013), Modipe Gabbro paleointensity</x:v>
      </x:c>
      <x:c r="C28" s="19" t="n">
        <x:v>2</x:v>
      </x:c>
      <x:c r="D28" s="19" t="n">
        <x:v>1</x:v>
      </x:c>
      <x:c r="E28" s="19" t="n">
        <x:v>0</x:v>
      </x:c>
      <x:c r="F28" s="19" t="n">
        <x:v>2</x:v>
      </x:c>
      <x:c r="G28" s="20" t="n">
        <x:v>0.5</x:v>
      </x:c>
      <x:c r="H28" s="20" t="n">
        <x:v>0.5</x:v>
      </x:c>
      <x:c r="I28" s="20" t="n">
        <x:v>0</x:v>
      </x:c>
      <x:c r="J28" s="20" t="n">
        <x:v>0.5</x:v>
      </x:c>
      <x:c r="K28" s="19" t="str">
        <x:v>PREDICTED_FIELD_OR_GOLD_OMISSION</x:v>
      </x:c>
    </x:row>
    <x:row r="29" ht="36" customHeight="1">
      <x:c r="A29" s="19" t="str">
        <x:v>3792</x:v>
      </x:c>
      <x:c r="B29" s="19" t="str">
        <x:v>Elming et al. (2014), southern Sweden mafic dykes</x:v>
      </x:c>
      <x:c r="C29" s="19" t="n">
        <x:v>6</x:v>
      </x:c>
      <x:c r="D29" s="19" t="n">
        <x:v>4</x:v>
      </x:c>
      <x:c r="E29" s="19" t="n">
        <x:v>0</x:v>
      </x:c>
      <x:c r="F29" s="19" t="n">
        <x:v>0</x:v>
      </x:c>
      <x:c r="G29" s="20" t="n">
        <x:v>0.3333333333333333</x:v>
      </x:c>
      <x:c r="H29" s="20" t="n">
        <x:v>0.3333333333333333</x:v>
      </x:c>
      <x:c r="I29" s="20" t="n">
        <x:v>0</x:v>
      </x:c>
      <x:c r="J29" s="20" t="n">
        <x:v>0.3333333333333333</x:v>
      </x:c>
      <x:c r="K29" s="19" t="str">
        <x:v>TARGET_ANCHOR_OR_OCR</x:v>
      </x:c>
    </x:row>
    <x:row r="30" ht="36" customHeight="1">
      <x:c r="A30" s="19" t="str">
        <x:v>4168</x:v>
      </x:c>
      <x:c r="B30" s="19" t="str">
        <x:v>Salminen et al. (2021), Fennoscandian rapakivi complexes</x:v>
      </x:c>
      <x:c r="C30" s="19" t="n">
        <x:v>8</x:v>
      </x:c>
      <x:c r="D30" s="19" t="n">
        <x:v>8</x:v>
      </x:c>
      <x:c r="E30" s="19" t="n">
        <x:v>3</x:v>
      </x:c>
      <x:c r="F30" s="19" t="n">
        <x:v>3</x:v>
      </x:c>
      <x:c r="G30" s="20" t="n">
        <x:v>0.375</x:v>
      </x:c>
      <x:c r="H30" s="20" t="n">
        <x:v>0.375</x:v>
      </x:c>
      <x:c r="I30" s="20" t="n">
        <x:v>0</x:v>
      </x:c>
      <x:c r="J30" s="20" t="n">
        <x:v>0.5</x:v>
      </x:c>
      <x:c r="K30" s="19" t="str">
        <x:v>EVIDENCE_CHAIN_INCOMPLETE</x:v>
      </x:c>
    </x:row>
    <x:row r="31" ht="36" customHeight="1">
      <x:c r="A31" s="19" t="str">
        <x:v>4181</x:v>
      </x:c>
      <x:c r="B31" s="19" t="str">
        <x:v>Wen et al. (2020), Avalonia paleogeography</x:v>
      </x:c>
      <x:c r="C31" s="19" t="n">
        <x:v>2</x:v>
      </x:c>
      <x:c r="D31" s="19" t="n">
        <x:v>1</x:v>
      </x:c>
      <x:c r="E31" s="19" t="n">
        <x:v>0</x:v>
      </x:c>
      <x:c r="F31" s="19" t="n">
        <x:v>0</x:v>
      </x:c>
      <x:c r="G31" s="20" t="n">
        <x:v>0.5</x:v>
      </x:c>
      <x:c r="H31" s="20" t="n">
        <x:v>0.5</x:v>
      </x:c>
      <x:c r="I31" s="20" t="n">
        <x:v>0</x:v>
      </x:c>
      <x:c r="J31" s="20" t="n">
        <x:v>0.5</x:v>
      </x:c>
      <x:c r="K31" s="19" t="str">
        <x:v>EVIDENCE_CHAIN_INCOMPLETE</x:v>
      </x:c>
    </x:row>
    <x:row r="32" ht="36" customHeight="1">
      <x:c r="A32" s="19" t="str">
        <x:v>4298</x:v>
      </x:c>
      <x:c r="B32" s="19" t="str">
        <x:v>Iosifidi et al. (2018), Carboniferous Moscow Syneclise</x:v>
      </x:c>
      <x:c r="C32" s="19" t="n">
        <x:v>6</x:v>
      </x:c>
      <x:c r="D32" s="19" t="n">
        <x:v>6</x:v>
      </x:c>
      <x:c r="E32" s="19" t="n">
        <x:v>1</x:v>
      </x:c>
      <x:c r="F32" s="19" t="n">
        <x:v>6</x:v>
      </x:c>
      <x:c r="G32" s="20" t="n">
        <x:v>0.16666666666666666</x:v>
      </x:c>
      <x:c r="H32" s="20" t="n">
        <x:v>1</x:v>
      </x:c>
      <x:c r="I32" s="20" t="n">
        <x:v>0.8333333333333334</x:v>
      </x:c>
      <x:c r="J32" s="20" t="n">
        <x:v>1</x:v>
      </x:c>
      <x:c r="K32" s="19" t="str">
        <x:v>SEMANTIC_MATCH</x:v>
      </x:c>
    </x:row>
    <x:row r="33" ht="36" customHeight="1">
      <x:c r="A33" s="19" t="str">
        <x:v>4324</x:v>
      </x:c>
      <x:c r="B33" s="19" t="str">
        <x:v>Luoto et al. (2023), Svecofennian intrusions</x:v>
      </x:c>
      <x:c r="C33" s="19" t="n">
        <x:v>7</x:v>
      </x:c>
      <x:c r="D33" s="19" t="n">
        <x:v>4</x:v>
      </x:c>
      <x:c r="E33" s="19" t="n">
        <x:v>4</x:v>
      </x:c>
      <x:c r="F33" s="19" t="n">
        <x:v>4</x:v>
      </x:c>
      <x:c r="G33" s="20" t="n">
        <x:v>0.7142857142857143</x:v>
      </x:c>
      <x:c r="H33" s="20" t="n">
        <x:v>0.7142857142857143</x:v>
      </x:c>
      <x:c r="I33" s="20" t="n">
        <x:v>0</x:v>
      </x:c>
      <x:c r="J33" s="20" t="n">
        <x:v>0.8571428571428571</x:v>
      </x:c>
      <x:c r="K33" s="19" t="str">
        <x:v>SEMANTIC_MATCH</x:v>
      </x:c>
    </x:row>
    <x:row r="34" ht="36" customHeight="1">
      <x:c r="A34" s="19" t="str">
        <x:v>4339</x:v>
      </x:c>
      <x:c r="B34" s="19" t="str">
        <x:v>Ernesto et al., CAMP activity in northeastern Brazil</x:v>
      </x:c>
      <x:c r="C34" s="19" t="n">
        <x:v>3</x:v>
      </x:c>
      <x:c r="D34" s="19" t="n">
        <x:v>2</x:v>
      </x:c>
      <x:c r="E34" s="19" t="n">
        <x:v>0</x:v>
      </x:c>
      <x:c r="F34" s="19" t="n">
        <x:v>0</x:v>
      </x:c>
      <x:c r="G34" s="20" t="n">
        <x:v>0.3333333333333333</x:v>
      </x:c>
      <x:c r="H34" s="20" t="n">
        <x:v>0.3333333333333333</x:v>
      </x:c>
      <x:c r="I34" s="20" t="n">
        <x:v>0</x:v>
      </x:c>
      <x:c r="J34" s="20" t="n">
        <x:v>1</x:v>
      </x:c>
      <x:c r="K34" s="19" t="str">
        <x:v>EVIDENCE_CHAIN_INCOMPLETE</x:v>
      </x:c>
    </x:row>
  </x:sheetData>
  <x:pageMargins left="0.7" right="0.7" top="0.75" bottom="0.75" header="0.3" footer="0.3"/>
  <x:tableParts count="1">
    <x:tablePart xmlns:r="http://schemas.openxmlformats.org/officeDocument/2006/relationships" r:id="Rdeee045e78dc41b3"/>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4" hidden="0" customWidth="1"/>
    <x:col min="4" max="4" width="20" hidden="0" customWidth="1"/>
    <x:col min="5" max="5" width="22" hidden="0" customWidth="1"/>
    <x:col min="6" max="6" width="30" hidden="0" customWidth="1"/>
    <x:col min="7" max="7" width="22" hidden="0" customWidth="1"/>
    <x:col min="8" max="8" width="32" hidden="0" customWidth="1"/>
    <x:col min="9" max="9" width="32" hidden="0" customWidth="1"/>
    <x:col min="10" max="10" width="20" hidden="0" customWidth="1"/>
    <x:col min="11" max="11" width="20" hidden="0" customWidth="1"/>
    <x:col min="12" max="12" width="20" hidden="0" customWidth="1"/>
    <x:col min="13" max="13" width="20" hidden="0" customWidth="1"/>
    <x:col min="14" max="14" width="20" hidden="0" customWidth="1"/>
    <x:col min="15" max="15" width="20" hidden="0" customWidth="1"/>
  </x:cols>
  <x:sheetData>
    <x:row r="1" ht="30" customHeight="1">
      <x:c r="A1" s="21" t="str">
        <x:v>REFNO</x:v>
      </x:c>
      <x:c r="B1" s="21" t="str">
        <x:v>RESULTNO</x:v>
      </x:c>
      <x:c r="C1" s="21" t="str">
        <x:v>ROCKNAME</x:v>
      </x:c>
      <x:c r="D1" s="21" t="str">
        <x:v>COMPONENT</x:v>
      </x:c>
      <x:c r="E1" s="21" t="str">
        <x:v>BASE_STATUS</x:v>
      </x:c>
      <x:c r="F1" s="21" t="str">
        <x:v>BASE_ROCKMAG</x:v>
      </x:c>
      <x:c r="G1" s="21" t="str">
        <x:v>LOCATOR_STATUS</x:v>
      </x:c>
      <x:c r="H1" s="21" t="str">
        <x:v>LOCATOR_ROCKMAG</x:v>
      </x:c>
      <x:c r="I1" s="21" t="str">
        <x:v>HIST_ROCKMAG</x:v>
      </x:c>
      <x:c r="J1" s="21" t="str">
        <x:v>FIELD_CHANGE</x:v>
      </x:c>
      <x:c r="K1" s="21" t="str">
        <x:v>LOCATOR_R3</x:v>
      </x:c>
      <x:c r="L1" s="21" t="str">
        <x:v>HIST_R3</x:v>
      </x:c>
      <x:c r="M1" s="21" t="str">
        <x:v>R3_CHANGE</x:v>
      </x:c>
      <x:c r="N1" s="21" t="str">
        <x:v>LOCATOR_RESOLUTION</x:v>
      </x:c>
      <x:c r="O1" s="21" t="str">
        <x:v>LOCATOR_TYPES</x:v>
      </x:c>
    </x:row>
    <x:row r="2" ht="42" customHeight="1">
      <x:c r="A2" s="19" t="str">
        <x:f>'Predictions'!A2</x:f>
        <x:v>1152</x:v>
      </x:c>
      <x:c r="B2" s="19" t="str">
        <x:f>'Predictions'!B2</x:f>
        <x:v>29</x:v>
      </x:c>
      <x:c r="C2" s="19" t="str">
        <x:f>'Predictions'!D2</x:f>
        <x:v>Armorican redbeds</x:v>
      </x:c>
      <x:c r="D2" s="19" t="str">
        <x:f>'Predictions'!E2</x:f>
        <x:v>C component</x:v>
      </x:c>
      <x:c r="E2" s="19" t="str">
        <x:f>'Predictions'!P2</x:f>
        <x:v>ABSTAIN_IDENTITY</x:v>
      </x:c>
      <x:c r="F2" s="19" t="str">
        <x:f>'Predictions'!Q2</x:f>
      </x:c>
      <x:c r="G2" s="19" t="str">
        <x:f>'Predictions'!S2</x:f>
        <x:v>PRESENT</x:v>
      </x:c>
      <x:c r="H2" s="19" t="str">
        <x:f>'Predictions'!T2</x:f>
        <x:v>IRM,SUSC-T(HEM)</x:v>
      </x:c>
      <x:c r="I2" s="19" t="str">
        <x:f>'Predictions'!M2</x:f>
        <x:v>IRM(compar.of leached &amp; unleached:mag.in insol.specularite).</x:v>
      </x:c>
      <x:c r="J2" s="19" t="str">
        <x:f>'Predictions'!AB2</x:f>
        <x:v>IMPROVED</x:v>
      </x:c>
      <x:c r="K2" s="19" t="n">
        <x:f>'Predictions'!U2</x:f>
        <x:v>1</x:v>
      </x:c>
      <x:c r="L2" s="19" t="n">
        <x:f>'Predictions'!N2</x:f>
        <x:v>1</x:v>
      </x:c>
      <x:c r="M2" s="19" t="str">
        <x:f>'Predictions'!AC2</x:f>
        <x:v>IMPROVED</x:v>
      </x:c>
      <x:c r="N2" s="19" t="str">
        <x:f>'Predictions'!V2</x:f>
        <x:v>PAPER_ROW_MATCH</x:v>
      </x:c>
      <x:c r="O2" s="19" t="str">
        <x:f>'Predictions'!W2</x:f>
        <x:v>component</x:v>
      </x:c>
    </x:row>
    <x:row r="3" ht="42" customHeight="1">
      <x:c r="A3" s="19" t="str">
        <x:f>'Predictions'!A3</x:f>
        <x:v>1152</x:v>
      </x:c>
      <x:c r="B3" s="19" t="str">
        <x:f>'Predictions'!B3</x:f>
        <x:v>30</x:v>
      </x:c>
      <x:c r="C3" s="19" t="str">
        <x:f>'Predictions'!D3</x:f>
        <x:v>Armorican redbeds</x:v>
      </x:c>
      <x:c r="D3" s="19" t="str">
        <x:f>'Predictions'!E3</x:f>
        <x:v>B3 component</x:v>
      </x:c>
      <x:c r="E3" s="19" t="str">
        <x:f>'Predictions'!P3</x:f>
        <x:v>ABSTAIN_IDENTITY</x:v>
      </x:c>
      <x:c r="F3" s="19" t="str">
        <x:f>'Predictions'!Q3</x:f>
      </x:c>
      <x:c r="G3" s="19" t="str">
        <x:f>'Predictions'!S3</x:f>
        <x:v>PRESENT</x:v>
      </x:c>
      <x:c r="H3" s="19" t="str">
        <x:f>'Predictions'!T3</x:f>
        <x:v>IRM,SUSC-T(HEM)</x:v>
      </x:c>
      <x:c r="I3" s="19" t="str">
        <x:f>'Predictions'!M3</x:f>
        <x:v>IRM(leached &amp; unleached:B3 comp.in soluble HEM pigment)</x:v>
      </x:c>
      <x:c r="J3" s="19" t="str">
        <x:f>'Predictions'!AB3</x:f>
        <x:v>IMPROVED</x:v>
      </x:c>
      <x:c r="K3" s="19" t="n">
        <x:f>'Predictions'!U3</x:f>
        <x:v>1</x:v>
      </x:c>
      <x:c r="L3" s="19" t="n">
        <x:f>'Predictions'!N3</x:f>
        <x:v>1</x:v>
      </x:c>
      <x:c r="M3" s="19" t="str">
        <x:f>'Predictions'!AC3</x:f>
        <x:v>IMPROVED</x:v>
      </x:c>
      <x:c r="N3" s="19" t="str">
        <x:f>'Predictions'!V3</x:f>
        <x:v>PAPER_ROW_MATCH</x:v>
      </x:c>
      <x:c r="O3" s="19" t="str">
        <x:f>'Predictions'!W3</x:f>
        <x:v>component, direction</x:v>
      </x:c>
    </x:row>
    <x:row r="4" ht="42" customHeight="1">
      <x:c r="A4" s="19" t="str">
        <x:f>'Predictions'!A4</x:f>
        <x:v>1152</x:v>
      </x:c>
      <x:c r="B4" s="19" t="str">
        <x:f>'Predictions'!B4</x:f>
        <x:v>31</x:v>
      </x:c>
      <x:c r="C4" s="19" t="str">
        <x:f>'Predictions'!D4</x:f>
        <x:v>Erquy spillite series</x:v>
      </x:c>
      <x:c r="D4" s="19" t="str">
        <x:f>'Predictions'!E4</x:f>
      </x:c>
      <x:c r="E4" s="19" t="str">
        <x:f>'Predictions'!P4</x:f>
        <x:v>ABSTAIN_ANCHOR</x:v>
      </x:c>
      <x:c r="F4" s="19" t="str">
        <x:f>'Predictions'!Q4</x:f>
      </x:c>
      <x:c r="G4" s="19" t="str">
        <x:f>'Predictions'!S4</x:f>
        <x:v>ABSTAIN_INSUFFICIENT</x:v>
      </x:c>
      <x:c r="H4" s="19" t="str">
        <x:f>'Predictions'!T4</x:f>
      </x:c>
      <x:c r="I4" s="19" t="str">
        <x:f>'Predictions'!M4</x:f>
      </x:c>
      <x:c r="J4" s="19" t="str">
        <x:f>'Predictions'!AB4</x:f>
        <x:v>UNCHANGED</x:v>
      </x:c>
      <x:c r="K4" s="19" t="n">
        <x:f>'Predictions'!U4</x:f>
        <x:v>0</x:v>
      </x:c>
      <x:c r="L4" s="19" t="n">
        <x:f>'Predictions'!N4</x:f>
        <x:v>1</x:v>
      </x:c>
      <x:c r="M4" s="19" t="str">
        <x:f>'Predictions'!AC4</x:f>
        <x:v>UNCHANGED</x:v>
      </x:c>
      <x:c r="N4" s="19" t="str">
        <x:f>'Predictions'!V4</x:f>
        <x:v>PAPER_ROW_MATCH</x:v>
      </x:c>
      <x:c r="O4" s="19" t="str">
        <x:f>'Predictions'!W4</x:f>
        <x:v>direction, pole</x:v>
      </x:c>
    </x:row>
    <x:row r="5" ht="42" customHeight="1">
      <x:c r="A5" s="19" t="str">
        <x:f>'Predictions'!A5</x:f>
        <x:v>1152</x:v>
      </x:c>
      <x:c r="B5" s="19" t="str">
        <x:f>'Predictions'!B5</x:f>
        <x:v>32</x:v>
      </x:c>
      <x:c r="C5" s="19" t="str">
        <x:f>'Predictions'!D5</x:f>
        <x:v>Tregastel Ploumanac'h granite</x:v>
      </x:c>
      <x:c r="D5" s="19" t="str">
        <x:f>'Predictions'!E5</x:f>
      </x:c>
      <x:c r="E5" s="19" t="str">
        <x:f>'Predictions'!P5</x:f>
        <x:v>ABSTAIN_INSUFFICIENT</x:v>
      </x:c>
      <x:c r="F5" s="19" t="str">
        <x:f>'Predictions'!Q5</x:f>
      </x:c>
      <x:c r="G5" s="19" t="str">
        <x:f>'Predictions'!S5</x:f>
        <x:v>ABSTAIN_INSUFFICIENT</x:v>
      </x:c>
      <x:c r="H5" s="19" t="str">
        <x:f>'Predictions'!T5</x:f>
      </x:c>
      <x:c r="I5" s="19" t="str">
        <x:f>'Predictions'!M5</x:f>
      </x:c>
      <x:c r="J5" s="19" t="str">
        <x:f>'Predictions'!AB5</x:f>
        <x:v>UNCHANGED</x:v>
      </x:c>
      <x:c r="K5" s="19" t="n">
        <x:f>'Predictions'!U5</x:f>
        <x:v>0</x:v>
      </x:c>
      <x:c r="L5" s="19" t="n">
        <x:f>'Predictions'!N5</x:f>
        <x:v>0</x:v>
      </x:c>
      <x:c r="M5" s="19" t="str">
        <x:f>'Predictions'!AC5</x:f>
        <x:v>UNCHANGED</x:v>
      </x:c>
      <x:c r="N5" s="19" t="str">
        <x:f>'Predictions'!V5</x:f>
        <x:v>METADATA_UNIQUE</x:v>
      </x:c>
      <x:c r="O5" s="19" t="str">
        <x:f>'Predictions'!W5</x:f>
      </x:c>
    </x:row>
    <x:row r="6" ht="42" customHeight="1">
      <x:c r="A6" s="19" t="str">
        <x:f>'Predictions'!A6</x:f>
        <x:v>3434</x:v>
      </x:c>
      <x:c r="B6" s="19" t="str">
        <x:f>'Predictions'!B6</x:f>
        <x:v>8719</x:v>
      </x:c>
      <x:c r="C6" s="19" t="str">
        <x:f>'Predictions'!D6</x:f>
        <x:v>West Branch Volcanics</x:v>
      </x:c>
      <x:c r="D6" s="19" t="str">
        <x:f>'Predictions'!E6</x:f>
        <x:v>A Component</x:v>
      </x:c>
      <x:c r="E6" s="19" t="str">
        <x:f>'Predictions'!P6</x:f>
        <x:v>PRESENT</x:v>
      </x:c>
      <x:c r="F6" s="19" t="str">
        <x:f>'Predictions'!Q6</x:f>
        <x:v>SUSC-T(MAGN,HEM)</x:v>
      </x:c>
      <x:c r="G6" s="19" t="str">
        <x:f>'Predictions'!S6</x:f>
        <x:v>PRESENT</x:v>
      </x:c>
      <x:c r="H6" s="19" t="str">
        <x:f>'Predictions'!T6</x:f>
        <x:v>SUSC-T(MAGN,HEM)</x:v>
      </x:c>
      <x:c r="I6" s="19" t="str">
        <x:f>'Predictions'!M6</x:f>
        <x:v>SUSC-T(MAGN,HEM)</x:v>
      </x:c>
      <x:c r="J6" s="19" t="str">
        <x:f>'Predictions'!AB6</x:f>
        <x:v>UNCHANGED</x:v>
      </x:c>
      <x:c r="K6" s="19" t="n">
        <x:f>'Predictions'!U6</x:f>
        <x:v>1</x:v>
      </x:c>
      <x:c r="L6" s="19" t="n">
        <x:f>'Predictions'!N6</x:f>
        <x:v>1</x:v>
      </x:c>
      <x:c r="M6" s="19" t="str">
        <x:f>'Predictions'!AC6</x:f>
        <x:v>UNCHANGED</x:v>
      </x:c>
      <x:c r="N6" s="19" t="str">
        <x:f>'Predictions'!V6</x:f>
        <x:v>PAPER_ROW_MATCH</x:v>
      </x:c>
      <x:c r="O6" s="19" t="str">
        <x:f>'Predictions'!W6</x:f>
        <x:v>component, pole</x:v>
      </x:c>
    </x:row>
    <x:row r="7" ht="42" customHeight="1">
      <x:c r="A7" s="19" t="str">
        <x:f>'Predictions'!A7</x:f>
        <x:v>3434</x:v>
      </x:c>
      <x:c r="B7" s="19" t="str">
        <x:f>'Predictions'!B7</x:f>
        <x:v>8720</x:v>
      </x:c>
      <x:c r="C7" s="19" t="str">
        <x:f>'Predictions'!D7</x:f>
        <x:v>Masterson Sandstone</x:v>
      </x:c>
      <x:c r="D7" s="19" t="str">
        <x:f>'Predictions'!E7</x:f>
        <x:v>A Component</x:v>
      </x:c>
      <x:c r="E7" s="19" t="str">
        <x:f>'Predictions'!P7</x:f>
        <x:v>ABSTAIN_ANCHOR</x:v>
      </x:c>
      <x:c r="F7" s="19" t="str">
        <x:f>'Predictions'!Q7</x:f>
      </x:c>
      <x:c r="G7" s="19" t="str">
        <x:f>'Predictions'!S7</x:f>
        <x:v>ABSTAIN_INSUFFICIENT</x:v>
      </x:c>
      <x:c r="H7" s="19" t="str">
        <x:f>'Predictions'!T7</x:f>
      </x:c>
      <x:c r="I7" s="19" t="str">
        <x:f>'Predictions'!M7</x:f>
      </x:c>
      <x:c r="J7" s="19" t="str">
        <x:f>'Predictions'!AB7</x:f>
        <x:v>UNCHANGED</x:v>
      </x:c>
      <x:c r="K7" s="19" t="n">
        <x:f>'Predictions'!U7</x:f>
        <x:v>0</x:v>
      </x:c>
      <x:c r="L7" s="19" t="n">
        <x:f>'Predictions'!N7</x:f>
        <x:v>0</x:v>
      </x:c>
      <x:c r="M7" s="19" t="str">
        <x:f>'Predictions'!AC7</x:f>
        <x:v>UNCHANGED</x:v>
      </x:c>
      <x:c r="N7" s="19" t="str">
        <x:f>'Predictions'!V7</x:f>
        <x:v>PAPER_ROW_MATCH</x:v>
      </x:c>
      <x:c r="O7" s="19" t="str">
        <x:f>'Predictions'!W7</x:f>
        <x:v>component</x:v>
      </x:c>
    </x:row>
    <x:row r="8" ht="42" customHeight="1">
      <x:c r="A8" s="19" t="str">
        <x:f>'Predictions'!A8</x:f>
        <x:v>3434</x:v>
      </x:c>
      <x:c r="B8" s="19" t="str">
        <x:f>'Predictions'!B8</x:f>
        <x:v>8721</x:v>
      </x:c>
      <x:c r="C8" s="19" t="str">
        <x:f>'Predictions'!D8</x:f>
        <x:v>Lynott Formation</x:v>
      </x:c>
      <x:c r="D8" s="19" t="str">
        <x:f>'Predictions'!E8</x:f>
        <x:v>A Component</x:v>
      </x:c>
      <x:c r="E8" s="19" t="str">
        <x:f>'Predictions'!P8</x:f>
        <x:v>ABSTAIN_INSUFFICIENT</x:v>
      </x:c>
      <x:c r="F8" s="19" t="str">
        <x:f>'Predictions'!Q8</x:f>
      </x:c>
      <x:c r="G8" s="19" t="str">
        <x:f>'Predictions'!S8</x:f>
        <x:v>ABSTAIN_INSUFFICIENT</x:v>
      </x:c>
      <x:c r="H8" s="19" t="str">
        <x:f>'Predictions'!T8</x:f>
      </x:c>
      <x:c r="I8" s="19" t="str">
        <x:f>'Predictions'!M8</x:f>
      </x:c>
      <x:c r="J8" s="19" t="str">
        <x:f>'Predictions'!AB8</x:f>
        <x:v>UNCHANGED</x:v>
      </x:c>
      <x:c r="K8" s="19" t="n">
        <x:f>'Predictions'!U8</x:f>
        <x:v>0</x:v>
      </x:c>
      <x:c r="L8" s="19" t="n">
        <x:f>'Predictions'!N8</x:f>
        <x:v>0</x:v>
      </x:c>
      <x:c r="M8" s="19" t="str">
        <x:f>'Predictions'!AC8</x:f>
        <x:v>UNCHANGED</x:v>
      </x:c>
      <x:c r="N8" s="19" t="str">
        <x:f>'Predictions'!V8</x:f>
        <x:v>PAPER_ROW_MATCH</x:v>
      </x:c>
      <x:c r="O8" s="19" t="str">
        <x:f>'Predictions'!W8</x:f>
        <x:v>component</x:v>
      </x:c>
    </x:row>
    <x:row r="9" ht="42" customHeight="1">
      <x:c r="A9" s="19" t="str">
        <x:f>'Predictions'!A9</x:f>
        <x:v>3434</x:v>
      </x:c>
      <x:c r="B9" s="19" t="str">
        <x:f>'Predictions'!B9</x:f>
        <x:v>8722</x:v>
      </x:c>
      <x:c r="C9" s="19" t="str">
        <x:f>'Predictions'!D9</x:f>
        <x:v>Amos Formation</x:v>
      </x:c>
      <x:c r="D9" s="19" t="str">
        <x:f>'Predictions'!E9</x:f>
      </x:c>
      <x:c r="E9" s="19" t="str">
        <x:f>'Predictions'!P9</x:f>
        <x:v>ABSTAIN_INSUFFICIENT</x:v>
      </x:c>
      <x:c r="F9" s="19" t="str">
        <x:f>'Predictions'!Q9</x:f>
      </x:c>
      <x:c r="G9" s="19" t="str">
        <x:f>'Predictions'!S9</x:f>
        <x:v>ABSTAIN_INSUFFICIENT</x:v>
      </x:c>
      <x:c r="H9" s="19" t="str">
        <x:f>'Predictions'!T9</x:f>
      </x:c>
      <x:c r="I9" s="19" t="str">
        <x:f>'Predictions'!M9</x:f>
      </x:c>
      <x:c r="J9" s="19" t="str">
        <x:f>'Predictions'!AB9</x:f>
        <x:v>UNCHANGED</x:v>
      </x:c>
      <x:c r="K9" s="19" t="n">
        <x:f>'Predictions'!U9</x:f>
        <x:v>0</x:v>
      </x:c>
      <x:c r="L9" s="19" t="n">
        <x:f>'Predictions'!N9</x:f>
        <x:v>0</x:v>
      </x:c>
      <x:c r="M9" s="19" t="str">
        <x:f>'Predictions'!AC9</x:f>
        <x:v>UNCHANGED</x:v>
      </x:c>
      <x:c r="N9" s="19" t="str">
        <x:f>'Predictions'!V9</x:f>
        <x:v>METADATA_UNIQUE</x:v>
      </x:c>
      <x:c r="O9" s="19" t="str">
        <x:f>'Predictions'!W9</x:f>
      </x:c>
    </x:row>
    <x:row r="10" ht="42" customHeight="1">
      <x:c r="A10" s="19" t="str">
        <x:f>'Predictions'!A10</x:f>
        <x:v>3434</x:v>
      </x:c>
      <x:c r="B10" s="19" t="str">
        <x:f>'Predictions'!B10</x:f>
        <x:v>8723</x:v>
      </x:c>
      <x:c r="C10" s="19" t="str">
        <x:f>'Predictions'!D10</x:f>
        <x:v>Balbirini Dolomite, lower part</x:v>
      </x:c>
      <x:c r="D10" s="19" t="str">
        <x:f>'Predictions'!E10</x:f>
      </x:c>
      <x:c r="E10" s="19" t="str">
        <x:f>'Predictions'!P10</x:f>
        <x:v>ABSTAIN_INSUFFICIENT</x:v>
      </x:c>
      <x:c r="F10" s="19" t="str">
        <x:f>'Predictions'!Q10</x:f>
      </x:c>
      <x:c r="G10" s="19" t="str">
        <x:f>'Predictions'!S10</x:f>
        <x:v>ABSTAIN_INSUFFICIENT</x:v>
      </x:c>
      <x:c r="H10" s="19" t="str">
        <x:f>'Predictions'!T10</x:f>
      </x:c>
      <x:c r="I10" s="19" t="str">
        <x:f>'Predictions'!M10</x:f>
      </x:c>
      <x:c r="J10" s="19" t="str">
        <x:f>'Predictions'!AB10</x:f>
        <x:v>UNCHANGED</x:v>
      </x:c>
      <x:c r="K10" s="19" t="n">
        <x:f>'Predictions'!U10</x:f>
        <x:v>0</x:v>
      </x:c>
      <x:c r="L10" s="19" t="n">
        <x:f>'Predictions'!N10</x:f>
        <x:v>0</x:v>
      </x:c>
      <x:c r="M10" s="19" t="str">
        <x:f>'Predictions'!AC10</x:f>
        <x:v>UNCHANGED</x:v>
      </x:c>
      <x:c r="N10" s="19" t="str">
        <x:f>'Predictions'!V10</x:f>
        <x:v>METADATA_UNIQUE</x:v>
      </x:c>
      <x:c r="O10" s="19" t="str">
        <x:f>'Predictions'!W10</x:f>
      </x:c>
    </x:row>
    <x:row r="11" ht="42" customHeight="1">
      <x:c r="A11" s="19" t="str">
        <x:f>'Predictions'!A11</x:f>
        <x:v>3434</x:v>
      </x:c>
      <x:c r="B11" s="19" t="str">
        <x:f>'Predictions'!B11</x:f>
        <x:v>8724</x:v>
      </x:c>
      <x:c r="C11" s="19" t="str">
        <x:f>'Predictions'!D11</x:f>
        <x:v>Balbirini Dolomite, upper part</x:v>
      </x:c>
      <x:c r="D11" s="19" t="str">
        <x:f>'Predictions'!E11</x:f>
      </x:c>
      <x:c r="E11" s="19" t="str">
        <x:f>'Predictions'!P11</x:f>
        <x:v>ABSTAIN_INSUFFICIENT</x:v>
      </x:c>
      <x:c r="F11" s="19" t="str">
        <x:f>'Predictions'!Q11</x:f>
      </x:c>
      <x:c r="G11" s="19" t="str">
        <x:f>'Predictions'!S11</x:f>
        <x:v>ABSTAIN_INSUFFICIENT</x:v>
      </x:c>
      <x:c r="H11" s="19" t="str">
        <x:f>'Predictions'!T11</x:f>
      </x:c>
      <x:c r="I11" s="19" t="str">
        <x:f>'Predictions'!M11</x:f>
      </x:c>
      <x:c r="J11" s="19" t="str">
        <x:f>'Predictions'!AB11</x:f>
        <x:v>UNCHANGED</x:v>
      </x:c>
      <x:c r="K11" s="19" t="n">
        <x:f>'Predictions'!U11</x:f>
        <x:v>0</x:v>
      </x:c>
      <x:c r="L11" s="19" t="n">
        <x:f>'Predictions'!N11</x:f>
        <x:v>0</x:v>
      </x:c>
      <x:c r="M11" s="19" t="str">
        <x:f>'Predictions'!AC11</x:f>
        <x:v>UNCHANGED</x:v>
      </x:c>
      <x:c r="N11" s="19" t="str">
        <x:f>'Predictions'!V11</x:f>
        <x:v>METADATA_UNIQUE</x:v>
      </x:c>
      <x:c r="O11" s="19" t="str">
        <x:f>'Predictions'!W11</x:f>
      </x:c>
    </x:row>
    <x:row r="12" ht="42" customHeight="1">
      <x:c r="A12" s="19" t="str">
        <x:f>'Predictions'!A12</x:f>
        <x:v>3434</x:v>
      </x:c>
      <x:c r="B12" s="19" t="str">
        <x:f>'Predictions'!B12</x:f>
        <x:v>8725</x:v>
      </x:c>
      <x:c r="C12" s="19" t="str">
        <x:f>'Predictions'!D12</x:f>
        <x:v>Peters Creek Volcanics, upper part</x:v>
      </x:c>
      <x:c r="D12" s="19" t="str">
        <x:f>'Predictions'!E12</x:f>
        <x:v>A Component</x:v>
      </x:c>
      <x:c r="E12" s="19" t="str">
        <x:f>'Predictions'!P12</x:f>
        <x:v>ABSTAIN_INSUFFICIENT</x:v>
      </x:c>
      <x:c r="F12" s="19" t="str">
        <x:f>'Predictions'!Q12</x:f>
      </x:c>
      <x:c r="G12" s="19" t="str">
        <x:f>'Predictions'!S12</x:f>
        <x:v>ABSTAIN_INSUFFICIENT</x:v>
      </x:c>
      <x:c r="H12" s="19" t="str">
        <x:f>'Predictions'!T12</x:f>
      </x:c>
      <x:c r="I12" s="19" t="str">
        <x:f>'Predictions'!M12</x:f>
      </x:c>
      <x:c r="J12" s="19" t="str">
        <x:f>'Predictions'!AB12</x:f>
        <x:v>UNCHANGED</x:v>
      </x:c>
      <x:c r="K12" s="19" t="n">
        <x:f>'Predictions'!U12</x:f>
        <x:v>0</x:v>
      </x:c>
      <x:c r="L12" s="19" t="n">
        <x:f>'Predictions'!N12</x:f>
        <x:v>0</x:v>
      </x:c>
      <x:c r="M12" s="19" t="str">
        <x:f>'Predictions'!AC12</x:f>
        <x:v>UNCHANGED</x:v>
      </x:c>
      <x:c r="N12" s="19" t="str">
        <x:f>'Predictions'!V12</x:f>
        <x:v>PAPER_ROW_MATCH</x:v>
      </x:c>
      <x:c r="O12" s="19" t="str">
        <x:f>'Predictions'!W12</x:f>
        <x:v>component</x:v>
      </x:c>
    </x:row>
    <x:row r="13" ht="42" customHeight="1">
      <x:c r="A13" s="19" t="str">
        <x:f>'Predictions'!A13</x:f>
        <x:v>3434</x:v>
      </x:c>
      <x:c r="B13" s="19" t="str">
        <x:f>'Predictions'!B13</x:f>
        <x:v>8726</x:v>
      </x:c>
      <x:c r="C13" s="19" t="str">
        <x:f>'Predictions'!D13</x:f>
        <x:v>Buddawadda Basalt (intrusives)</x:v>
      </x:c>
      <x:c r="D13" s="19" t="str">
        <x:f>'Predictions'!E13</x:f>
        <x:v>C Component</x:v>
      </x:c>
      <x:c r="E13" s="19" t="str">
        <x:f>'Predictions'!P13</x:f>
        <x:v>ABSTAIN_INSUFFICIENT</x:v>
      </x:c>
      <x:c r="F13" s="19" t="str">
        <x:f>'Predictions'!Q13</x:f>
      </x:c>
      <x:c r="G13" s="19" t="str">
        <x:f>'Predictions'!S13</x:f>
        <x:v>ABSTAIN_INSUFFICIENT</x:v>
      </x:c>
      <x:c r="H13" s="19" t="str">
        <x:f>'Predictions'!T13</x:f>
      </x:c>
      <x:c r="I13" s="19" t="str">
        <x:f>'Predictions'!M13</x:f>
      </x:c>
      <x:c r="J13" s="19" t="str">
        <x:f>'Predictions'!AB13</x:f>
        <x:v>UNCHANGED</x:v>
      </x:c>
      <x:c r="K13" s="19" t="n">
        <x:f>'Predictions'!U13</x:f>
        <x:v>0</x:v>
      </x:c>
      <x:c r="L13" s="19" t="n">
        <x:f>'Predictions'!N13</x:f>
        <x:v>0</x:v>
      </x:c>
      <x:c r="M13" s="19" t="str">
        <x:f>'Predictions'!AC13</x:f>
        <x:v>UNCHANGED</x:v>
      </x:c>
      <x:c r="N13" s="19" t="str">
        <x:f>'Predictions'!V13</x:f>
        <x:v>PAPER_ROW_MATCH</x:v>
      </x:c>
      <x:c r="O13" s="19" t="str">
        <x:f>'Predictions'!W13</x:f>
        <x:v>component</x:v>
      </x:c>
    </x:row>
    <x:row r="14" ht="42" customHeight="1">
      <x:c r="A14" s="19" t="str">
        <x:f>'Predictions'!A14</x:f>
        <x:v>3434</x:v>
      </x:c>
      <x:c r="B14" s="19" t="str">
        <x:f>'Predictions'!B14</x:f>
        <x:v>8727</x:v>
      </x:c>
      <x:c r="C14" s="19" t="str">
        <x:f>'Predictions'!D14</x:f>
        <x:v>Buddawadda Basalt</x:v>
      </x:c>
      <x:c r="D14" s="19" t="str">
        <x:f>'Predictions'!E14</x:f>
        <x:v>D Component</x:v>
      </x:c>
      <x:c r="E14" s="19" t="str">
        <x:f>'Predictions'!P14</x:f>
        <x:v>ABSTAIN_INSUFFICIENT</x:v>
      </x:c>
      <x:c r="F14" s="19" t="str">
        <x:f>'Predictions'!Q14</x:f>
      </x:c>
      <x:c r="G14" s="19" t="str">
        <x:f>'Predictions'!S14</x:f>
        <x:v>ABSTAIN_INSUFFICIENT</x:v>
      </x:c>
      <x:c r="H14" s="19" t="str">
        <x:f>'Predictions'!T14</x:f>
      </x:c>
      <x:c r="I14" s="19" t="str">
        <x:f>'Predictions'!M14</x:f>
      </x:c>
      <x:c r="J14" s="19" t="str">
        <x:f>'Predictions'!AB14</x:f>
        <x:v>UNCHANGED</x:v>
      </x:c>
      <x:c r="K14" s="19" t="n">
        <x:f>'Predictions'!U14</x:f>
        <x:v>0</x:v>
      </x:c>
      <x:c r="L14" s="19" t="n">
        <x:f>'Predictions'!N14</x:f>
        <x:v>0</x:v>
      </x:c>
      <x:c r="M14" s="19" t="str">
        <x:f>'Predictions'!AC14</x:f>
        <x:v>UNCHANGED</x:v>
      </x:c>
      <x:c r="N14" s="19" t="str">
        <x:f>'Predictions'!V14</x:f>
        <x:v>PAPER_ROW_MATCH</x:v>
      </x:c>
      <x:c r="O14" s="19" t="str">
        <x:f>'Predictions'!W14</x:f>
        <x:v>component</x:v>
      </x:c>
    </x:row>
    <x:row r="15" ht="42" customHeight="1">
      <x:c r="A15" s="19" t="str">
        <x:f>'Predictions'!A15</x:f>
        <x:v>3434</x:v>
      </x:c>
      <x:c r="B15" s="19" t="str">
        <x:f>'Predictions'!B15</x:f>
        <x:v>8728</x:v>
      </x:c>
      <x:c r="C15" s="19" t="str">
        <x:f>'Predictions'!D15</x:f>
        <x:v>Fish River Formation (Pff1)</x:v>
      </x:c>
      <x:c r="D15" s="19" t="str">
        <x:f>'Predictions'!E15</x:f>
        <x:v>A Component</x:v>
      </x:c>
      <x:c r="E15" s="19" t="str">
        <x:f>'Predictions'!P15</x:f>
        <x:v>ABSTAIN_INSUFFICIENT</x:v>
      </x:c>
      <x:c r="F15" s="19" t="str">
        <x:f>'Predictions'!Q15</x:f>
      </x:c>
      <x:c r="G15" s="19" t="str">
        <x:f>'Predictions'!S15</x:f>
        <x:v>ABSTAIN_INSUFFICIENT</x:v>
      </x:c>
      <x:c r="H15" s="19" t="str">
        <x:f>'Predictions'!T15</x:f>
      </x:c>
      <x:c r="I15" s="19" t="str">
        <x:f>'Predictions'!M15</x:f>
      </x:c>
      <x:c r="J15" s="19" t="str">
        <x:f>'Predictions'!AB15</x:f>
        <x:v>UNCHANGED</x:v>
      </x:c>
      <x:c r="K15" s="19" t="n">
        <x:f>'Predictions'!U15</x:f>
        <x:v>0</x:v>
      </x:c>
      <x:c r="L15" s="19" t="n">
        <x:f>'Predictions'!N15</x:f>
        <x:v>0</x:v>
      </x:c>
      <x:c r="M15" s="19" t="str">
        <x:f>'Predictions'!AC15</x:f>
        <x:v>UNCHANGED</x:v>
      </x:c>
      <x:c r="N15" s="19" t="str">
        <x:f>'Predictions'!V15</x:f>
        <x:v>PAPER_ROW_MATCH</x:v>
      </x:c>
      <x:c r="O15" s="19" t="str">
        <x:f>'Predictions'!W15</x:f>
        <x:v>component</x:v>
      </x:c>
    </x:row>
    <x:row r="16" ht="42" customHeight="1">
      <x:c r="A16" s="19" t="str">
        <x:f>'Predictions'!A16</x:f>
        <x:v>3434</x:v>
      </x:c>
      <x:c r="B16" s="19" t="str">
        <x:f>'Predictions'!B16</x:f>
        <x:v>8729</x:v>
      </x:c>
      <x:c r="C16" s="19" t="str">
        <x:f>'Predictions'!D16</x:f>
        <x:v>Fish River Formation (Pff2)</x:v>
      </x:c>
      <x:c r="D16" s="19" t="str">
        <x:f>'Predictions'!E16</x:f>
        <x:v>C Component</x:v>
      </x:c>
      <x:c r="E16" s="19" t="str">
        <x:f>'Predictions'!P16</x:f>
        <x:v>ABSTAIN_INSUFFICIENT</x:v>
      </x:c>
      <x:c r="F16" s="19" t="str">
        <x:f>'Predictions'!Q16</x:f>
      </x:c>
      <x:c r="G16" s="19" t="str">
        <x:f>'Predictions'!S16</x:f>
        <x:v>ABSTAIN_INSUFFICIENT</x:v>
      </x:c>
      <x:c r="H16" s="19" t="str">
        <x:f>'Predictions'!T16</x:f>
      </x:c>
      <x:c r="I16" s="19" t="str">
        <x:f>'Predictions'!M16</x:f>
      </x:c>
      <x:c r="J16" s="19" t="str">
        <x:f>'Predictions'!AB16</x:f>
        <x:v>UNCHANGED</x:v>
      </x:c>
      <x:c r="K16" s="19" t="n">
        <x:f>'Predictions'!U16</x:f>
        <x:v>0</x:v>
      </x:c>
      <x:c r="L16" s="19" t="n">
        <x:f>'Predictions'!N16</x:f>
        <x:v>0</x:v>
      </x:c>
      <x:c r="M16" s="19" t="str">
        <x:f>'Predictions'!AC16</x:f>
        <x:v>UNCHANGED</x:v>
      </x:c>
      <x:c r="N16" s="19" t="str">
        <x:f>'Predictions'!V16</x:f>
        <x:v>PAPER_ROW_MATCH</x:v>
      </x:c>
      <x:c r="O16" s="19" t="str">
        <x:f>'Predictions'!W16</x:f>
        <x:v>component</x:v>
      </x:c>
    </x:row>
    <x:row r="17" ht="42" customHeight="1">
      <x:c r="A17" s="19" t="str">
        <x:f>'Predictions'!A17</x:f>
        <x:v>3434</x:v>
      </x:c>
      <x:c r="B17" s="19" t="str">
        <x:f>'Predictions'!B17</x:f>
        <x:v>8730</x:v>
      </x:c>
      <x:c r="C17" s="19" t="str">
        <x:f>'Predictions'!D17</x:f>
        <x:v>Mt Les Siltstone</x:v>
      </x:c>
      <x:c r="D17" s="19" t="str">
        <x:f>'Predictions'!E17</x:f>
        <x:v>A Component</x:v>
      </x:c>
      <x:c r="E17" s="19" t="str">
        <x:f>'Predictions'!P17</x:f>
        <x:v>ABSTAIN_INSUFFICIENT</x:v>
      </x:c>
      <x:c r="F17" s="19" t="str">
        <x:f>'Predictions'!Q17</x:f>
      </x:c>
      <x:c r="G17" s="19" t="str">
        <x:f>'Predictions'!S17</x:f>
        <x:v>ABSTAIN_INSUFFICIENT</x:v>
      </x:c>
      <x:c r="H17" s="19" t="str">
        <x:f>'Predictions'!T17</x:f>
      </x:c>
      <x:c r="I17" s="19" t="str">
        <x:f>'Predictions'!M17</x:f>
      </x:c>
      <x:c r="J17" s="19" t="str">
        <x:f>'Predictions'!AB17</x:f>
        <x:v>UNCHANGED</x:v>
      </x:c>
      <x:c r="K17" s="19" t="n">
        <x:f>'Predictions'!U17</x:f>
        <x:v>0</x:v>
      </x:c>
      <x:c r="L17" s="19" t="n">
        <x:f>'Predictions'!N17</x:f>
        <x:v>0</x:v>
      </x:c>
      <x:c r="M17" s="19" t="str">
        <x:f>'Predictions'!AC17</x:f>
        <x:v>UNCHANGED</x:v>
      </x:c>
      <x:c r="N17" s="19" t="str">
        <x:f>'Predictions'!V17</x:f>
        <x:v>PAPER_ROW_MATCH</x:v>
      </x:c>
      <x:c r="O17" s="19" t="str">
        <x:f>'Predictions'!W17</x:f>
        <x:v>component</x:v>
      </x:c>
    </x:row>
    <x:row r="18" ht="42" customHeight="1">
      <x:c r="A18" s="19" t="str">
        <x:f>'Predictions'!A18</x:f>
        <x:v>3434</x:v>
      </x:c>
      <x:c r="B18" s="19" t="str">
        <x:f>'Predictions'!B18</x:f>
        <x:v>8731</x:v>
      </x:c>
      <x:c r="C18" s="19" t="str">
        <x:f>'Predictions'!D18</x:f>
        <x:v>Lochness Formation</x:v>
      </x:c>
      <x:c r="D18" s="19" t="str">
        <x:f>'Predictions'!E18</x:f>
        <x:v>A Component</x:v>
      </x:c>
      <x:c r="E18" s="19" t="str">
        <x:f>'Predictions'!P18</x:f>
        <x:v>ABSTAIN_IDENTITY</x:v>
      </x:c>
      <x:c r="F18" s="19" t="str">
        <x:f>'Predictions'!Q18</x:f>
      </x:c>
      <x:c r="G18" s="19" t="str">
        <x:f>'Predictions'!S18</x:f>
        <x:v>ABSTAIN_INSUFFICIENT</x:v>
      </x:c>
      <x:c r="H18" s="19" t="str">
        <x:f>'Predictions'!T18</x:f>
      </x:c>
      <x:c r="I18" s="19" t="str">
        <x:f>'Predictions'!M18</x:f>
      </x:c>
      <x:c r="J18" s="19" t="str">
        <x:f>'Predictions'!AB18</x:f>
        <x:v>UNCHANGED</x:v>
      </x:c>
      <x:c r="K18" s="19" t="n">
        <x:f>'Predictions'!U18</x:f>
        <x:v>0</x:v>
      </x:c>
      <x:c r="L18" s="19" t="n">
        <x:f>'Predictions'!N18</x:f>
        <x:v>0</x:v>
      </x:c>
      <x:c r="M18" s="19" t="str">
        <x:f>'Predictions'!AC18</x:f>
        <x:v>UNCHANGED</x:v>
      </x:c>
      <x:c r="N18" s="19" t="str">
        <x:f>'Predictions'!V18</x:f>
        <x:v>METADATA_UNIQUE</x:v>
      </x:c>
      <x:c r="O18" s="19" t="str">
        <x:f>'Predictions'!W18</x:f>
      </x:c>
    </x:row>
    <x:row r="19" ht="42" customHeight="1">
      <x:c r="A19" s="19" t="str">
        <x:f>'Predictions'!A19</x:f>
        <x:v>3434</x:v>
      </x:c>
      <x:c r="B19" s="19" t="str">
        <x:f>'Predictions'!B19</x:f>
        <x:v>8732</x:v>
      </x:c>
      <x:c r="C19" s="19" t="str">
        <x:f>'Predictions'!D19</x:f>
        <x:v>Lochness Formation</x:v>
      </x:c>
      <x:c r="D19" s="19" t="str">
        <x:f>'Predictions'!E19</x:f>
        <x:v>A Component</x:v>
      </x:c>
      <x:c r="E19" s="19" t="str">
        <x:f>'Predictions'!P19</x:f>
        <x:v>ABSTAIN_IDENTITY</x:v>
      </x:c>
      <x:c r="F19" s="19" t="str">
        <x:f>'Predictions'!Q19</x:f>
      </x:c>
      <x:c r="G19" s="19" t="str">
        <x:f>'Predictions'!S19</x:f>
        <x:v>ABSTAIN_INSUFFICIENT</x:v>
      </x:c>
      <x:c r="H19" s="19" t="str">
        <x:f>'Predictions'!T19</x:f>
      </x:c>
      <x:c r="I19" s="19" t="str">
        <x:f>'Predictions'!M19</x:f>
      </x:c>
      <x:c r="J19" s="19" t="str">
        <x:f>'Predictions'!AB19</x:f>
        <x:v>UNCHANGED</x:v>
      </x:c>
      <x:c r="K19" s="19" t="n">
        <x:f>'Predictions'!U19</x:f>
        <x:v>0</x:v>
      </x:c>
      <x:c r="L19" s="19" t="n">
        <x:f>'Predictions'!N19</x:f>
        <x:v>0</x:v>
      </x:c>
      <x:c r="M19" s="19" t="str">
        <x:f>'Predictions'!AC19</x:f>
        <x:v>UNCHANGED</x:v>
      </x:c>
      <x:c r="N19" s="19" t="str">
        <x:f>'Predictions'!V19</x:f>
        <x:v>METADATA_UNIQUE</x:v>
      </x:c>
      <x:c r="O19" s="19" t="str">
        <x:f>'Predictions'!W19</x:f>
      </x:c>
    </x:row>
    <x:row r="20" ht="42" customHeight="1">
      <x:c r="A20" s="19" t="str">
        <x:f>'Predictions'!A20</x:f>
        <x:v>3434</x:v>
      </x:c>
      <x:c r="B20" s="19" t="str">
        <x:f>'Predictions'!B20</x:f>
        <x:v>8733</x:v>
      </x:c>
      <x:c r="C20" s="19" t="str">
        <x:f>'Predictions'!D20</x:f>
        <x:v>Fiery Creek Formation</x:v>
      </x:c>
      <x:c r="D20" s="19" t="str">
        <x:f>'Predictions'!E20</x:f>
        <x:v>A Component</x:v>
      </x:c>
      <x:c r="E20" s="19" t="str">
        <x:f>'Predictions'!P20</x:f>
        <x:v>ABSTAIN_IDENTITY</x:v>
      </x:c>
      <x:c r="F20" s="19" t="str">
        <x:f>'Predictions'!Q20</x:f>
      </x:c>
      <x:c r="G20" s="19" t="str">
        <x:f>'Predictions'!S20</x:f>
        <x:v>ABSTAIN_INSUFFICIENT</x:v>
      </x:c>
      <x:c r="H20" s="19" t="str">
        <x:f>'Predictions'!T20</x:f>
      </x:c>
      <x:c r="I20" s="19" t="str">
        <x:f>'Predictions'!M20</x:f>
      </x:c>
      <x:c r="J20" s="19" t="str">
        <x:f>'Predictions'!AB20</x:f>
        <x:v>UNCHANGED</x:v>
      </x:c>
      <x:c r="K20" s="19" t="n">
        <x:f>'Predictions'!U20</x:f>
        <x:v>0</x:v>
      </x:c>
      <x:c r="L20" s="19" t="n">
        <x:f>'Predictions'!N20</x:f>
        <x:v>0</x:v>
      </x:c>
      <x:c r="M20" s="19" t="str">
        <x:f>'Predictions'!AC20</x:f>
        <x:v>UNCHANGED</x:v>
      </x:c>
      <x:c r="N20" s="19" t="str">
        <x:f>'Predictions'!V20</x:f>
        <x:v>PAPER_ROW_MATCH</x:v>
      </x:c>
      <x:c r="O20" s="19" t="str">
        <x:f>'Predictions'!W20</x:f>
        <x:v>component</x:v>
      </x:c>
    </x:row>
    <x:row r="21" ht="42" customHeight="1">
      <x:c r="A21" s="19" t="str">
        <x:f>'Predictions'!A21</x:f>
        <x:v>3434</x:v>
      </x:c>
      <x:c r="B21" s="19" t="str">
        <x:f>'Predictions'!B21</x:f>
        <x:v>8734</x:v>
      </x:c>
      <x:c r="C21" s="19" t="str">
        <x:f>'Predictions'!D21</x:f>
        <x:v>Fiery Creek Formation</x:v>
      </x:c>
      <x:c r="D21" s="19" t="str">
        <x:f>'Predictions'!E21</x:f>
        <x:v>B Component</x:v>
      </x:c>
      <x:c r="E21" s="19" t="str">
        <x:f>'Predictions'!P21</x:f>
        <x:v>ABSTAIN_IDENTITY</x:v>
      </x:c>
      <x:c r="F21" s="19" t="str">
        <x:f>'Predictions'!Q21</x:f>
      </x:c>
      <x:c r="G21" s="19" t="str">
        <x:f>'Predictions'!S21</x:f>
        <x:v>ABSTAIN_INSUFFICIENT</x:v>
      </x:c>
      <x:c r="H21" s="19" t="str">
        <x:f>'Predictions'!T21</x:f>
      </x:c>
      <x:c r="I21" s="19" t="str">
        <x:f>'Predictions'!M21</x:f>
      </x:c>
      <x:c r="J21" s="19" t="str">
        <x:f>'Predictions'!AB21</x:f>
        <x:v>UNCHANGED</x:v>
      </x:c>
      <x:c r="K21" s="19" t="n">
        <x:f>'Predictions'!U21</x:f>
        <x:v>0</x:v>
      </x:c>
      <x:c r="L21" s="19" t="n">
        <x:f>'Predictions'!N21</x:f>
        <x:v>0</x:v>
      </x:c>
      <x:c r="M21" s="19" t="str">
        <x:f>'Predictions'!AC21</x:f>
        <x:v>UNCHANGED</x:v>
      </x:c>
      <x:c r="N21" s="19" t="str">
        <x:f>'Predictions'!V21</x:f>
        <x:v>PAPER_ROW_MATCH</x:v>
      </x:c>
      <x:c r="O21" s="19" t="str">
        <x:f>'Predictions'!W21</x:f>
        <x:v>component</x:v>
      </x:c>
    </x:row>
    <x:row r="22" ht="42" customHeight="1">
      <x:c r="A22" s="19" t="str">
        <x:f>'Predictions'!A22</x:f>
        <x:v>3434</x:v>
      </x:c>
      <x:c r="B22" s="19" t="str">
        <x:f>'Predictions'!B22</x:f>
        <x:v>8735</x:v>
      </x:c>
      <x:c r="C22" s="19" t="str">
        <x:f>'Predictions'!D22</x:f>
        <x:v>Gunpowder Creek Formation</x:v>
      </x:c>
      <x:c r="D22" s="19" t="str">
        <x:f>'Predictions'!E22</x:f>
        <x:v>B Component</x:v>
      </x:c>
      <x:c r="E22" s="19" t="str">
        <x:f>'Predictions'!P22</x:f>
        <x:v>ABSTAIN_IDENTITY</x:v>
      </x:c>
      <x:c r="F22" s="19" t="str">
        <x:f>'Predictions'!Q22</x:f>
      </x:c>
      <x:c r="G22" s="19" t="str">
        <x:f>'Predictions'!S22</x:f>
        <x:v>ABSTAIN_INSUFFICIENT</x:v>
      </x:c>
      <x:c r="H22" s="19" t="str">
        <x:f>'Predictions'!T22</x:f>
      </x:c>
      <x:c r="I22" s="19" t="str">
        <x:f>'Predictions'!M22</x:f>
      </x:c>
      <x:c r="J22" s="19" t="str">
        <x:f>'Predictions'!AB22</x:f>
        <x:v>UNCHANGED</x:v>
      </x:c>
      <x:c r="K22" s="19" t="n">
        <x:f>'Predictions'!U22</x:f>
        <x:v>0</x:v>
      </x:c>
      <x:c r="L22" s="19" t="n">
        <x:f>'Predictions'!N22</x:f>
        <x:v>0</x:v>
      </x:c>
      <x:c r="M22" s="19" t="str">
        <x:f>'Predictions'!AC22</x:f>
        <x:v>UNCHANGED</x:v>
      </x:c>
      <x:c r="N22" s="19" t="str">
        <x:f>'Predictions'!V22</x:f>
        <x:v>PAPER_ROW_MATCH</x:v>
      </x:c>
      <x:c r="O22" s="19" t="str">
        <x:f>'Predictions'!W22</x:f>
        <x:v>component</x:v>
      </x:c>
    </x:row>
    <x:row r="23" ht="42" customHeight="1">
      <x:c r="A23" s="19" t="str">
        <x:f>'Predictions'!A23</x:f>
        <x:v>3434</x:v>
      </x:c>
      <x:c r="B23" s="19" t="str">
        <x:f>'Predictions'!B23</x:f>
        <x:v>8736</x:v>
      </x:c>
      <x:c r="C23" s="19" t="str">
        <x:f>'Predictions'!D23</x:f>
        <x:v>Gunpowder Creek Formation</x:v>
      </x:c>
      <x:c r="D23" s="19" t="str">
        <x:f>'Predictions'!E23</x:f>
        <x:v>C Component</x:v>
      </x:c>
      <x:c r="E23" s="19" t="str">
        <x:f>'Predictions'!P23</x:f>
        <x:v>ABSTAIN_IDENTITY</x:v>
      </x:c>
      <x:c r="F23" s="19" t="str">
        <x:f>'Predictions'!Q23</x:f>
      </x:c>
      <x:c r="G23" s="19" t="str">
        <x:f>'Predictions'!S23</x:f>
        <x:v>ABSTAIN_INSUFFICIENT</x:v>
      </x:c>
      <x:c r="H23" s="19" t="str">
        <x:f>'Predictions'!T23</x:f>
      </x:c>
      <x:c r="I23" s="19" t="str">
        <x:f>'Predictions'!M23</x:f>
      </x:c>
      <x:c r="J23" s="19" t="str">
        <x:f>'Predictions'!AB23</x:f>
        <x:v>UNCHANGED</x:v>
      </x:c>
      <x:c r="K23" s="19" t="n">
        <x:f>'Predictions'!U23</x:f>
        <x:v>0</x:v>
      </x:c>
      <x:c r="L23" s="19" t="n">
        <x:f>'Predictions'!N23</x:f>
        <x:v>0</x:v>
      </x:c>
      <x:c r="M23" s="19" t="str">
        <x:f>'Predictions'!AC23</x:f>
        <x:v>UNCHANGED</x:v>
      </x:c>
      <x:c r="N23" s="19" t="str">
        <x:f>'Predictions'!V23</x:f>
        <x:v>PAPER_ROW_MATCH</x:v>
      </x:c>
      <x:c r="O23" s="19" t="str">
        <x:f>'Predictions'!W23</x:f>
        <x:v>component</x:v>
      </x:c>
    </x:row>
    <x:row r="24" ht="42" customHeight="1">
      <x:c r="A24" s="19" t="str">
        <x:f>'Predictions'!A24</x:f>
        <x:v>3434</x:v>
      </x:c>
      <x:c r="B24" s="19" t="str">
        <x:f>'Predictions'!B24</x:f>
        <x:v>8737</x:v>
      </x:c>
      <x:c r="C24" s="19" t="str">
        <x:f>'Predictions'!D24</x:f>
        <x:v>Gunpowder Creek Formation</x:v>
      </x:c>
      <x:c r="D24" s="19" t="str">
        <x:f>'Predictions'!E24</x:f>
        <x:v>D Component</x:v>
      </x:c>
      <x:c r="E24" s="19" t="str">
        <x:f>'Predictions'!P24</x:f>
        <x:v>ABSTAIN_IDENTITY</x:v>
      </x:c>
      <x:c r="F24" s="19" t="str">
        <x:f>'Predictions'!Q24</x:f>
      </x:c>
      <x:c r="G24" s="19" t="str">
        <x:f>'Predictions'!S24</x:f>
        <x:v>ABSTAIN_INSUFFICIENT</x:v>
      </x:c>
      <x:c r="H24" s="19" t="str">
        <x:f>'Predictions'!T24</x:f>
      </x:c>
      <x:c r="I24" s="19" t="str">
        <x:f>'Predictions'!M24</x:f>
      </x:c>
      <x:c r="J24" s="19" t="str">
        <x:f>'Predictions'!AB24</x:f>
        <x:v>UNCHANGED</x:v>
      </x:c>
      <x:c r="K24" s="19" t="n">
        <x:f>'Predictions'!U24</x:f>
        <x:v>0</x:v>
      </x:c>
      <x:c r="L24" s="19" t="n">
        <x:f>'Predictions'!N24</x:f>
        <x:v>0</x:v>
      </x:c>
      <x:c r="M24" s="19" t="str">
        <x:f>'Predictions'!AC24</x:f>
        <x:v>UNCHANGED</x:v>
      </x:c>
      <x:c r="N24" s="19" t="str">
        <x:f>'Predictions'!V24</x:f>
        <x:v>PAPER_ROW_MATCH</x:v>
      </x:c>
      <x:c r="O24" s="19" t="str">
        <x:f>'Predictions'!W24</x:f>
        <x:v>component</x:v>
      </x:c>
    </x:row>
    <x:row r="25" ht="42" customHeight="1">
      <x:c r="A25" s="19" t="str">
        <x:f>'Predictions'!A25</x:f>
        <x:v>3434</x:v>
      </x:c>
      <x:c r="B25" s="19" t="str">
        <x:f>'Predictions'!B25</x:f>
        <x:v>8738</x:v>
      </x:c>
      <x:c r="C25" s="19" t="str">
        <x:f>'Predictions'!D25</x:f>
        <x:v>Paradise Creek Formation</x:v>
      </x:c>
      <x:c r="D25" s="19" t="str">
        <x:f>'Predictions'!E25</x:f>
        <x:v>A Component</x:v>
      </x:c>
      <x:c r="E25" s="19" t="str">
        <x:f>'Predictions'!P25</x:f>
        <x:v>PRESENT</x:v>
      </x:c>
      <x:c r="F25" s="19" t="str">
        <x:f>'Predictions'!Q25</x:f>
        <x:v>IRM,SUSC-T</x:v>
      </x:c>
      <x:c r="G25" s="19" t="str">
        <x:f>'Predictions'!S25</x:f>
        <x:v>PRESENT</x:v>
      </x:c>
      <x:c r="H25" s="19" t="str">
        <x:f>'Predictions'!T25</x:f>
        <x:v>IRM,SUSC-T</x:v>
      </x:c>
      <x:c r="I25" s="19" t="str">
        <x:f>'Predictions'!M25</x:f>
      </x:c>
      <x:c r="J25" s="19" t="str">
        <x:f>'Predictions'!AB25</x:f>
        <x:v>UNCHANGED</x:v>
      </x:c>
      <x:c r="K25" s="19" t="n">
        <x:f>'Predictions'!U25</x:f>
        <x:v>1</x:v>
      </x:c>
      <x:c r="L25" s="19" t="n">
        <x:f>'Predictions'!N25</x:f>
        <x:v>0</x:v>
      </x:c>
      <x:c r="M25" s="19" t="str">
        <x:f>'Predictions'!AC25</x:f>
        <x:v>UNCHANGED</x:v>
      </x:c>
      <x:c r="N25" s="19" t="str">
        <x:f>'Predictions'!V25</x:f>
        <x:v>PAPER_ROW_MATCH</x:v>
      </x:c>
      <x:c r="O25" s="19" t="str">
        <x:f>'Predictions'!W25</x:f>
        <x:v>component</x:v>
      </x:c>
    </x:row>
    <x:row r="26" ht="42" customHeight="1">
      <x:c r="A26" s="19" t="str">
        <x:f>'Predictions'!A26</x:f>
        <x:v>3434</x:v>
      </x:c>
      <x:c r="B26" s="19" t="str">
        <x:f>'Predictions'!B26</x:f>
        <x:v>8739</x:v>
      </x:c>
      <x:c r="C26" s="19" t="str">
        <x:f>'Predictions'!D26</x:f>
        <x:v>Esperanza Formation</x:v>
      </x:c>
      <x:c r="D26" s="19" t="str">
        <x:f>'Predictions'!E26</x:f>
        <x:v>A Component</x:v>
      </x:c>
      <x:c r="E26" s="19" t="str">
        <x:f>'Predictions'!P26</x:f>
        <x:v>PRESENT</x:v>
      </x:c>
      <x:c r="F26" s="19" t="str">
        <x:f>'Predictions'!Q26</x:f>
        <x:v>IRM,SUSC-T</x:v>
      </x:c>
      <x:c r="G26" s="19" t="str">
        <x:f>'Predictions'!S26</x:f>
        <x:v>PRESENT</x:v>
      </x:c>
      <x:c r="H26" s="19" t="str">
        <x:f>'Predictions'!T26</x:f>
        <x:v>IRM,SUSC-T</x:v>
      </x:c>
      <x:c r="I26" s="19" t="str">
        <x:f>'Predictions'!M26</x:f>
      </x:c>
      <x:c r="J26" s="19" t="str">
        <x:f>'Predictions'!AB26</x:f>
        <x:v>UNCHANGED</x:v>
      </x:c>
      <x:c r="K26" s="19" t="n">
        <x:f>'Predictions'!U26</x:f>
        <x:v>1</x:v>
      </x:c>
      <x:c r="L26" s="19" t="n">
        <x:f>'Predictions'!N26</x:f>
        <x:v>0</x:v>
      </x:c>
      <x:c r="M26" s="19" t="str">
        <x:f>'Predictions'!AC26</x:f>
        <x:v>UNCHANGED</x:v>
      </x:c>
      <x:c r="N26" s="19" t="str">
        <x:f>'Predictions'!V26</x:f>
        <x:v>PAPER_ROW_MATCH</x:v>
      </x:c>
      <x:c r="O26" s="19" t="str">
        <x:f>'Predictions'!W26</x:f>
        <x:v>component</x:v>
      </x:c>
    </x:row>
    <x:row r="27" ht="42" customHeight="1">
      <x:c r="A27" s="19" t="str">
        <x:f>'Predictions'!A27</x:f>
        <x:v>3434</x:v>
      </x:c>
      <x:c r="B27" s="19" t="str">
        <x:f>'Predictions'!B27</x:f>
        <x:v>8740</x:v>
      </x:c>
      <x:c r="C27" s="19" t="str">
        <x:f>'Predictions'!D27</x:f>
        <x:v>Lawn Hill Formation</x:v>
      </x:c>
      <x:c r="D27" s="19" t="str">
        <x:f>'Predictions'!E27</x:f>
        <x:v>B Component</x:v>
      </x:c>
      <x:c r="E27" s="19" t="str">
        <x:f>'Predictions'!P27</x:f>
        <x:v>PRESENT</x:v>
      </x:c>
      <x:c r="F27" s="19" t="str">
        <x:f>'Predictions'!Q27</x:f>
        <x:v>IRM,SUSC-T</x:v>
      </x:c>
      <x:c r="G27" s="19" t="str">
        <x:f>'Predictions'!S27</x:f>
        <x:v>PRESENT</x:v>
      </x:c>
      <x:c r="H27" s="19" t="str">
        <x:f>'Predictions'!T27</x:f>
        <x:v>IRM,SUSC-T</x:v>
      </x:c>
      <x:c r="I27" s="19" t="str">
        <x:f>'Predictions'!M27</x:f>
      </x:c>
      <x:c r="J27" s="19" t="str">
        <x:f>'Predictions'!AB27</x:f>
        <x:v>UNCHANGED</x:v>
      </x:c>
      <x:c r="K27" s="19" t="n">
        <x:f>'Predictions'!U27</x:f>
        <x:v>1</x:v>
      </x:c>
      <x:c r="L27" s="19" t="n">
        <x:f>'Predictions'!N27</x:f>
        <x:v>0</x:v>
      </x:c>
      <x:c r="M27" s="19" t="str">
        <x:f>'Predictions'!AC27</x:f>
        <x:v>UNCHANGED</x:v>
      </x:c>
      <x:c r="N27" s="19" t="str">
        <x:f>'Predictions'!V27</x:f>
        <x:v>PAPER_ROW_MATCH</x:v>
      </x:c>
      <x:c r="O27" s="19" t="str">
        <x:f>'Predictions'!W27</x:f>
        <x:v>component</x:v>
      </x:c>
    </x:row>
    <x:row r="28" ht="42" customHeight="1">
      <x:c r="A28" s="19" t="str">
        <x:f>'Predictions'!A28</x:f>
        <x:v>3765</x:v>
      </x:c>
      <x:c r="B28" s="19" t="str">
        <x:f>'Predictions'!B28</x:f>
        <x:v>9400</x:v>
      </x:c>
      <x:c r="C28" s="19" t="str">
        <x:f>'Predictions'!D28</x:f>
        <x:v>Allanbridge Formation</x:v>
      </x:c>
      <x:c r="D28" s="19" t="str">
        <x:f>'Predictions'!E28</x:f>
      </x:c>
      <x:c r="E28" s="19" t="str">
        <x:f>'Predictions'!P28</x:f>
        <x:v>ABSTAIN_ANCHOR</x:v>
      </x:c>
      <x:c r="F28" s="19" t="str">
        <x:f>'Predictions'!Q28</x:f>
      </x:c>
      <x:c r="G28" s="19" t="str">
        <x:f>'Predictions'!S28</x:f>
        <x:v>ABSTAIN_ANCHOR</x:v>
      </x:c>
      <x:c r="H28" s="19" t="str">
        <x:f>'Predictions'!T28</x:f>
      </x:c>
      <x:c r="I28" s="19" t="str">
        <x:f>'Predictions'!M28</x:f>
        <x:v>IRM(MAGN)</x:v>
      </x:c>
      <x:c r="J28" s="19" t="str">
        <x:f>'Predictions'!AB28</x:f>
        <x:v>UNCHANGED</x:v>
      </x:c>
      <x:c r="K28" s="19" t="n">
        <x:f>'Predictions'!U28</x:f>
        <x:v>0</x:v>
      </x:c>
      <x:c r="L28" s="19" t="n">
        <x:f>'Predictions'!N28</x:f>
        <x:v>1</x:v>
      </x:c>
      <x:c r="M28" s="19" t="str">
        <x:f>'Predictions'!AC28</x:f>
        <x:v>UNCHANGED</x:v>
      </x:c>
      <x:c r="N28" s="19" t="str">
        <x:f>'Predictions'!V28</x:f>
        <x:v>METADATA_UNIQUE</x:v>
      </x:c>
      <x:c r="O28" s="19" t="str">
        <x:f>'Predictions'!W28</x:f>
      </x:c>
    </x:row>
    <x:row r="29" ht="42" customHeight="1">
      <x:c r="A29" s="19" t="str">
        <x:f>'Predictions'!A29</x:f>
        <x:v>3765</x:v>
      </x:c>
      <x:c r="B29" s="19" t="str">
        <x:f>'Predictions'!B29</x:f>
        <x:v>10019</x:v>
      </x:c>
      <x:c r="C29" s="19" t="str">
        <x:f>'Predictions'!D29</x:f>
        <x:v>Westonaria Basalts</x:v>
      </x:c>
      <x:c r="D29" s="19" t="str">
        <x:f>'Predictions'!E29</x:f>
      </x:c>
      <x:c r="E29" s="19" t="str">
        <x:f>'Predictions'!P29</x:f>
        <x:v>ABSTAIN_INSUFFICIENT</x:v>
      </x:c>
      <x:c r="F29" s="19" t="str">
        <x:f>'Predictions'!Q29</x:f>
      </x:c>
      <x:c r="G29" s="19" t="str">
        <x:f>'Predictions'!S29</x:f>
        <x:v>ABSTAIN_INSUFFICIENT</x:v>
      </x:c>
      <x:c r="H29" s="19" t="str">
        <x:f>'Predictions'!T29</x:f>
      </x:c>
      <x:c r="I29" s="19" t="str">
        <x:f>'Predictions'!M29</x:f>
      </x:c>
      <x:c r="J29" s="19" t="str">
        <x:f>'Predictions'!AB29</x:f>
        <x:v>UNCHANGED</x:v>
      </x:c>
      <x:c r="K29" s="19" t="n">
        <x:f>'Predictions'!U29</x:f>
        <x:v>0</x:v>
      </x:c>
      <x:c r="L29" s="19" t="n">
        <x:f>'Predictions'!N29</x:f>
        <x:v>0</x:v>
      </x:c>
      <x:c r="M29" s="19" t="str">
        <x:f>'Predictions'!AC29</x:f>
        <x:v>UNCHANGED</x:v>
      </x:c>
      <x:c r="N29" s="19" t="str">
        <x:f>'Predictions'!V29</x:f>
        <x:v>METADATA_UNIQUE</x:v>
      </x:c>
      <x:c r="O29" s="19" t="str">
        <x:f>'Predictions'!W29</x:f>
      </x:c>
    </x:row>
    <x:row r="30" ht="42" customHeight="1">
      <x:c r="A30" s="19" t="str">
        <x:f>'Predictions'!A30</x:f>
        <x:v>3774</x:v>
      </x:c>
      <x:c r="B30" s="19" t="str">
        <x:f>'Predictions'!B30</x:f>
        <x:v>9410</x:v>
      </x:c>
      <x:c r="C30" s="19" t="str">
        <x:f>'Predictions'!D30</x:f>
        <x:v>Modipe Gabbro</x:v>
      </x:c>
      <x:c r="D30" s="19" t="str">
        <x:f>'Predictions'!E30</x:f>
      </x:c>
      <x:c r="E30" s="19" t="str">
        <x:f>'Predictions'!P30</x:f>
        <x:v>ABSTAIN_IDENTITY</x:v>
      </x:c>
      <x:c r="F30" s="19" t="str">
        <x:f>'Predictions'!Q30</x:f>
      </x:c>
      <x:c r="G30" s="19" t="str">
        <x:f>'Predictions'!S30</x:f>
        <x:v>PRESENT</x:v>
      </x:c>
      <x:c r="H30" s="19" t="str">
        <x:f>'Predictions'!T30</x:f>
        <x:v>HYST,FORC(PSD/SD MAGN)</x:v>
      </x:c>
      <x:c r="I30" s="19" t="str">
        <x:f>'Predictions'!M30</x:f>
      </x:c>
      <x:c r="J30" s="19" t="str">
        <x:f>'Predictions'!AB30</x:f>
        <x:v>REGRESSED</x:v>
      </x:c>
      <x:c r="K30" s="19" t="n">
        <x:f>'Predictions'!U30</x:f>
        <x:v>1</x:v>
      </x:c>
      <x:c r="L30" s="19" t="n">
        <x:f>'Predictions'!N30</x:f>
        <x:v>0</x:v>
      </x:c>
      <x:c r="M30" s="19" t="str">
        <x:f>'Predictions'!AC30</x:f>
        <x:v>REGRESSED</x:v>
      </x:c>
      <x:c r="N30" s="19" t="str">
        <x:f>'Predictions'!V30</x:f>
        <x:v>PAPER_ROW_MATCH</x:v>
      </x:c>
      <x:c r="O30" s="19" t="str">
        <x:f>'Predictions'!W30</x:f>
        <x:v>direction</x:v>
      </x:c>
    </x:row>
    <x:row r="31" ht="42" customHeight="1">
      <x:c r="A31" s="19" t="str">
        <x:f>'Predictions'!A31</x:f>
        <x:v>3774</x:v>
      </x:c>
      <x:c r="B31" s="19" t="str">
        <x:f>'Predictions'!B31</x:f>
        <x:v>9411</x:v>
      </x:c>
      <x:c r="C31" s="19" t="str">
        <x:f>'Predictions'!D31</x:f>
        <x:v>Modipe Gabbro</x:v>
      </x:c>
      <x:c r="D31" s="19" t="str">
        <x:f>'Predictions'!E31</x:f>
        <x:v>Combined result</x:v>
      </x:c>
      <x:c r="E31" s="19" t="str">
        <x:f>'Predictions'!P31</x:f>
        <x:v>ABSTAIN_IDENTITY</x:v>
      </x:c>
      <x:c r="F31" s="19" t="str">
        <x:f>'Predictions'!Q31</x:f>
      </x:c>
      <x:c r="G31" s="19" t="str">
        <x:f>'Predictions'!S31</x:f>
        <x:v>PRESENT</x:v>
      </x:c>
      <x:c r="H31" s="19" t="str">
        <x:f>'Predictions'!T31</x:f>
        <x:v>HYST,FORC(PSD/SD MAGN)</x:v>
      </x:c>
      <x:c r="I31" s="19" t="str">
        <x:f>'Predictions'!M31</x:f>
        <x:v>IRM(sat.0.3T),OP(fine MAGN - see REFNO 605),Hc(45mT)</x:v>
      </x:c>
      <x:c r="J31" s="19" t="str">
        <x:f>'Predictions'!AB31</x:f>
        <x:v>IMPROVED</x:v>
      </x:c>
      <x:c r="K31" s="19" t="n">
        <x:f>'Predictions'!U31</x:f>
        <x:v>1</x:v>
      </x:c>
      <x:c r="L31" s="19" t="n">
        <x:f>'Predictions'!N31</x:f>
        <x:v>1</x:v>
      </x:c>
      <x:c r="M31" s="19" t="str">
        <x:f>'Predictions'!AC31</x:f>
        <x:v>IMPROVED</x:v>
      </x:c>
      <x:c r="N31" s="19" t="str">
        <x:f>'Predictions'!V31</x:f>
        <x:v>METADATA_UNIQUE</x:v>
      </x:c>
      <x:c r="O31" s="19" t="str">
        <x:f>'Predictions'!W31</x:f>
      </x:c>
    </x:row>
    <x:row r="32" ht="42" customHeight="1">
      <x:c r="A32" s="19" t="str">
        <x:f>'Predictions'!A32</x:f>
        <x:v>3792</x:v>
      </x:c>
      <x:c r="B32" s="19" t="str">
        <x:f>'Predictions'!B32</x:f>
        <x:v>9430</x:v>
      </x:c>
      <x:c r="C32" s="19" t="str">
        <x:f>'Predictions'!D32</x:f>
        <x:v>Y1 Dyke</x:v>
      </x:c>
      <x:c r="D32" s="19" t="str">
        <x:f>'Predictions'!E32</x:f>
      </x:c>
      <x:c r="E32" s="19" t="str">
        <x:f>'Predictions'!P32</x:f>
        <x:v>ABSTAIN_ANCHOR</x:v>
      </x:c>
      <x:c r="F32" s="19" t="str">
        <x:f>'Predictions'!Q32</x:f>
      </x:c>
      <x:c r="G32" s="19" t="str">
        <x:f>'Predictions'!S32</x:f>
        <x:v>ABSTAIN_ANCHOR</x:v>
      </x:c>
      <x:c r="H32" s="19" t="str">
        <x:f>'Predictions'!T32</x:f>
      </x:c>
      <x:c r="I32" s="19" t="str">
        <x:f>'Predictions'!M32</x:f>
        <x:v>SUSC-T(MAGN)</x:v>
      </x:c>
      <x:c r="J32" s="19" t="str">
        <x:f>'Predictions'!AB32</x:f>
        <x:v>UNCHANGED</x:v>
      </x:c>
      <x:c r="K32" s="19" t="n">
        <x:f>'Predictions'!U32</x:f>
        <x:v>0</x:v>
      </x:c>
      <x:c r="L32" s="19" t="n">
        <x:f>'Predictions'!N32</x:f>
        <x:v>1</x:v>
      </x:c>
      <x:c r="M32" s="19" t="str">
        <x:f>'Predictions'!AC32</x:f>
        <x:v>UNCHANGED</x:v>
      </x:c>
      <x:c r="N32" s="19" t="str">
        <x:f>'Predictions'!V32</x:f>
        <x:v>METADATA_UNIQUE</x:v>
      </x:c>
      <x:c r="O32" s="19" t="str">
        <x:f>'Predictions'!W32</x:f>
      </x:c>
    </x:row>
    <x:row r="33" ht="42" customHeight="1">
      <x:c r="A33" s="19" t="str">
        <x:f>'Predictions'!A33</x:f>
        <x:v>3792</x:v>
      </x:c>
      <x:c r="B33" s="19" t="str">
        <x:f>'Predictions'!B33</x:f>
        <x:v>9431</x:v>
      </x:c>
      <x:c r="C33" s="19" t="str">
        <x:f>'Predictions'!D33</x:f>
        <x:v>Y2 Dyke</x:v>
      </x:c>
      <x:c r="D33" s="19" t="str">
        <x:f>'Predictions'!E33</x:f>
      </x:c>
      <x:c r="E33" s="19" t="str">
        <x:f>'Predictions'!P33</x:f>
        <x:v>ABSTAIN_ANCHOR</x:v>
      </x:c>
      <x:c r="F33" s="19" t="str">
        <x:f>'Predictions'!Q33</x:f>
      </x:c>
      <x:c r="G33" s="19" t="str">
        <x:f>'Predictions'!S33</x:f>
        <x:v>ABSTAIN_ANCHOR</x:v>
      </x:c>
      <x:c r="H33" s="19" t="str">
        <x:f>'Predictions'!T33</x:f>
      </x:c>
      <x:c r="I33" s="19" t="str">
        <x:f>'Predictions'!M33</x:f>
        <x:v>SUSC-T(MAGN)</x:v>
      </x:c>
      <x:c r="J33" s="19" t="str">
        <x:f>'Predictions'!AB33</x:f>
        <x:v>UNCHANGED</x:v>
      </x:c>
      <x:c r="K33" s="19" t="n">
        <x:f>'Predictions'!U33</x:f>
        <x:v>0</x:v>
      </x:c>
      <x:c r="L33" s="19" t="n">
        <x:f>'Predictions'!N33</x:f>
        <x:v>1</x:v>
      </x:c>
      <x:c r="M33" s="19" t="str">
        <x:f>'Predictions'!AC33</x:f>
        <x:v>UNCHANGED</x:v>
      </x:c>
      <x:c r="N33" s="19" t="str">
        <x:f>'Predictions'!V33</x:f>
        <x:v>METADATA_UNIQUE</x:v>
      </x:c>
      <x:c r="O33" s="19" t="str">
        <x:f>'Predictions'!W33</x:f>
      </x:c>
    </x:row>
    <x:row r="34" ht="42" customHeight="1">
      <x:c r="A34" s="19" t="str">
        <x:f>'Predictions'!A34</x:f>
        <x:v>3792</x:v>
      </x:c>
      <x:c r="B34" s="19" t="str">
        <x:f>'Predictions'!B34</x:f>
        <x:v>9432</x:v>
      </x:c>
      <x:c r="C34" s="19" t="str">
        <x:f>'Predictions'!D34</x:f>
        <x:v>Falun Dyke</x:v>
      </x:c>
      <x:c r="D34" s="19" t="str">
        <x:f>'Predictions'!E34</x:f>
      </x:c>
      <x:c r="E34" s="19" t="str">
        <x:f>'Predictions'!P34</x:f>
        <x:v>ABSTAIN_INSUFFICIENT</x:v>
      </x:c>
      <x:c r="F34" s="19" t="str">
        <x:f>'Predictions'!Q34</x:f>
      </x:c>
      <x:c r="G34" s="19" t="str">
        <x:f>'Predictions'!S34</x:f>
        <x:v>ABSTAIN_INSUFFICIENT</x:v>
      </x:c>
      <x:c r="H34" s="19" t="str">
        <x:f>'Predictions'!T34</x:f>
      </x:c>
      <x:c r="I34" s="19" t="str">
        <x:f>'Predictions'!M34</x:f>
        <x:v>SUSC-T(MAGN)</x:v>
      </x:c>
      <x:c r="J34" s="19" t="str">
        <x:f>'Predictions'!AB34</x:f>
        <x:v>UNCHANGED</x:v>
      </x:c>
      <x:c r="K34" s="19" t="n">
        <x:f>'Predictions'!U34</x:f>
        <x:v>0</x:v>
      </x:c>
      <x:c r="L34" s="19" t="n">
        <x:f>'Predictions'!N34</x:f>
        <x:v>1</x:v>
      </x:c>
      <x:c r="M34" s="19" t="str">
        <x:f>'Predictions'!AC34</x:f>
        <x:v>UNCHANGED</x:v>
      </x:c>
      <x:c r="N34" s="19" t="str">
        <x:f>'Predictions'!V34</x:f>
        <x:v>METADATA_UNIQUE</x:v>
      </x:c>
      <x:c r="O34" s="19" t="str">
        <x:f>'Predictions'!W34</x:f>
      </x:c>
    </x:row>
    <x:row r="35" ht="42" customHeight="1">
      <x:c r="A35" s="19" t="str">
        <x:f>'Predictions'!A35</x:f>
        <x:v>3792</x:v>
      </x:c>
      <x:c r="B35" s="19" t="str">
        <x:f>'Predictions'!B35</x:f>
        <x:v>9433</x:v>
      </x:c>
      <x:c r="C35" s="19" t="str">
        <x:f>'Predictions'!D35</x:f>
        <x:v>MEAN 946-935 Ma Swedish Dolerites</x:v>
      </x:c>
      <x:c r="D35" s="19" t="str">
        <x:f>'Predictions'!E35</x:f>
        <x:v>Combined result</x:v>
      </x:c>
      <x:c r="E35" s="19" t="str">
        <x:f>'Predictions'!P35</x:f>
        <x:v>ABSTAIN_INSUFFICIENT</x:v>
      </x:c>
      <x:c r="F35" s="19" t="str">
        <x:f>'Predictions'!Q35</x:f>
      </x:c>
      <x:c r="G35" s="19" t="str">
        <x:f>'Predictions'!S35</x:f>
        <x:v>ABSTAIN_INSUFFICIENT</x:v>
      </x:c>
      <x:c r="H35" s="19" t="str">
        <x:f>'Predictions'!T35</x:f>
      </x:c>
      <x:c r="I35" s="19" t="str">
        <x:f>'Predictions'!M35</x:f>
      </x:c>
      <x:c r="J35" s="19" t="str">
        <x:f>'Predictions'!AB35</x:f>
        <x:v>UNCHANGED</x:v>
      </x:c>
      <x:c r="K35" s="19" t="n">
        <x:f>'Predictions'!U35</x:f>
        <x:v>0</x:v>
      </x:c>
      <x:c r="L35" s="19" t="n">
        <x:f>'Predictions'!N35</x:f>
        <x:v>0</x:v>
      </x:c>
      <x:c r="M35" s="19" t="str">
        <x:f>'Predictions'!AC35</x:f>
        <x:v>UNCHANGED</x:v>
      </x:c>
      <x:c r="N35" s="19" t="str">
        <x:f>'Predictions'!V35</x:f>
        <x:v>METADATA_UNIQUE</x:v>
      </x:c>
      <x:c r="O35" s="19" t="str">
        <x:f>'Predictions'!W35</x:f>
      </x:c>
    </x:row>
    <x:row r="36" ht="42" customHeight="1">
      <x:c r="A36" s="19" t="str">
        <x:f>'Predictions'!A36</x:f>
        <x:v>3792</x:v>
      </x:c>
      <x:c r="B36" s="19" t="str">
        <x:f>'Predictions'!B36</x:f>
        <x:v>9434</x:v>
      </x:c>
      <x:c r="C36" s="19" t="str">
        <x:f>'Predictions'!D36</x:f>
        <x:v>Norrkoping Dykes</x:v>
      </x:c>
      <x:c r="D36" s="19" t="str">
        <x:f>'Predictions'!E36</x:f>
      </x:c>
      <x:c r="E36" s="19" t="str">
        <x:f>'Predictions'!P36</x:f>
        <x:v>ABSTAIN_INSUFFICIENT</x:v>
      </x:c>
      <x:c r="F36" s="19" t="str">
        <x:f>'Predictions'!Q36</x:f>
      </x:c>
      <x:c r="G36" s="19" t="str">
        <x:f>'Predictions'!S36</x:f>
        <x:v>ABSTAIN_INSUFFICIENT</x:v>
      </x:c>
      <x:c r="H36" s="19" t="str">
        <x:f>'Predictions'!T36</x:f>
      </x:c>
      <x:c r="I36" s="19" t="str">
        <x:f>'Predictions'!M36</x:f>
        <x:v>SUSC-T(MAGN)</x:v>
      </x:c>
      <x:c r="J36" s="19" t="str">
        <x:f>'Predictions'!AB36</x:f>
        <x:v>UNCHANGED</x:v>
      </x:c>
      <x:c r="K36" s="19" t="n">
        <x:f>'Predictions'!U36</x:f>
        <x:v>0</x:v>
      </x:c>
      <x:c r="L36" s="19" t="n">
        <x:f>'Predictions'!N36</x:f>
        <x:v>1</x:v>
      </x:c>
      <x:c r="M36" s="19" t="str">
        <x:f>'Predictions'!AC36</x:f>
        <x:v>UNCHANGED</x:v>
      </x:c>
      <x:c r="N36" s="19" t="str">
        <x:f>'Predictions'!V36</x:f>
        <x:v>METADATA_UNIQUE</x:v>
      </x:c>
      <x:c r="O36" s="19" t="str">
        <x:f>'Predictions'!W36</x:f>
      </x:c>
    </x:row>
    <x:row r="37" ht="42" customHeight="1">
      <x:c r="A37" s="19" t="str">
        <x:f>'Predictions'!A37</x:f>
        <x:v>3792</x:v>
      </x:c>
      <x:c r="B37" s="19" t="str">
        <x:f>'Predictions'!B37</x:f>
        <x:v>9435</x:v>
      </x:c>
      <x:c r="C37" s="19" t="str">
        <x:f>'Predictions'!D37</x:f>
        <x:v>Rejmyre Dyke</x:v>
      </x:c>
      <x:c r="D37" s="19" t="str">
        <x:f>'Predictions'!E37</x:f>
      </x:c>
      <x:c r="E37" s="19" t="str">
        <x:f>'Predictions'!P37</x:f>
        <x:v>ABSTAIN_INSUFFICIENT</x:v>
      </x:c>
      <x:c r="F37" s="19" t="str">
        <x:f>'Predictions'!Q37</x:f>
      </x:c>
      <x:c r="G37" s="19" t="str">
        <x:f>'Predictions'!S37</x:f>
        <x:v>ABSTAIN_INSUFFICIENT</x:v>
      </x:c>
      <x:c r="H37" s="19" t="str">
        <x:f>'Predictions'!T37</x:f>
      </x:c>
      <x:c r="I37" s="19" t="str">
        <x:f>'Predictions'!M37</x:f>
      </x:c>
      <x:c r="J37" s="19" t="str">
        <x:f>'Predictions'!AB37</x:f>
        <x:v>UNCHANGED</x:v>
      </x:c>
      <x:c r="K37" s="19" t="n">
        <x:f>'Predictions'!U37</x:f>
        <x:v>0</x:v>
      </x:c>
      <x:c r="L37" s="19" t="n">
        <x:f>'Predictions'!N37</x:f>
        <x:v>0</x:v>
      </x:c>
      <x:c r="M37" s="19" t="str">
        <x:f>'Predictions'!AC37</x:f>
        <x:v>UNCHANGED</x:v>
      </x:c>
      <x:c r="N37" s="19" t="str">
        <x:f>'Predictions'!V37</x:f>
        <x:v>METADATA_UNIQUE</x:v>
      </x:c>
      <x:c r="O37" s="19" t="str">
        <x:f>'Predictions'!W37</x:f>
      </x:c>
    </x:row>
    <x:row r="38" ht="42" customHeight="1">
      <x:c r="A38" s="19" t="str">
        <x:f>'Predictions'!A38</x:f>
        <x:v>4168</x:v>
      </x:c>
      <x:c r="B38" s="19" t="str">
        <x:f>'Predictions'!B38</x:f>
        <x:v>10005</x:v>
      </x:c>
      <x:c r="C38" s="19" t="str">
        <x:f>'Predictions'!D38</x:f>
        <x:v>Kopparnäs Dykes</x:v>
      </x:c>
      <x:c r="D38" s="19" t="str">
        <x:f>'Predictions'!E38</x:f>
      </x:c>
      <x:c r="E38" s="19" t="str">
        <x:f>'Predictions'!P38</x:f>
        <x:v>PRESENT</x:v>
      </x:c>
      <x:c r="F38" s="19" t="str">
        <x:f>'Predictions'!Q38</x:f>
        <x:v>IRM,SUSC-T,HYST,SEM,OP(TM,PYRR,ILM,MAGN)</x:v>
      </x:c>
      <x:c r="G38" s="19" t="str">
        <x:f>'Predictions'!S38</x:f>
        <x:v>PRESENT</x:v>
      </x:c>
      <x:c r="H38" s="19" t="str">
        <x:f>'Predictions'!T38</x:f>
        <x:v>IRM,SUSC-T,HYST,SEM,OP(TM,PYRR,ILM,MAGN)</x:v>
      </x:c>
      <x:c r="I38" s="19" t="str">
        <x:f>'Predictions'!M38</x:f>
        <x:v>SUSC-T,3-axis Jrs-T, IRM (MAGN,TM)</x:v>
      </x:c>
      <x:c r="J38" s="19" t="str">
        <x:f>'Predictions'!AB38</x:f>
        <x:v>UNCHANGED</x:v>
      </x:c>
      <x:c r="K38" s="19" t="n">
        <x:f>'Predictions'!U38</x:f>
        <x:v>1</x:v>
      </x:c>
      <x:c r="L38" s="19" t="n">
        <x:f>'Predictions'!N38</x:f>
        <x:v>1</x:v>
      </x:c>
      <x:c r="M38" s="19" t="str">
        <x:f>'Predictions'!AC38</x:f>
        <x:v>UNCHANGED</x:v>
      </x:c>
      <x:c r="N38" s="19" t="str">
        <x:f>'Predictions'!V38</x:f>
        <x:v>PAPER_ROW_MATCH</x:v>
      </x:c>
      <x:c r="O38" s="19" t="str">
        <x:f>'Predictions'!W38</x:f>
        <x:v>direction, pole</x:v>
      </x:c>
    </x:row>
    <x:row r="39" ht="42" customHeight="1">
      <x:c r="A39" s="19" t="str">
        <x:f>'Predictions'!A39</x:f>
        <x:v>4168</x:v>
      </x:c>
      <x:c r="B39" s="19" t="str">
        <x:f>'Predictions'!B39</x:f>
        <x:v>10006</x:v>
      </x:c>
      <x:c r="C39" s="19" t="str">
        <x:f>'Predictions'!D39</x:f>
        <x:v>Ragunda Dykes, Group 2+host</x:v>
      </x:c>
      <x:c r="D39" s="19" t="str">
        <x:f>'Predictions'!E39</x:f>
      </x:c>
      <x:c r="E39" s="19" t="str">
        <x:f>'Predictions'!P39</x:f>
        <x:v>PRESENT</x:v>
      </x:c>
      <x:c r="F39" s="19" t="str">
        <x:f>'Predictions'!Q39</x:f>
        <x:v>IRM,SUSC-T,HYST(PYRR,MAGN,TM)</x:v>
      </x:c>
      <x:c r="G39" s="19" t="str">
        <x:f>'Predictions'!S39</x:f>
        <x:v>PRESENT</x:v>
      </x:c>
      <x:c r="H39" s="19" t="str">
        <x:f>'Predictions'!T39</x:f>
        <x:v>IRM,SUSC-T,HYST(PYRR,MAGN,TM)</x:v>
      </x:c>
      <x:c r="I39" s="19" t="str">
        <x:f>'Predictions'!M39</x:f>
        <x:v>SUSC-T,3-axis Jrs-T, IRM (MAGN,TM)</x:v>
      </x:c>
      <x:c r="J39" s="19" t="str">
        <x:f>'Predictions'!AB39</x:f>
        <x:v>UNCHANGED</x:v>
      </x:c>
      <x:c r="K39" s="19" t="n">
        <x:f>'Predictions'!U39</x:f>
        <x:v>1</x:v>
      </x:c>
      <x:c r="L39" s="19" t="n">
        <x:f>'Predictions'!N39</x:f>
        <x:v>1</x:v>
      </x:c>
      <x:c r="M39" s="19" t="str">
        <x:f>'Predictions'!AC39</x:f>
        <x:v>UNCHANGED</x:v>
      </x:c>
      <x:c r="N39" s="19" t="str">
        <x:f>'Predictions'!V39</x:f>
        <x:v>PAPER_ROW_MATCH</x:v>
      </x:c>
      <x:c r="O39" s="19" t="str">
        <x:f>'Predictions'!W39</x:f>
        <x:v>direction, pole</x:v>
      </x:c>
    </x:row>
    <x:row r="40" ht="42" customHeight="1">
      <x:c r="A40" s="19" t="str">
        <x:f>'Predictions'!A40</x:f>
        <x:v>4168</x:v>
      </x:c>
      <x:c r="B40" s="19" t="str">
        <x:f>'Predictions'!B40</x:f>
        <x:v>10007</x:v>
      </x:c>
      <x:c r="C40" s="19" t="str">
        <x:f>'Predictions'!D40</x:f>
        <x:v>Ragunda Dykes, Group 1</x:v>
      </x:c>
      <x:c r="D40" s="19" t="str">
        <x:f>'Predictions'!E40</x:f>
      </x:c>
      <x:c r="E40" s="19" t="str">
        <x:f>'Predictions'!P40</x:f>
        <x:v>ABSENT</x:v>
      </x:c>
      <x:c r="F40" s="19" t="str">
        <x:f>'Predictions'!Q40</x:f>
      </x:c>
      <x:c r="G40" s="19" t="str">
        <x:f>'Predictions'!S40</x:f>
        <x:v>ABSENT</x:v>
      </x:c>
      <x:c r="H40" s="19" t="str">
        <x:f>'Predictions'!T40</x:f>
      </x:c>
      <x:c r="I40" s="19" t="str">
        <x:f>'Predictions'!M40</x:f>
        <x:v>SUSC-T,3-axis Jrs-T, IRM (MAGN,TM)</x:v>
      </x:c>
      <x:c r="J40" s="19" t="str">
        <x:f>'Predictions'!AB40</x:f>
        <x:v>UNCHANGED</x:v>
      </x:c>
      <x:c r="K40" s="19" t="n">
        <x:f>'Predictions'!U40</x:f>
        <x:v>0</x:v>
      </x:c>
      <x:c r="L40" s="19" t="n">
        <x:f>'Predictions'!N40</x:f>
        <x:v>1</x:v>
      </x:c>
      <x:c r="M40" s="19" t="str">
        <x:f>'Predictions'!AC40</x:f>
        <x:v>UNCHANGED</x:v>
      </x:c>
      <x:c r="N40" s="19" t="str">
        <x:f>'Predictions'!V40</x:f>
        <x:v>METADATA_UNIQUE</x:v>
      </x:c>
      <x:c r="O40" s="19" t="str">
        <x:f>'Predictions'!W40</x:f>
      </x:c>
    </x:row>
    <x:row r="41" ht="42" customHeight="1">
      <x:c r="A41" s="19" t="str">
        <x:f>'Predictions'!A41</x:f>
        <x:v>4168</x:v>
      </x:c>
      <x:c r="B41" s="19" t="str">
        <x:f>'Predictions'!B41</x:f>
        <x:v>10008</x:v>
      </x:c>
      <x:c r="C41" s="19" t="str">
        <x:f>'Predictions'!D41</x:f>
        <x:v>Strömsbro Rapakivi Complex</x:v>
      </x:c>
      <x:c r="D41" s="19" t="str">
        <x:f>'Predictions'!E41</x:f>
      </x:c>
      <x:c r="E41" s="19" t="str">
        <x:f>'Predictions'!P41</x:f>
        <x:v>ABSTAIN_ANCHOR</x:v>
      </x:c>
      <x:c r="F41" s="19" t="str">
        <x:f>'Predictions'!Q41</x:f>
      </x:c>
      <x:c r="G41" s="19" t="str">
        <x:f>'Predictions'!S41</x:f>
        <x:v>ABSTAIN_INSUFFICIENT</x:v>
      </x:c>
      <x:c r="H41" s="19" t="str">
        <x:f>'Predictions'!T41</x:f>
      </x:c>
      <x:c r="I41" s="19" t="str">
        <x:f>'Predictions'!M41</x:f>
        <x:v>SUSC-T,3-axis Jrs-T, IRM (MAGN,TM)</x:v>
      </x:c>
      <x:c r="J41" s="19" t="str">
        <x:f>'Predictions'!AB41</x:f>
        <x:v>UNCHANGED</x:v>
      </x:c>
      <x:c r="K41" s="19" t="n">
        <x:f>'Predictions'!U41</x:f>
        <x:v>0</x:v>
      </x:c>
      <x:c r="L41" s="19" t="n">
        <x:f>'Predictions'!N41</x:f>
        <x:v>1</x:v>
      </x:c>
      <x:c r="M41" s="19" t="str">
        <x:f>'Predictions'!AC41</x:f>
        <x:v>UNCHANGED</x:v>
      </x:c>
      <x:c r="N41" s="19" t="str">
        <x:f>'Predictions'!V41</x:f>
        <x:v>PAPER_ROW_MATCH</x:v>
      </x:c>
      <x:c r="O41" s="19" t="str">
        <x:f>'Predictions'!W41</x:f>
        <x:v>pole</x:v>
      </x:c>
    </x:row>
    <x:row r="42" ht="42" customHeight="1">
      <x:c r="A42" s="19" t="str">
        <x:f>'Predictions'!A42</x:f>
        <x:v>4168</x:v>
      </x:c>
      <x:c r="B42" s="19" t="str">
        <x:f>'Predictions'!B42</x:f>
        <x:v>10009</x:v>
      </x:c>
      <x:c r="C42" s="19" t="str">
        <x:f>'Predictions'!D42</x:f>
        <x:v>Strömsbro Dykes</x:v>
      </x:c>
      <x:c r="D42" s="19" t="str">
        <x:f>'Predictions'!E42</x:f>
      </x:c>
      <x:c r="E42" s="19" t="str">
        <x:f>'Predictions'!P42</x:f>
        <x:v>ABSTAIN_ANCHOR</x:v>
      </x:c>
      <x:c r="F42" s="19" t="str">
        <x:f>'Predictions'!Q42</x:f>
      </x:c>
      <x:c r="G42" s="19" t="str">
        <x:f>'Predictions'!S42</x:f>
        <x:v>ABSTAIN_INSUFFICIENT</x:v>
      </x:c>
      <x:c r="H42" s="19" t="str">
        <x:f>'Predictions'!T42</x:f>
      </x:c>
      <x:c r="I42" s="19" t="str">
        <x:f>'Predictions'!M42</x:f>
        <x:v>SUSC-T,3-axis Jrs-T, IRM (MAGN,TM)</x:v>
      </x:c>
      <x:c r="J42" s="19" t="str">
        <x:f>'Predictions'!AB42</x:f>
        <x:v>UNCHANGED</x:v>
      </x:c>
      <x:c r="K42" s="19" t="n">
        <x:f>'Predictions'!U42</x:f>
        <x:v>0</x:v>
      </x:c>
      <x:c r="L42" s="19" t="n">
        <x:f>'Predictions'!N42</x:f>
        <x:v>0</x:v>
      </x:c>
      <x:c r="M42" s="19" t="str">
        <x:f>'Predictions'!AC42</x:f>
        <x:v>UNCHANGED</x:v>
      </x:c>
      <x:c r="N42" s="19" t="str">
        <x:f>'Predictions'!V42</x:f>
        <x:v>PAPER_ROW_MATCH</x:v>
      </x:c>
      <x:c r="O42" s="19" t="str">
        <x:f>'Predictions'!W42</x:f>
        <x:v>pole</x:v>
      </x:c>
    </x:row>
    <x:row r="43" ht="42" customHeight="1">
      <x:c r="A43" s="19" t="str">
        <x:f>'Predictions'!A43</x:f>
        <x:v>4168</x:v>
      </x:c>
      <x:c r="B43" s="19" t="str">
        <x:f>'Predictions'!B43</x:f>
        <x:v>10010</x:v>
      </x:c>
      <x:c r="C43" s="19" t="str">
        <x:f>'Predictions'!D43</x:f>
        <x:v>Rödö Rapakivi Complex</x:v>
      </x:c>
      <x:c r="D43" s="19" t="str">
        <x:f>'Predictions'!E43</x:f>
      </x:c>
      <x:c r="E43" s="19" t="str">
        <x:f>'Predictions'!P43</x:f>
        <x:v>ABSTAIN_ANCHOR</x:v>
      </x:c>
      <x:c r="F43" s="19" t="str">
        <x:f>'Predictions'!Q43</x:f>
      </x:c>
      <x:c r="G43" s="19" t="str">
        <x:f>'Predictions'!S43</x:f>
        <x:v>ABSTAIN_INSUFFICIENT</x:v>
      </x:c>
      <x:c r="H43" s="19" t="str">
        <x:f>'Predictions'!T43</x:f>
      </x:c>
      <x:c r="I43" s="19" t="str">
        <x:f>'Predictions'!M43</x:f>
        <x:v>SUSC-T,3-axis Jrs-T, IRM (MAGN,TM)</x:v>
      </x:c>
      <x:c r="J43" s="19" t="str">
        <x:f>'Predictions'!AB43</x:f>
        <x:v>UNCHANGED</x:v>
      </x:c>
      <x:c r="K43" s="19" t="n">
        <x:f>'Predictions'!U43</x:f>
        <x:v>0</x:v>
      </x:c>
      <x:c r="L43" s="19" t="n">
        <x:f>'Predictions'!N43</x:f>
        <x:v>1</x:v>
      </x:c>
      <x:c r="M43" s="19" t="str">
        <x:f>'Predictions'!AC43</x:f>
        <x:v>UNCHANGED</x:v>
      </x:c>
      <x:c r="N43" s="19" t="str">
        <x:f>'Predictions'!V43</x:f>
        <x:v>PAPER_ROW_MATCH</x:v>
      </x:c>
      <x:c r="O43" s="19" t="str">
        <x:f>'Predictions'!W43</x:f>
        <x:v>direction, pole</x:v>
      </x:c>
    </x:row>
    <x:row r="44" ht="42" customHeight="1">
      <x:c r="A44" s="19" t="str">
        <x:f>'Predictions'!A44</x:f>
        <x:v>4168</x:v>
      </x:c>
      <x:c r="B44" s="19" t="str">
        <x:f>'Predictions'!B44</x:f>
        <x:v>10011</x:v>
      </x:c>
      <x:c r="C44" s="19" t="str">
        <x:f>'Predictions'!D44</x:f>
        <x:v>Rödö Dykes</x:v>
      </x:c>
      <x:c r="D44" s="19" t="str">
        <x:f>'Predictions'!E44</x:f>
      </x:c>
      <x:c r="E44" s="19" t="str">
        <x:f>'Predictions'!P44</x:f>
        <x:v>ABSTAIN_ANCHOR</x:v>
      </x:c>
      <x:c r="F44" s="19" t="str">
        <x:f>'Predictions'!Q44</x:f>
      </x:c>
      <x:c r="G44" s="19" t="str">
        <x:f>'Predictions'!S44</x:f>
        <x:v>ABSTAIN_INSUFFICIENT</x:v>
      </x:c>
      <x:c r="H44" s="19" t="str">
        <x:f>'Predictions'!T44</x:f>
      </x:c>
      <x:c r="I44" s="19" t="str">
        <x:f>'Predictions'!M44</x:f>
        <x:v>SUSC-T,3-axis Jrs-T, IRM (MAGN,TM)</x:v>
      </x:c>
      <x:c r="J44" s="19" t="str">
        <x:f>'Predictions'!AB44</x:f>
        <x:v>UNCHANGED</x:v>
      </x:c>
      <x:c r="K44" s="19" t="n">
        <x:f>'Predictions'!U44</x:f>
        <x:v>0</x:v>
      </x:c>
      <x:c r="L44" s="19" t="n">
        <x:f>'Predictions'!N44</x:f>
        <x:v>1</x:v>
      </x:c>
      <x:c r="M44" s="19" t="str">
        <x:f>'Predictions'!AC44</x:f>
        <x:v>UNCHANGED</x:v>
      </x:c>
      <x:c r="N44" s="19" t="str">
        <x:f>'Predictions'!V44</x:f>
        <x:v>PAPER_ROW_MATCH</x:v>
      </x:c>
      <x:c r="O44" s="19" t="str">
        <x:f>'Predictions'!W44</x:f>
        <x:v>pole</x:v>
      </x:c>
    </x:row>
    <x:row r="45" ht="42" customHeight="1">
      <x:c r="A45" s="19" t="str">
        <x:f>'Predictions'!A45</x:f>
        <x:v>4168</x:v>
      </x:c>
      <x:c r="B45" s="19" t="str">
        <x:f>'Predictions'!B45</x:f>
        <x:v>10012</x:v>
      </x:c>
      <x:c r="C45" s="19" t="str">
        <x:f>'Predictions'!D45</x:f>
        <x:v>Noran Rapakivi Complex</x:v>
      </x:c>
      <x:c r="D45" s="19" t="str">
        <x:f>'Predictions'!E45</x:f>
      </x:c>
      <x:c r="E45" s="19" t="str">
        <x:f>'Predictions'!P45</x:f>
        <x:v>PRESENT</x:v>
      </x:c>
      <x:c r="F45" s="19" t="str">
        <x:f>'Predictions'!Q45</x:f>
        <x:v>SUSC-T(MAGN,TM,PYRR)</x:v>
      </x:c>
      <x:c r="G45" s="19" t="str">
        <x:f>'Predictions'!S45</x:f>
        <x:v>PRESENT</x:v>
      </x:c>
      <x:c r="H45" s="19" t="str">
        <x:f>'Predictions'!T45</x:f>
        <x:v>SUSC-T(MAGN,TM,PYRR)</x:v>
      </x:c>
      <x:c r="I45" s="19" t="str">
        <x:f>'Predictions'!M45</x:f>
        <x:v>SUSC-T,3-axis Jrs-T, IRM (MAGN,TM)</x:v>
      </x:c>
      <x:c r="J45" s="19" t="str">
        <x:f>'Predictions'!AB45</x:f>
        <x:v>UNCHANGED</x:v>
      </x:c>
      <x:c r="K45" s="19" t="n">
        <x:f>'Predictions'!U45</x:f>
        <x:v>1</x:v>
      </x:c>
      <x:c r="L45" s="19" t="n">
        <x:f>'Predictions'!N45</x:f>
        <x:v>1</x:v>
      </x:c>
      <x:c r="M45" s="19" t="str">
        <x:f>'Predictions'!AC45</x:f>
        <x:v>UNCHANGED</x:v>
      </x:c>
      <x:c r="N45" s="19" t="str">
        <x:f>'Predictions'!V45</x:f>
        <x:v>PAPER_ROW_MATCH</x:v>
      </x:c>
      <x:c r="O45" s="19" t="str">
        <x:f>'Predictions'!W45</x:f>
        <x:v>pole</x:v>
      </x:c>
    </x:row>
    <x:row r="46" ht="42" customHeight="1">
      <x:c r="A46" s="19" t="str">
        <x:f>'Predictions'!A46</x:f>
        <x:v>4181</x:v>
      </x:c>
      <x:c r="B46" s="19" t="str">
        <x:f>'Predictions'!B46</x:f>
        <x:v>10029</x:v>
      </x:c>
      <x:c r="C46" s="19" t="str">
        <x:f>'Predictions'!D46</x:f>
        <x:v>Bull Arm Formation, Bonavista</x:v>
      </x:c>
      <x:c r="D46" s="19" t="str">
        <x:f>'Predictions'!E46</x:f>
      </x:c>
      <x:c r="E46" s="19" t="str">
        <x:f>'Predictions'!P46</x:f>
        <x:v>ABSTAIN_INSUFFICIENT</x:v>
      </x:c>
      <x:c r="F46" s="19" t="str">
        <x:f>'Predictions'!Q46</x:f>
      </x:c>
      <x:c r="G46" s="19" t="str">
        <x:f>'Predictions'!S46</x:f>
        <x:v>ABSTAIN_INSUFFICIENT</x:v>
      </x:c>
      <x:c r="H46" s="19" t="str">
        <x:f>'Predictions'!T46</x:f>
      </x:c>
      <x:c r="I46" s="19" t="str">
        <x:f>'Predictions'!M46</x:f>
        <x:v>SUSC-T,OP(MAGN,HEM)</x:v>
      </x:c>
      <x:c r="J46" s="19" t="str">
        <x:f>'Predictions'!AB46</x:f>
        <x:v>UNCHANGED</x:v>
      </x:c>
      <x:c r="K46" s="19" t="n">
        <x:f>'Predictions'!U46</x:f>
        <x:v>0</x:v>
      </x:c>
      <x:c r="L46" s="19" t="n">
        <x:f>'Predictions'!N46</x:f>
        <x:v>1</x:v>
      </x:c>
      <x:c r="M46" s="19" t="str">
        <x:f>'Predictions'!AC46</x:f>
        <x:v>UNCHANGED</x:v>
      </x:c>
      <x:c r="N46" s="19" t="str">
        <x:f>'Predictions'!V46</x:f>
        <x:v>METADATA_UNIQUE</x:v>
      </x:c>
      <x:c r="O46" s="19" t="str">
        <x:f>'Predictions'!W46</x:f>
      </x:c>
    </x:row>
    <x:row r="47" ht="42" customHeight="1">
      <x:c r="A47" s="19" t="str">
        <x:f>'Predictions'!A47</x:f>
        <x:v>4181</x:v>
      </x:c>
      <x:c r="B47" s="19" t="str">
        <x:f>'Predictions'!B47</x:f>
        <x:v>10030</x:v>
      </x:c>
      <x:c r="C47" s="19" t="str">
        <x:f>'Predictions'!D47</x:f>
        <x:v>Crown Hill Formation</x:v>
      </x:c>
      <x:c r="D47" s="19" t="str">
        <x:f>'Predictions'!E47</x:f>
      </x:c>
      <x:c r="E47" s="19" t="str">
        <x:f>'Predictions'!P47</x:f>
        <x:v>ABSTAIN_INSUFFICIENT</x:v>
      </x:c>
      <x:c r="F47" s="19" t="str">
        <x:f>'Predictions'!Q47</x:f>
      </x:c>
      <x:c r="G47" s="19" t="str">
        <x:f>'Predictions'!S47</x:f>
        <x:v>ABSTAIN_INSUFFICIENT</x:v>
      </x:c>
      <x:c r="H47" s="19" t="str">
        <x:f>'Predictions'!T47</x:f>
      </x:c>
      <x:c r="I47" s="19" t="str">
        <x:f>'Predictions'!M47</x:f>
      </x:c>
      <x:c r="J47" s="19" t="str">
        <x:f>'Predictions'!AB47</x:f>
        <x:v>UNCHANGED</x:v>
      </x:c>
      <x:c r="K47" s="19" t="n">
        <x:f>'Predictions'!U47</x:f>
        <x:v>0</x:v>
      </x:c>
      <x:c r="L47" s="19" t="n">
        <x:f>'Predictions'!N47</x:f>
        <x:v>0</x:v>
      </x:c>
      <x:c r="M47" s="19" t="str">
        <x:f>'Predictions'!AC47</x:f>
        <x:v>UNCHANGED</x:v>
      </x:c>
      <x:c r="N47" s="19" t="str">
        <x:f>'Predictions'!V47</x:f>
        <x:v>METADATA_UNIQUE</x:v>
      </x:c>
      <x:c r="O47" s="19" t="str">
        <x:f>'Predictions'!W47</x:f>
      </x:c>
    </x:row>
    <x:row r="48" ht="42" customHeight="1">
      <x:c r="A48" s="19" t="str">
        <x:f>'Predictions'!A48</x:f>
        <x:v>4298</x:v>
      </x:c>
      <x:c r="B48" s="19" t="str">
        <x:f>'Predictions'!B48</x:f>
        <x:v>10189</x:v>
      </x:c>
      <x:c r="C48" s="19" t="str">
        <x:f>'Predictions'!D48</x:f>
        <x:v>Gzhelian Sediments</x:v>
      </x:c>
      <x:c r="D48" s="19" t="str">
        <x:f>'Predictions'!E48</x:f>
        <x:v>Component C3</x:v>
      </x:c>
      <x:c r="E48" s="19" t="str">
        <x:f>'Predictions'!P48</x:f>
        <x:v>PRESENT</x:v>
      </x:c>
      <x:c r="F48" s="19" t="str">
        <x:f>'Predictions'!Q48</x:f>
        <x:v>SUSC-T,OP(MAGN,HEM)</x:v>
      </x:c>
      <x:c r="G48" s="19" t="str">
        <x:f>'Predictions'!S48</x:f>
        <x:v>PRESENT</x:v>
      </x:c>
      <x:c r="H48" s="19" t="str">
        <x:f>'Predictions'!T48</x:f>
        <x:v>SUSC-T,OP(MAGN,HEM)</x:v>
      </x:c>
      <x:c r="I48" s="19" t="str">
        <x:f>'Predictions'!M48</x:f>
        <x:v>OP,SUSC-T(MAGN)</x:v>
      </x:c>
      <x:c r="J48" s="19" t="str">
        <x:f>'Predictions'!AB48</x:f>
        <x:v>UNCHANGED</x:v>
      </x:c>
      <x:c r="K48" s="19" t="n">
        <x:f>'Predictions'!U48</x:f>
        <x:v>1</x:v>
      </x:c>
      <x:c r="L48" s="19" t="n">
        <x:f>'Predictions'!N48</x:f>
        <x:v>1</x:v>
      </x:c>
      <x:c r="M48" s="19" t="str">
        <x:f>'Predictions'!AC48</x:f>
        <x:v>UNCHANGED</x:v>
      </x:c>
      <x:c r="N48" s="19" t="str">
        <x:f>'Predictions'!V48</x:f>
        <x:v>PAPER_ROW_MATCH</x:v>
      </x:c>
      <x:c r="O48" s="19" t="str">
        <x:f>'Predictions'!W48</x:f>
        <x:v>component, direction, pole</x:v>
      </x:c>
    </x:row>
    <x:row r="49" ht="42" customHeight="1">
      <x:c r="A49" s="19" t="str">
        <x:f>'Predictions'!A49</x:f>
        <x:v>4298</x:v>
      </x:c>
      <x:c r="B49" s="19" t="str">
        <x:f>'Predictions'!B49</x:f>
        <x:v>10190</x:v>
      </x:c>
      <x:c r="C49" s="19" t="str">
        <x:f>'Predictions'!D49</x:f>
        <x:v>Visean Sediments</x:v>
      </x:c>
      <x:c r="D49" s="19" t="str">
        <x:f>'Predictions'!E49</x:f>
        <x:v>Component P</x:v>
      </x:c>
      <x:c r="E49" s="19" t="str">
        <x:f>'Predictions'!P49</x:f>
        <x:v>ABSTAIN_IDENTITY</x:v>
      </x:c>
      <x:c r="F49" s="19" t="str">
        <x:f>'Predictions'!Q49</x:f>
      </x:c>
      <x:c r="G49" s="19" t="str">
        <x:f>'Predictions'!S49</x:f>
        <x:v>PRESENT</x:v>
      </x:c>
      <x:c r="H49" s="19" t="str">
        <x:f>'Predictions'!T49</x:f>
        <x:v>OP(HEM,MAGN)</x:v>
      </x:c>
      <x:c r="I49" s="19" t="str">
        <x:f>'Predictions'!M49</x:f>
        <x:v>OP,SUSC-T(HEM)</x:v>
      </x:c>
      <x:c r="J49" s="19" t="str">
        <x:f>'Predictions'!AB49</x:f>
        <x:v>IMPROVED</x:v>
      </x:c>
      <x:c r="K49" s="19" t="n">
        <x:f>'Predictions'!U49</x:f>
        <x:v>1</x:v>
      </x:c>
      <x:c r="L49" s="19" t="n">
        <x:f>'Predictions'!N49</x:f>
        <x:v>1</x:v>
      </x:c>
      <x:c r="M49" s="19" t="str">
        <x:f>'Predictions'!AC49</x:f>
        <x:v>IMPROVED</x:v>
      </x:c>
      <x:c r="N49" s="19" t="str">
        <x:f>'Predictions'!V49</x:f>
        <x:v>PAPER_ROW_MATCH</x:v>
      </x:c>
      <x:c r="O49" s="19" t="str">
        <x:f>'Predictions'!W49</x:f>
        <x:v>component, direction, pole</x:v>
      </x:c>
    </x:row>
    <x:row r="50" ht="42" customHeight="1">
      <x:c r="A50" s="19" t="str">
        <x:f>'Predictions'!A50</x:f>
        <x:v>4298</x:v>
      </x:c>
      <x:c r="B50" s="19" t="str">
        <x:f>'Predictions'!B50</x:f>
        <x:v>10191</x:v>
      </x:c>
      <x:c r="C50" s="19" t="str">
        <x:f>'Predictions'!D50</x:f>
        <x:v>Visean Sediments</x:v>
      </x:c>
      <x:c r="D50" s="19" t="str">
        <x:f>'Predictions'!E50</x:f>
        <x:v>Component C1</x:v>
      </x:c>
      <x:c r="E50" s="19" t="str">
        <x:f>'Predictions'!P50</x:f>
        <x:v>ABSTAIN_IDENTITY</x:v>
      </x:c>
      <x:c r="F50" s="19" t="str">
        <x:f>'Predictions'!Q50</x:f>
      </x:c>
      <x:c r="G50" s="19" t="str">
        <x:f>'Predictions'!S50</x:f>
        <x:v>PRESENT</x:v>
      </x:c>
      <x:c r="H50" s="19" t="str">
        <x:f>'Predictions'!T50</x:f>
        <x:v>OP(HEM,MAGN)</x:v>
      </x:c>
      <x:c r="I50" s="19" t="str">
        <x:f>'Predictions'!M50</x:f>
        <x:v>OP,SUSC-T(HEM)</x:v>
      </x:c>
      <x:c r="J50" s="19" t="str">
        <x:f>'Predictions'!AB50</x:f>
        <x:v>IMPROVED</x:v>
      </x:c>
      <x:c r="K50" s="19" t="n">
        <x:f>'Predictions'!U50</x:f>
        <x:v>1</x:v>
      </x:c>
      <x:c r="L50" s="19" t="n">
        <x:f>'Predictions'!N50</x:f>
        <x:v>1</x:v>
      </x:c>
      <x:c r="M50" s="19" t="str">
        <x:f>'Predictions'!AC50</x:f>
        <x:v>IMPROVED</x:v>
      </x:c>
      <x:c r="N50" s="19" t="str">
        <x:f>'Predictions'!V50</x:f>
        <x:v>PAPER_ROW_MATCH</x:v>
      </x:c>
      <x:c r="O50" s="19" t="str">
        <x:f>'Predictions'!W50</x:f>
        <x:v>component, direction, pole</x:v>
      </x:c>
    </x:row>
    <x:row r="51" ht="42" customHeight="1">
      <x:c r="A51" s="19" t="str">
        <x:f>'Predictions'!A51</x:f>
        <x:v>4298</x:v>
      </x:c>
      <x:c r="B51" s="19" t="str">
        <x:f>'Predictions'!B51</x:f>
        <x:v>10192</x:v>
      </x:c>
      <x:c r="C51" s="19" t="str">
        <x:f>'Predictions'!D51</x:f>
        <x:v>Visean Sediments, Priksha River</x:v>
      </x:c>
      <x:c r="D51" s="19" t="str">
        <x:f>'Predictions'!E51</x:f>
        <x:v>Component P</x:v>
      </x:c>
      <x:c r="E51" s="19" t="str">
        <x:f>'Predictions'!P51</x:f>
        <x:v>ABSTAIN_IDENTITY</x:v>
      </x:c>
      <x:c r="F51" s="19" t="str">
        <x:f>'Predictions'!Q51</x:f>
      </x:c>
      <x:c r="G51" s="19" t="str">
        <x:f>'Predictions'!S51</x:f>
        <x:v>PRESENT</x:v>
      </x:c>
      <x:c r="H51" s="19" t="str">
        <x:f>'Predictions'!T51</x:f>
        <x:v>SUSC-T,OP(MAGN,HEM)</x:v>
      </x:c>
      <x:c r="I51" s="19" t="str">
        <x:f>'Predictions'!M51</x:f>
        <x:v>OP,SUSC-T(HEM)</x:v>
      </x:c>
      <x:c r="J51" s="19" t="str">
        <x:f>'Predictions'!AB51</x:f>
        <x:v>IMPROVED</x:v>
      </x:c>
      <x:c r="K51" s="19" t="n">
        <x:f>'Predictions'!U51</x:f>
        <x:v>1</x:v>
      </x:c>
      <x:c r="L51" s="19" t="n">
        <x:f>'Predictions'!N51</x:f>
        <x:v>1</x:v>
      </x:c>
      <x:c r="M51" s="19" t="str">
        <x:f>'Predictions'!AC51</x:f>
        <x:v>IMPROVED</x:v>
      </x:c>
      <x:c r="N51" s="19" t="str">
        <x:f>'Predictions'!V51</x:f>
        <x:v>PAPER_ROW_MATCH</x:v>
      </x:c>
      <x:c r="O51" s="19" t="str">
        <x:f>'Predictions'!W51</x:f>
        <x:v>direction, pole</x:v>
      </x:c>
    </x:row>
    <x:row r="52" ht="42" customHeight="1">
      <x:c r="A52" s="19" t="str">
        <x:f>'Predictions'!A52</x:f>
        <x:v>4298</x:v>
      </x:c>
      <x:c r="B52" s="19" t="str">
        <x:f>'Predictions'!B52</x:f>
        <x:v>10193</x:v>
      </x:c>
      <x:c r="C52" s="19" t="str">
        <x:f>'Predictions'!D52</x:f>
        <x:v>Visean Sediments, Priksha River</x:v>
      </x:c>
      <x:c r="D52" s="19" t="str">
        <x:f>'Predictions'!E52</x:f>
        <x:v>Component P</x:v>
      </x:c>
      <x:c r="E52" s="19" t="str">
        <x:f>'Predictions'!P52</x:f>
        <x:v>ABSTAIN_IDENTITY</x:v>
      </x:c>
      <x:c r="F52" s="19" t="str">
        <x:f>'Predictions'!Q52</x:f>
      </x:c>
      <x:c r="G52" s="19" t="str">
        <x:f>'Predictions'!S52</x:f>
        <x:v>PRESENT</x:v>
      </x:c>
      <x:c r="H52" s="19" t="str">
        <x:f>'Predictions'!T52</x:f>
        <x:v>SUSC-T,OP(MAGN,HEM)</x:v>
      </x:c>
      <x:c r="I52" s="19" t="str">
        <x:f>'Predictions'!M52</x:f>
        <x:v>OP,SUSC-T(HEM)</x:v>
      </x:c>
      <x:c r="J52" s="19" t="str">
        <x:f>'Predictions'!AB52</x:f>
        <x:v>IMPROVED</x:v>
      </x:c>
      <x:c r="K52" s="19" t="n">
        <x:f>'Predictions'!U52</x:f>
        <x:v>1</x:v>
      </x:c>
      <x:c r="L52" s="19" t="n">
        <x:f>'Predictions'!N52</x:f>
        <x:v>1</x:v>
      </x:c>
      <x:c r="M52" s="19" t="str">
        <x:f>'Predictions'!AC52</x:f>
        <x:v>IMPROVED</x:v>
      </x:c>
      <x:c r="N52" s="19" t="str">
        <x:f>'Predictions'!V52</x:f>
        <x:v>PAPER_ROW_MATCH</x:v>
      </x:c>
      <x:c r="O52" s="19" t="str">
        <x:f>'Predictions'!W52</x:f>
        <x:v>direction, pole</x:v>
      </x:c>
    </x:row>
    <x:row r="53" ht="42" customHeight="1">
      <x:c r="A53" s="19" t="str">
        <x:f>'Predictions'!A53</x:f>
        <x:v>4298</x:v>
      </x:c>
      <x:c r="B53" s="19" t="str">
        <x:f>'Predictions'!B53</x:f>
        <x:v>10194</x:v>
      </x:c>
      <x:c r="C53" s="19" t="str">
        <x:f>'Predictions'!D53</x:f>
        <x:v>Visean Sediments, Priksha River</x:v>
      </x:c>
      <x:c r="D53" s="19" t="str">
        <x:f>'Predictions'!E53</x:f>
        <x:v>Component C1</x:v>
      </x:c>
      <x:c r="E53" s="19" t="str">
        <x:f>'Predictions'!P53</x:f>
        <x:v>ABSTAIN_IDENTITY</x:v>
      </x:c>
      <x:c r="F53" s="19" t="str">
        <x:f>'Predictions'!Q53</x:f>
      </x:c>
      <x:c r="G53" s="19" t="str">
        <x:f>'Predictions'!S53</x:f>
        <x:v>PRESENT</x:v>
      </x:c>
      <x:c r="H53" s="19" t="str">
        <x:f>'Predictions'!T53</x:f>
        <x:v>SUSC-T,OP(MAGN,HEM)</x:v>
      </x:c>
      <x:c r="I53" s="19" t="str">
        <x:f>'Predictions'!M53</x:f>
        <x:v>OP,SUSC-T(HEM)</x:v>
      </x:c>
      <x:c r="J53" s="19" t="str">
        <x:f>'Predictions'!AB53</x:f>
        <x:v>IMPROVED</x:v>
      </x:c>
      <x:c r="K53" s="19" t="n">
        <x:f>'Predictions'!U53</x:f>
        <x:v>1</x:v>
      </x:c>
      <x:c r="L53" s="19" t="n">
        <x:f>'Predictions'!N53</x:f>
        <x:v>1</x:v>
      </x:c>
      <x:c r="M53" s="19" t="str">
        <x:f>'Predictions'!AC53</x:f>
        <x:v>IMPROVED</x:v>
      </x:c>
      <x:c r="N53" s="19" t="str">
        <x:f>'Predictions'!V53</x:f>
        <x:v>PAPER_ROW_MATCH</x:v>
      </x:c>
      <x:c r="O53" s="19" t="str">
        <x:f>'Predictions'!W53</x:f>
        <x:v>direction, pole</x:v>
      </x:c>
    </x:row>
    <x:row r="54" ht="42" customHeight="1">
      <x:c r="A54" s="19" t="str">
        <x:f>'Predictions'!A54</x:f>
        <x:v>4324</x:v>
      </x:c>
      <x:c r="B54" s="19" t="str">
        <x:f>'Predictions'!B54</x:f>
        <x:v>10236</x:v>
      </x:c>
      <x:c r="C54" s="19" t="str">
        <x:f>'Predictions'!D54</x:f>
        <x:v>Kiuruvesi Gabbrodiorite</x:v>
      </x:c>
      <x:c r="D54" s="19" t="str">
        <x:f>'Predictions'!E54</x:f>
      </x:c>
      <x:c r="E54" s="19" t="str">
        <x:f>'Predictions'!P54</x:f>
        <x:v>PRESENT</x:v>
      </x:c>
      <x:c r="F54" s="19" t="str">
        <x:f>'Predictions'!Q54</x:f>
        <x:v>IRM,3-axis Jrs-T,HYST(MAGN,MAGH,TM)</x:v>
      </x:c>
      <x:c r="G54" s="19" t="str">
        <x:f>'Predictions'!S54</x:f>
        <x:v>PRESENT</x:v>
      </x:c>
      <x:c r="H54" s="19" t="str">
        <x:f>'Predictions'!T54</x:f>
        <x:v>IRM,3-axis Jrs-T,HYST(MAGN,MAGH,TM)</x:v>
      </x:c>
      <x:c r="I54" s="19" t="str">
        <x:f>'Predictions'!M54</x:f>
        <x:v>SUSC-T,3-axis Jrs-T(MAGN)</x:v>
      </x:c>
      <x:c r="J54" s="19" t="str">
        <x:f>'Predictions'!AB54</x:f>
        <x:v>UNCHANGED</x:v>
      </x:c>
      <x:c r="K54" s="19" t="n">
        <x:f>'Predictions'!U54</x:f>
        <x:v>1</x:v>
      </x:c>
      <x:c r="L54" s="19" t="n">
        <x:f>'Predictions'!N54</x:f>
        <x:v>1</x:v>
      </x:c>
      <x:c r="M54" s="19" t="str">
        <x:f>'Predictions'!AC54</x:f>
        <x:v>UNCHANGED</x:v>
      </x:c>
      <x:c r="N54" s="19" t="str">
        <x:f>'Predictions'!V54</x:f>
        <x:v>METADATA_UNIQUE</x:v>
      </x:c>
      <x:c r="O54" s="19" t="str">
        <x:f>'Predictions'!W54</x:f>
      </x:c>
    </x:row>
    <x:row r="55" ht="42" customHeight="1">
      <x:c r="A55" s="19" t="str">
        <x:f>'Predictions'!A55</x:f>
        <x:v>4324</x:v>
      </x:c>
      <x:c r="B55" s="19" t="str">
        <x:f>'Predictions'!B55</x:f>
        <x:v>10237</x:v>
      </x:c>
      <x:c r="C55" s="19" t="str">
        <x:f>'Predictions'!D55</x:f>
        <x:v>Ylivieska Gabbro</x:v>
      </x:c>
      <x:c r="D55" s="19" t="str">
        <x:f>'Predictions'!E55</x:f>
      </x:c>
      <x:c r="E55" s="19" t="str">
        <x:f>'Predictions'!P55</x:f>
        <x:v>PRESENT</x:v>
      </x:c>
      <x:c r="F55" s="19" t="str">
        <x:f>'Predictions'!Q55</x:f>
        <x:v>IRM,3-axis Jrs-T,HYST(SD/MD MAGN)</x:v>
      </x:c>
      <x:c r="G55" s="19" t="str">
        <x:f>'Predictions'!S55</x:f>
        <x:v>PRESENT</x:v>
      </x:c>
      <x:c r="H55" s="19" t="str">
        <x:f>'Predictions'!T55</x:f>
        <x:v>IRM,3-axis Jrs-T,HYST(SD/MD MAGN)</x:v>
      </x:c>
      <x:c r="I55" s="19" t="str">
        <x:f>'Predictions'!M55</x:f>
        <x:v>SUSC-T,3-axis Jrs-T(SD MAGN)</x:v>
      </x:c>
      <x:c r="J55" s="19" t="str">
        <x:f>'Predictions'!AB55</x:f>
        <x:v>UNCHANGED</x:v>
      </x:c>
      <x:c r="K55" s="19" t="n">
        <x:f>'Predictions'!U55</x:f>
        <x:v>1</x:v>
      </x:c>
      <x:c r="L55" s="19" t="n">
        <x:f>'Predictions'!N55</x:f>
        <x:v>1</x:v>
      </x:c>
      <x:c r="M55" s="19" t="str">
        <x:f>'Predictions'!AC55</x:f>
        <x:v>UNCHANGED</x:v>
      </x:c>
      <x:c r="N55" s="19" t="str">
        <x:f>'Predictions'!V55</x:f>
        <x:v>METADATA_UNIQUE</x:v>
      </x:c>
      <x:c r="O55" s="19" t="str">
        <x:f>'Predictions'!W55</x:f>
      </x:c>
    </x:row>
    <x:row r="56" ht="42" customHeight="1">
      <x:c r="A56" s="19" t="str">
        <x:f>'Predictions'!A56</x:f>
        <x:v>4324</x:v>
      </x:c>
      <x:c r="B56" s="19" t="str">
        <x:f>'Predictions'!B56</x:f>
        <x:v>10238</x:v>
      </x:c>
      <x:c r="C56" s="19" t="str">
        <x:f>'Predictions'!D56</x:f>
        <x:v>Mertuanoja Gabbro</x:v>
      </x:c>
      <x:c r="D56" s="19" t="str">
        <x:f>'Predictions'!E56</x:f>
      </x:c>
      <x:c r="E56" s="19" t="str">
        <x:f>'Predictions'!P56</x:f>
        <x:v>PRESENT</x:v>
      </x:c>
      <x:c r="F56" s="19" t="str">
        <x:f>'Predictions'!Q56</x:f>
        <x:v>IRM,HYST(MAGN,MAGH,TM)</x:v>
      </x:c>
      <x:c r="G56" s="19" t="str">
        <x:f>'Predictions'!S56</x:f>
        <x:v>PRESENT</x:v>
      </x:c>
      <x:c r="H56" s="19" t="str">
        <x:f>'Predictions'!T56</x:f>
        <x:v>IRM,HYST(MAGN,MAGH,TM)</x:v>
      </x:c>
      <x:c r="I56" s="19" t="str">
        <x:f>'Predictions'!M56</x:f>
        <x:v>SUSC-T,3-axis Jrs-T(SD MAGN)</x:v>
      </x:c>
      <x:c r="J56" s="19" t="str">
        <x:f>'Predictions'!AB56</x:f>
        <x:v>UNCHANGED</x:v>
      </x:c>
      <x:c r="K56" s="19" t="n">
        <x:f>'Predictions'!U56</x:f>
        <x:v>1</x:v>
      </x:c>
      <x:c r="L56" s="19" t="n">
        <x:f>'Predictions'!N56</x:f>
        <x:v>1</x:v>
      </x:c>
      <x:c r="M56" s="19" t="str">
        <x:f>'Predictions'!AC56</x:f>
        <x:v>UNCHANGED</x:v>
      </x:c>
      <x:c r="N56" s="19" t="str">
        <x:f>'Predictions'!V56</x:f>
        <x:v>PAPER_ROW_MATCH</x:v>
      </x:c>
      <x:c r="O56" s="19" t="str">
        <x:f>'Predictions'!W56</x:f>
        <x:v>direction</x:v>
      </x:c>
    </x:row>
    <x:row r="57" ht="42" customHeight="1">
      <x:c r="A57" s="19" t="str">
        <x:f>'Predictions'!A57</x:f>
        <x:v>4324</x:v>
      </x:c>
      <x:c r="B57" s="19" t="str">
        <x:f>'Predictions'!B57</x:f>
        <x:v>10239</x:v>
      </x:c>
      <x:c r="C57" s="19" t="str">
        <x:f>'Predictions'!D57</x:f>
        <x:v>Svecofennian Gabbros Combined</x:v>
      </x:c>
      <x:c r="D57" s="19" t="str">
        <x:f>'Predictions'!E57</x:f>
        <x:v>Combined result</x:v>
      </x:c>
      <x:c r="E57" s="19" t="str">
        <x:f>'Predictions'!P57</x:f>
        <x:v>ABSTAIN_INSUFFICIENT</x:v>
      </x:c>
      <x:c r="F57" s="19" t="str">
        <x:f>'Predictions'!Q57</x:f>
      </x:c>
      <x:c r="G57" s="19" t="str">
        <x:f>'Predictions'!S57</x:f>
        <x:v>ABSTAIN_INSUFFICIENT</x:v>
      </x:c>
      <x:c r="H57" s="19" t="str">
        <x:f>'Predictions'!T57</x:f>
      </x:c>
      <x:c r="I57" s="19" t="str">
        <x:f>'Predictions'!M57</x:f>
        <x:v>SUSC-T,3-axis Jrs-T(SD MAGN)</x:v>
      </x:c>
      <x:c r="J57" s="19" t="str">
        <x:f>'Predictions'!AB57</x:f>
        <x:v>UNCHANGED</x:v>
      </x:c>
      <x:c r="K57" s="19" t="n">
        <x:f>'Predictions'!U57</x:f>
        <x:v>0</x:v>
      </x:c>
      <x:c r="L57" s="19" t="n">
        <x:f>'Predictions'!N57</x:f>
        <x:v>1</x:v>
      </x:c>
      <x:c r="M57" s="19" t="str">
        <x:f>'Predictions'!AC57</x:f>
        <x:v>UNCHANGED</x:v>
      </x:c>
      <x:c r="N57" s="19" t="str">
        <x:f>'Predictions'!V57</x:f>
        <x:v>METADATA_UNIQUE</x:v>
      </x:c>
      <x:c r="O57" s="19" t="str">
        <x:f>'Predictions'!W57</x:f>
      </x:c>
    </x:row>
    <x:row r="58" ht="42" customHeight="1">
      <x:c r="A58" s="19" t="str">
        <x:f>'Predictions'!A58</x:f>
        <x:v>4324</x:v>
      </x:c>
      <x:c r="B58" s="19" t="str">
        <x:f>'Predictions'!B58</x:f>
        <x:v>10240</x:v>
      </x:c>
      <x:c r="C58" s="19" t="str">
        <x:f>'Predictions'!D58</x:f>
        <x:v>Jalokoski Gabbro</x:v>
      </x:c>
      <x:c r="D58" s="19" t="str">
        <x:f>'Predictions'!E58</x:f>
      </x:c>
      <x:c r="E58" s="19" t="str">
        <x:f>'Predictions'!P58</x:f>
        <x:v>PRESENT</x:v>
      </x:c>
      <x:c r="F58" s="19" t="str">
        <x:f>'Predictions'!Q58</x:f>
        <x:v>HYST(MAGN,MAGH,TM)</x:v>
      </x:c>
      <x:c r="G58" s="19" t="str">
        <x:f>'Predictions'!S58</x:f>
        <x:v>PRESENT</x:v>
      </x:c>
      <x:c r="H58" s="19" t="str">
        <x:f>'Predictions'!T58</x:f>
        <x:v>HYST(MAGN,MAGH,TM)</x:v>
      </x:c>
      <x:c r="I58" s="19" t="str">
        <x:f>'Predictions'!M58</x:f>
      </x:c>
      <x:c r="J58" s="19" t="str">
        <x:f>'Predictions'!AB58</x:f>
        <x:v>UNCHANGED</x:v>
      </x:c>
      <x:c r="K58" s="19" t="n">
        <x:f>'Predictions'!U58</x:f>
        <x:v>1</x:v>
      </x:c>
      <x:c r="L58" s="19" t="n">
        <x:f>'Predictions'!N58</x:f>
        <x:v>1</x:v>
      </x:c>
      <x:c r="M58" s="19" t="str">
        <x:f>'Predictions'!AC58</x:f>
        <x:v>UNCHANGED</x:v>
      </x:c>
      <x:c r="N58" s="19" t="str">
        <x:f>'Predictions'!V58</x:f>
        <x:v>METADATA_UNIQUE</x:v>
      </x:c>
      <x:c r="O58" s="19" t="str">
        <x:f>'Predictions'!W58</x:f>
      </x:c>
    </x:row>
    <x:row r="59" ht="42" customHeight="1">
      <x:c r="A59" s="19" t="str">
        <x:f>'Predictions'!A59</x:f>
        <x:v>4324</x:v>
      </x:c>
      <x:c r="B59" s="19" t="str">
        <x:f>'Predictions'!B59</x:f>
        <x:v>10241</x:v>
      </x:c>
      <x:c r="C59" s="19" t="str">
        <x:f>'Predictions'!D59</x:f>
        <x:v>Nilsiä Lamprophyre Dyke</x:v>
      </x:c>
      <x:c r="D59" s="19" t="str">
        <x:f>'Predictions'!E59</x:f>
      </x:c>
      <x:c r="E59" s="19" t="str">
        <x:f>'Predictions'!P59</x:f>
        <x:v>ABSTAIN_ANCHOR</x:v>
      </x:c>
      <x:c r="F59" s="19" t="str">
        <x:f>'Predictions'!Q59</x:f>
      </x:c>
      <x:c r="G59" s="19" t="str">
        <x:f>'Predictions'!S59</x:f>
        <x:v>ABSTAIN_INSUFFICIENT</x:v>
      </x:c>
      <x:c r="H59" s="19" t="str">
        <x:f>'Predictions'!T59</x:f>
      </x:c>
      <x:c r="I59" s="19" t="str">
        <x:f>'Predictions'!M59</x:f>
      </x:c>
      <x:c r="J59" s="19" t="str">
        <x:f>'Predictions'!AB59</x:f>
        <x:v>UNCHANGED</x:v>
      </x:c>
      <x:c r="K59" s="19" t="n">
        <x:f>'Predictions'!U59</x:f>
        <x:v>0</x:v>
      </x:c>
      <x:c r="L59" s="19" t="n">
        <x:f>'Predictions'!N59</x:f>
        <x:v>0</x:v>
      </x:c>
      <x:c r="M59" s="19" t="str">
        <x:f>'Predictions'!AC59</x:f>
        <x:v>UNCHANGED</x:v>
      </x:c>
      <x:c r="N59" s="19" t="str">
        <x:f>'Predictions'!V59</x:f>
        <x:v>PAPER_ROW_MATCH</x:v>
      </x:c>
      <x:c r="O59" s="19" t="str">
        <x:f>'Predictions'!W59</x:f>
        <x:v>direction</x:v>
      </x:c>
    </x:row>
    <x:row r="60" ht="42" customHeight="1">
      <x:c r="A60" s="19" t="str">
        <x:f>'Predictions'!A60</x:f>
        <x:v>4324</x:v>
      </x:c>
      <x:c r="B60" s="19" t="str">
        <x:f>'Predictions'!B60</x:f>
        <x:v>10242</x:v>
      </x:c>
      <x:c r="C60" s="19" t="str">
        <x:f>'Predictions'!D60</x:f>
        <x:v>Nilsiä Microtonalite Dykes</x:v>
      </x:c>
      <x:c r="D60" s="19" t="str">
        <x:f>'Predictions'!E60</x:f>
      </x:c>
      <x:c r="E60" s="19" t="str">
        <x:f>'Predictions'!P60</x:f>
        <x:v>ABSTAIN_ANCHOR</x:v>
      </x:c>
      <x:c r="F60" s="19" t="str">
        <x:f>'Predictions'!Q60</x:f>
      </x:c>
      <x:c r="G60" s="19" t="str">
        <x:f>'Predictions'!S60</x:f>
        <x:v>ABSTAIN_INSUFFICIENT</x:v>
      </x:c>
      <x:c r="H60" s="19" t="str">
        <x:f>'Predictions'!T60</x:f>
      </x:c>
      <x:c r="I60" s="19" t="str">
        <x:f>'Predictions'!M60</x:f>
      </x:c>
      <x:c r="J60" s="19" t="str">
        <x:f>'Predictions'!AB60</x:f>
        <x:v>UNCHANGED</x:v>
      </x:c>
      <x:c r="K60" s="19" t="n">
        <x:f>'Predictions'!U60</x:f>
        <x:v>0</x:v>
      </x:c>
      <x:c r="L60" s="19" t="n">
        <x:f>'Predictions'!N60</x:f>
        <x:v>0</x:v>
      </x:c>
      <x:c r="M60" s="19" t="str">
        <x:f>'Predictions'!AC60</x:f>
        <x:v>UNCHANGED</x:v>
      </x:c>
      <x:c r="N60" s="19" t="str">
        <x:f>'Predictions'!V60</x:f>
        <x:v>PAPER_ROW_MATCH</x:v>
      </x:c>
      <x:c r="O60" s="19" t="str">
        <x:f>'Predictions'!W60</x:f>
        <x:v>direction</x:v>
      </x:c>
    </x:row>
    <x:row r="61" ht="42" customHeight="1">
      <x:c r="A61" s="19" t="str">
        <x:f>'Predictions'!A61</x:f>
        <x:v>4339</x:v>
      </x:c>
      <x:c r="B61" s="19" t="str">
        <x:f>'Predictions'!B61</x:f>
        <x:v>10263</x:v>
      </x:c>
      <x:c r="C61" s="19" t="str">
        <x:f>'Predictions'!D61</x:f>
        <x:v>Northeastern Brazil Magmatism-1</x:v>
      </x:c>
      <x:c r="D61" s="19" t="str">
        <x:f>'Predictions'!E61</x:f>
      </x:c>
      <x:c r="E61" s="19" t="str">
        <x:f>'Predictions'!P61</x:f>
        <x:v>ABSTAIN_INSUFFICIENT</x:v>
      </x:c>
      <x:c r="F61" s="19" t="str">
        <x:f>'Predictions'!Q61</x:f>
      </x:c>
      <x:c r="G61" s="19" t="str">
        <x:f>'Predictions'!S61</x:f>
        <x:v>ABSTAIN_INSUFFICIENT</x:v>
      </x:c>
      <x:c r="H61" s="19" t="str">
        <x:f>'Predictions'!T61</x:f>
      </x:c>
      <x:c r="I61" s="19" t="str">
        <x:f>'Predictions'!M61</x:f>
        <x:v>OP(TM,MAGN)</x:v>
      </x:c>
      <x:c r="J61" s="19" t="str">
        <x:f>'Predictions'!AB61</x:f>
        <x:v>UNCHANGED</x:v>
      </x:c>
      <x:c r="K61" s="19" t="n">
        <x:f>'Predictions'!U61</x:f>
        <x:v>0</x:v>
      </x:c>
      <x:c r="L61" s="19" t="n">
        <x:f>'Predictions'!N61</x:f>
        <x:v>0</x:v>
      </x:c>
      <x:c r="M61" s="19" t="str">
        <x:f>'Predictions'!AC61</x:f>
        <x:v>UNCHANGED</x:v>
      </x:c>
      <x:c r="N61" s="19" t="str">
        <x:f>'Predictions'!V61</x:f>
        <x:v>METADATA_UNIQUE</x:v>
      </x:c>
      <x:c r="O61" s="19" t="str">
        <x:f>'Predictions'!W61</x:f>
      </x:c>
    </x:row>
    <x:row r="62" ht="42" customHeight="1">
      <x:c r="A62" s="19" t="str">
        <x:f>'Predictions'!A62</x:f>
        <x:v>4339</x:v>
      </x:c>
      <x:c r="B62" s="19" t="str">
        <x:f>'Predictions'!B62</x:f>
        <x:v>10264</x:v>
      </x:c>
      <x:c r="C62" s="19" t="str">
        <x:f>'Predictions'!D62</x:f>
        <x:v>Northeastern Brazil Magmatism-2</x:v>
      </x:c>
      <x:c r="D62" s="19" t="str">
        <x:f>'Predictions'!E62</x:f>
      </x:c>
      <x:c r="E62" s="19" t="str">
        <x:f>'Predictions'!P62</x:f>
        <x:v>ABSTAIN_INSUFFICIENT</x:v>
      </x:c>
      <x:c r="F62" s="19" t="str">
        <x:f>'Predictions'!Q62</x:f>
      </x:c>
      <x:c r="G62" s="19" t="str">
        <x:f>'Predictions'!S62</x:f>
        <x:v>ABSTAIN_INSUFFICIENT</x:v>
      </x:c>
      <x:c r="H62" s="19" t="str">
        <x:f>'Predictions'!T62</x:f>
      </x:c>
      <x:c r="I62" s="19" t="str">
        <x:f>'Predictions'!M62</x:f>
        <x:v>OP(TM,MAGN)</x:v>
      </x:c>
      <x:c r="J62" s="19" t="str">
        <x:f>'Predictions'!AB62</x:f>
        <x:v>UNCHANGED</x:v>
      </x:c>
      <x:c r="K62" s="19" t="n">
        <x:f>'Predictions'!U62</x:f>
        <x:v>0</x:v>
      </x:c>
      <x:c r="L62" s="19" t="n">
        <x:f>'Predictions'!N62</x:f>
        <x:v>0</x:v>
      </x:c>
      <x:c r="M62" s="19" t="str">
        <x:f>'Predictions'!AC62</x:f>
        <x:v>UNCHANGED</x:v>
      </x:c>
      <x:c r="N62" s="19" t="str">
        <x:f>'Predictions'!V62</x:f>
        <x:v>METADATA_UNIQUE</x:v>
      </x:c>
      <x:c r="O62" s="19" t="str">
        <x:f>'Predictions'!W62</x:f>
      </x:c>
    </x:row>
    <x:row r="63" ht="42" customHeight="1">
      <x:c r="A63" s="19" t="str">
        <x:f>'Predictions'!A63</x:f>
        <x:v>4339</x:v>
      </x:c>
      <x:c r="B63" s="19" t="str">
        <x:f>'Predictions'!B63</x:f>
        <x:v>10265</x:v>
      </x:c>
      <x:c r="C63" s="19" t="str">
        <x:f>'Predictions'!D63</x:f>
        <x:v>Ceara-Mirim Dikes II</x:v>
      </x:c>
      <x:c r="D63" s="19" t="n">
        <x:f>'Predictions'!E63</x:f>
        <x:v>0</x:v>
      </x:c>
      <x:c r="E63" s="19" t="str">
        <x:f>'Predictions'!P63</x:f>
        <x:v>ABSTAIN_INSUFFICIENT</x:v>
      </x:c>
      <x:c r="F63" s="19" t="n">
        <x:f>'Predictions'!Q63</x:f>
        <x:v>0</x:v>
      </x:c>
      <x:c r="G63" s="19" t="str">
        <x:f>'Predictions'!S63</x:f>
        <x:v>ABSTAIN_INSUFFICIENT</x:v>
      </x:c>
      <x:c r="H63" s="19" t="n">
        <x:f>'Predictions'!T63</x:f>
        <x:v>0</x:v>
      </x:c>
      <x:c r="I63" s="19" t="n">
        <x:f>'Predictions'!M63</x:f>
        <x:v>0</x:v>
      </x:c>
      <x:c r="J63" s="19" t="str">
        <x:f>'Predictions'!AB63</x:f>
        <x:v>UNCHANGED</x:v>
      </x:c>
      <x:c r="K63" s="19" t="n">
        <x:f>'Predictions'!U63</x:f>
        <x:v>0</x:v>
      </x:c>
      <x:c r="L63" s="19" t="n">
        <x:f>'Predictions'!N63</x:f>
        <x:v>0</x:v>
      </x:c>
      <x:c r="M63" s="19" t="str">
        <x:f>'Predictions'!AC63</x:f>
        <x:v>UNCHANGED</x:v>
      </x:c>
      <x:c r="N63" s="19" t="str">
        <x:f>'Predictions'!V63</x:f>
        <x:v>METADATA_UNIQUE</x:v>
      </x:c>
      <x:c r="O63" s="19" t="n">
        <x:f>'Predictions'!W63</x:f>
        <x:v>0</x:v>
      </x:c>
    </x:row>
  </x:sheetData>
  <x:conditionalFormatting sqref="J2:J63">
    <x:cfRule type="containsText" dxfId="6" priority="1" operator="containsText" text="IMPROVED"/>
    <x:cfRule type="containsText" dxfId="7" priority="2" operator="containsText" text="REGRESSED"/>
  </x:conditionalFormatting>
  <x:conditionalFormatting sqref="M2:M63">
    <x:cfRule type="containsText" dxfId="8" priority="3" operator="containsText" text="IMPROVED"/>
    <x:cfRule type="containsText" dxfId="9" priority="4" operator="containsText" text="REGRESSED"/>
  </x:conditionalFormatting>
  <x:pageMargins left="0.7" right="0.7" top="0.75" bottom="0.75" header="0.3" footer="0.3"/>
  <x:tableParts count="1">
    <x:tablePart xmlns:r="http://schemas.openxmlformats.org/officeDocument/2006/relationships" r:id="Rff5fb6c9255848d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34" hidden="0" customWidth="1"/>
    <x:col min="5" max="5" width="20" hidden="0" customWidth="1"/>
    <x:col min="6" max="6" width="12"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38" hidden="0" customWidth="1"/>
    <x:col min="16" max="16" width="24" hidden="0" customWidth="1"/>
    <x:col min="17" max="17" width="24" hidden="0" customWidth="1"/>
    <x:col min="18" max="18" width="24" hidden="0" customWidth="1"/>
    <x:col min="19" max="19" width="24" hidden="0" customWidth="1"/>
    <x:col min="20" max="20" width="24" hidden="0" customWidth="1"/>
    <x:col min="21" max="21" width="24" hidden="0" customWidth="1"/>
    <x:col min="22" max="22" width="24" hidden="0" customWidth="1"/>
    <x:col min="23" max="23" width="24" hidden="0" customWidth="1"/>
    <x:col min="30" max="30" width="24" hidden="0" customWidth="1"/>
    <x:col min="31" max="31" width="24" hidden="0" customWidth="1"/>
    <x:col min="32" max="32" width="24" hidden="0" customWidth="1"/>
    <x:col min="33" max="33" width="70" hidden="0" customWidth="1"/>
    <x:col min="34" max="34" width="48" hidden="0" customWidth="1"/>
  </x:cols>
  <x:sheetData>
    <x:row r="1">
      <x:c r="A1" s="12" t="str">
        <x:v>REFNO</x:v>
      </x:c>
      <x:c r="B1" s="12" t="str">
        <x:v>RESULTNO</x:v>
      </x:c>
      <x:c r="C1" s="12" t="str">
        <x:v>ROCKUNITNO</x:v>
      </x:c>
      <x:c r="D1" s="12" t="str">
        <x:v>ROCKNAME</x:v>
      </x:c>
      <x:c r="E1" s="12" t="str">
        <x:v>COMPONENT</x:v>
      </x:c>
      <x:c r="F1" s="12" t="str">
        <x:v>RLAT</x:v>
      </x:c>
      <x:c r="G1" s="12" t="str">
        <x:v>RLONG</x:v>
      </x:c>
      <x:c r="H1" s="12" t="str">
        <x:v>DEC</x:v>
      </x:c>
      <x:c r="I1" s="12" t="str">
        <x:v>INC</x:v>
      </x:c>
      <x:c r="J1" s="12" t="str">
        <x:v>PLAT</x:v>
      </x:c>
      <x:c r="K1" s="12" t="str">
        <x:v>PLONG</x:v>
      </x:c>
      <x:c r="L1" s="12" t="str">
        <x:v>PTYPE</x:v>
      </x:c>
      <x:c r="M1" s="12" t="str">
        <x:v>HIST_ROCKMAG</x:v>
      </x:c>
      <x:c r="N1" s="12" t="str">
        <x:v>HIST_R3</x:v>
      </x:c>
      <x:c r="O1" s="12" t="str">
        <x:v>HIST_HAS_ROCKMAG</x:v>
      </x:c>
      <x:c r="P1" s="12" t="str">
        <x:v>BASE_STATUS</x:v>
      </x:c>
      <x:c r="Q1" s="12" t="str">
        <x:v>BASE_ROCKMAG</x:v>
      </x:c>
      <x:c r="R1" s="12" t="str">
        <x:v>BASE_R3</x:v>
      </x:c>
      <x:c r="S1" s="12" t="str">
        <x:v>LOCATOR_STATUS</x:v>
      </x:c>
      <x:c r="T1" s="12" t="str">
        <x:v>LOCATOR_ROCKMAG</x:v>
      </x:c>
      <x:c r="U1" s="12" t="str">
        <x:v>LOCATOR_R3</x:v>
      </x:c>
      <x:c r="V1" s="12" t="str">
        <x:v>LOCATOR_RESOLUTION</x:v>
      </x:c>
      <x:c r="W1" s="12" t="str">
        <x:v>LOCATOR_MATCH_TYPES</x:v>
      </x:c>
      <x:c r="X1" s="12" t="str">
        <x:v>BASE_FIELD_MATCH</x:v>
      </x:c>
      <x:c r="Y1" s="12" t="str">
        <x:v>LOCATOR_FIELD_MATCH</x:v>
      </x:c>
      <x:c r="Z1" s="12" t="str">
        <x:v>BASE_R3_MATCH</x:v>
      </x:c>
      <x:c r="AA1" s="12" t="str">
        <x:v>LOCATOR_R3_MATCH</x:v>
      </x:c>
      <x:c r="AB1" s="12" t="str">
        <x:v>FIELD_CHANGE</x:v>
      </x:c>
      <x:c r="AC1" s="12" t="str">
        <x:v>R3_CHANGE</x:v>
      </x:c>
      <x:c r="AD1" s="12" t="str">
        <x:v>ERROR_TYPE</x:v>
      </x:c>
      <x:c r="AE1" s="12" t="str">
        <x:v>CONFIDENCE</x:v>
      </x:c>
      <x:c r="AF1" s="12" t="str">
        <x:v>EVIDENCE_PAGES</x:v>
      </x:c>
      <x:c r="AG1" s="12" t="str">
        <x:v>EVIDENCE_QUOTE</x:v>
      </x:c>
      <x:c r="AH1" s="12" t="str">
        <x:v>SOURCE_TEXT</x:v>
      </x:c>
      <x:c r="AI1" s="12" t="str">
        <x:v>HIST_FIELD_R3_MATCH</x:v>
      </x:c>
    </x:row>
    <x:row r="2" ht="54" customHeight="1">
      <x:c r="A2" s="13" t="str">
        <x:v>1152</x:v>
      </x:c>
      <x:c r="B2" s="13" t="str">
        <x:v>29</x:v>
      </x:c>
      <x:c r="C2" s="13" t="str">
        <x:v>22</x:v>
      </x:c>
      <x:c r="D2" s="19" t="str">
        <x:v>Armorican redbeds</x:v>
      </x:c>
      <x:c r="E2" s="19" t="str">
        <x:v>C component</x:v>
      </x:c>
      <x:c r="F2" s="19" t="str">
        <x:v>49</x:v>
      </x:c>
      <x:c r="G2" s="19" t="str">
        <x:v>-2</x:v>
      </x:c>
      <x:c r="H2" s="19" t="str">
        <x:v>228</x:v>
      </x:c>
      <x:c r="I2" s="19" t="str">
        <x:v>63</x:v>
      </x:c>
      <x:c r="J2" s="19" t="str">
        <x:v>11</x:v>
      </x:c>
      <x:c r="K2" s="19" t="str">
        <x:v>325</x:v>
      </x:c>
      <x:c r="L2" s="19" t="str">
        <x:v>D</x:v>
      </x:c>
      <x:c r="M2" s="19" t="str">
        <x:v>IRM(compar.of leached &amp; unleached:mag.in insol.specularite).</x:v>
      </x:c>
      <x:c r="N2" s="19" t="n">
        <x:v>1</x:v>
      </x:c>
      <x:c r="O2" s="19" t="n">
        <x:f>--(LEN(M2)&gt;0)</x:f>
        <x:v>1</x:v>
      </x:c>
      <x:c r="P2" s="19" t="str">
        <x:v>ABSTAIN_IDENTITY</x:v>
      </x:c>
      <x:c r="Q2" s="19" t="str"/>
      <x:c r="R2" s="19" t="n">
        <x:v>0</x:v>
      </x:c>
      <x:c r="S2" s="19" t="str">
        <x:v>PRESENT</x:v>
      </x:c>
      <x:c r="T2" s="19" t="str">
        <x:v>IRM,SUSC-T(HEM)</x:v>
      </x:c>
      <x:c r="U2" s="19" t="n">
        <x:v>1</x:v>
      </x:c>
      <x:c r="V2" s="19" t="str">
        <x:v>PAPER_ROW_MATCH</x:v>
      </x:c>
      <x:c r="W2" s="19" t="str">
        <x:v>component</x:v>
      </x:c>
      <x:c r="X2" s="19" t="n">
        <x:f>--(O2=--(LEN(Q2)&gt;0))</x:f>
        <x:v>0</x:v>
      </x:c>
      <x:c r="Y2" s="19" t="n">
        <x:f>--(O2=--(LEN(T2)&gt;0))</x:f>
        <x:v>1</x:v>
      </x:c>
      <x:c r="Z2" s="19" t="n">
        <x:f>--(N2=R2)</x:f>
        <x:v>0</x:v>
      </x:c>
      <x:c r="AA2" s="19" t="n">
        <x:f>--(N2=U2)</x:f>
        <x:v>1</x:v>
      </x:c>
      <x:c r="AB2" s="19" t="str">
        <x:f>IF(X2=Y2,"UNCHANGED",IF(Y2=1,"IMPROVED","REGRESSED"))</x:f>
        <x:v>IMPROVED</x:v>
      </x:c>
      <x:c r="AC2" s="19" t="str">
        <x:f>IF(Z2=AA2,"UNCHANGED",IF(AA2=1,"IMPROVED","REGRESSED"))</x:f>
        <x:v>IMPROVED</x:v>
      </x:c>
      <x:c r="AD2" s="19" t="str">
        <x:v>SEMANTIC_MATCH</x:v>
      </x:c>
      <x:c r="AE2" s="19" t="str">
        <x:v>HIGH</x:v>
      </x:c>
      <x:c r="AF2" s="19" t="str">
        <x:v>7, 10, 11, 13, 14, 15, 8, 9</x:v>
      </x:c>
      <x:c r="AG2" s="19" t="str">
        <x:v>eaning temperatures suggested by Briden's (1972) stability index (100-200°C) removes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 |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carrying component B3 is acid soluble in some sites (e.g. Fig. 5(g)) but not in others (Fig. 5(h)). Component C has the highest Downloaded from https://academic.oup.com/gji/article/59/2/345/645148 by Curtin University Library user on 21 August 2020 | the vector subtraction (B1 + B2) - B2 (Table 4)</x:v>
      </x:c>
      <x:c r="AH2" s="19" t="str">
        <x:v>/Users/lihd/discovery/paleomagnetic-r3-workflow/dist/paleomagnetic-r357-calibrated-workflow-full/data/parsed_mds/1152.txt</x:v>
      </x:c>
      <x:c r="AI2" s="13" t="n">
        <x:f>--(O2=N2)</x:f>
        <x:v>1</x:v>
      </x:c>
    </x:row>
    <x:row r="3" ht="54" customHeight="1">
      <x:c r="A3" s="13" t="str">
        <x:v>1152</x:v>
      </x:c>
      <x:c r="B3" s="13" t="str">
        <x:v>30</x:v>
      </x:c>
      <x:c r="C3" s="13" t="str">
        <x:v>22</x:v>
      </x:c>
      <x:c r="D3" s="19" t="str">
        <x:v>Armorican redbeds</x:v>
      </x:c>
      <x:c r="E3" s="19" t="str">
        <x:v>B3 component</x:v>
      </x:c>
      <x:c r="F3" s="19" t="str">
        <x:v>49</x:v>
      </x:c>
      <x:c r="G3" s="19" t="str">
        <x:v>-2</x:v>
      </x:c>
      <x:c r="H3" s="19" t="str">
        <x:v>216</x:v>
      </x:c>
      <x:c r="I3" s="19" t="str">
        <x:v>41</x:v>
      </x:c>
      <x:c r="J3" s="19" t="str">
        <x:v>11</x:v>
      </x:c>
      <x:c r="K3" s="19" t="str">
        <x:v>144</x:v>
      </x:c>
      <x:c r="L3" s="19" t="str">
        <x:v>D</x:v>
      </x:c>
      <x:c r="M3" s="19" t="str">
        <x:v>IRM(leached &amp; unleached:B3 comp.in soluble HEM pigment)</x:v>
      </x:c>
      <x:c r="N3" s="19" t="n">
        <x:v>1</x:v>
      </x:c>
      <x:c r="O3" s="19" t="n">
        <x:f>--(LEN(M3)&gt;0)</x:f>
        <x:v>1</x:v>
      </x:c>
      <x:c r="P3" s="19" t="str">
        <x:v>ABSTAIN_IDENTITY</x:v>
      </x:c>
      <x:c r="Q3" s="19" t="str"/>
      <x:c r="R3" s="19" t="n">
        <x:v>0</x:v>
      </x:c>
      <x:c r="S3" s="19" t="str">
        <x:v>PRESENT</x:v>
      </x:c>
      <x:c r="T3" s="19" t="str">
        <x:v>IRM,SUSC-T(HEM)</x:v>
      </x:c>
      <x:c r="U3" s="19" t="n">
        <x:v>1</x:v>
      </x:c>
      <x:c r="V3" s="19" t="str">
        <x:v>PAPER_ROW_MATCH</x:v>
      </x:c>
      <x:c r="W3" s="19" t="str">
        <x:v>component, direction</x:v>
      </x:c>
      <x:c r="X3" s="19" t="n">
        <x:f>--(O3=--(LEN(Q3)&gt;0))</x:f>
        <x:v>0</x:v>
      </x:c>
      <x:c r="Y3" s="19" t="n">
        <x:f>--(O3=--(LEN(T3)&gt;0))</x:f>
        <x:v>1</x:v>
      </x:c>
      <x:c r="Z3" s="19" t="n">
        <x:f>--(N3=R3)</x:f>
        <x:v>0</x:v>
      </x:c>
      <x:c r="AA3" s="19" t="n">
        <x:f>--(N3=U3)</x:f>
        <x:v>1</x:v>
      </x:c>
      <x:c r="AB3" s="19" t="str">
        <x:f>IF(X3=Y3,"UNCHANGED",IF(Y3=1,"IMPROVED","REGRESSED"))</x:f>
        <x:v>IMPROVED</x:v>
      </x:c>
      <x:c r="AC3" s="19" t="str">
        <x:f>IF(Z3=AA3,"UNCHANGED",IF(AA3=1,"IMPROVED","REGRESSED"))</x:f>
        <x:v>IMPROVED</x:v>
      </x:c>
      <x:c r="AD3" s="19" t="str">
        <x:v>SEMANTIC_MATCH</x:v>
      </x:c>
      <x:c r="AE3" s="19" t="str">
        <x:v>HIGH</x:v>
      </x:c>
      <x:c r="AF3" s="19" t="str">
        <x:v>1, 7, 10, 11, 14, 15, 8</x:v>
      </x:c>
      <x:c r="AG3" s="19" t="str">
        <x:v>ambro- Ordovician redbeds, the Erquy Spilite Series and the Trt5gasteLPloumanac'h granite complex, Armorican Massif (France and the Channel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 | eaning temperatures suggested by Briden's (1972) stability index (100-200°C) removes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x:v>
      </x:c>
      <x:c r="AH3" s="19" t="str">
        <x:v>/Users/lihd/discovery/paleomagnetic-r3-workflow/dist/paleomagnetic-r357-calibrated-workflow-full/data/parsed_mds/1152.txt</x:v>
      </x:c>
      <x:c r="AI3" s="13" t="n">
        <x:f>--(O3=N3)</x:f>
        <x:v>1</x:v>
      </x:c>
    </x:row>
    <x:row r="4" ht="54" customHeight="1">
      <x:c r="A4" s="13" t="str">
        <x:v>1152</x:v>
      </x:c>
      <x:c r="B4" s="13" t="str">
        <x:v>31</x:v>
      </x:c>
      <x:c r="C4" s="13" t="str">
        <x:v>23</x:v>
      </x:c>
      <x:c r="D4" s="19" t="str">
        <x:v>Erquy spillite series</x:v>
      </x:c>
      <x:c r="E4" s="19" t="str"/>
      <x:c r="F4" s="19" t="str">
        <x:v>49</x:v>
      </x:c>
      <x:c r="G4" s="19" t="str">
        <x:v>-2</x:v>
      </x:c>
      <x:c r="H4" s="19" t="str">
        <x:v>221</x:v>
      </x:c>
      <x:c r="I4" s="19" t="str">
        <x:v>82</x:v>
      </x:c>
      <x:c r="J4" s="19" t="str">
        <x:v>35</x:v>
      </x:c>
      <x:c r="K4" s="19" t="str">
        <x:v>344</x:v>
      </x:c>
      <x:c r="L4" s="19" t="str">
        <x:v>D</x:v>
      </x:c>
      <x:c r="M4" s="19" t="str"/>
      <x:c r="N4" s="19" t="n">
        <x:v>1</x:v>
      </x:c>
      <x:c r="O4" s="19" t="n">
        <x:f>--(LEN(M4)&gt;0)</x:f>
        <x:v>0</x:v>
      </x:c>
      <x:c r="P4" s="19" t="str">
        <x:v>ABSTAIN_ANCHOR</x:v>
      </x:c>
      <x:c r="Q4" s="19" t="str"/>
      <x:c r="R4" s="19" t="n">
        <x:v>0</x:v>
      </x:c>
      <x:c r="S4" s="19" t="str">
        <x:v>ABSTAIN_INSUFFICIENT</x:v>
      </x:c>
      <x:c r="T4" s="19" t="str"/>
      <x:c r="U4" s="19" t="n">
        <x:v>0</x:v>
      </x:c>
      <x:c r="V4" s="19" t="str">
        <x:v>PAPER_ROW_MATCH</x:v>
      </x:c>
      <x:c r="W4" s="19" t="str">
        <x:v>direction, pole</x:v>
      </x:c>
      <x:c r="X4" s="19" t="n">
        <x:f>--(O4=--(LEN(Q4)&gt;0))</x:f>
        <x:v>1</x:v>
      </x:c>
      <x:c r="Y4" s="19" t="n">
        <x:f>--(O4=--(LEN(T4)&gt;0))</x:f>
        <x:v>1</x:v>
      </x:c>
      <x:c r="Z4" s="19" t="n">
        <x:f>--(N4=R4)</x:f>
        <x:v>0</x:v>
      </x:c>
      <x:c r="AA4" s="19" t="n">
        <x:f>--(N4=U4)</x:f>
        <x:v>0</x:v>
      </x:c>
      <x:c r="AB4" s="19" t="str">
        <x:f>IF(X4=Y4,"UNCHANGED",IF(Y4=1,"IMPROVED","REGRESSED"))</x:f>
        <x:v>UNCHANGED</x:v>
      </x:c>
      <x:c r="AC4" s="19" t="str">
        <x:f>IF(Z4=AA4,"UNCHANGED",IF(AA4=1,"IMPROVED","REGRESSED"))</x:f>
        <x:v>UNCHANGED</x:v>
      </x:c>
      <x:c r="AD4" s="19" t="str">
        <x:v>TRUE_BLANK</x:v>
      </x:c>
      <x:c r="AE4" s="19" t="str">
        <x:v>LOW</x:v>
      </x:c>
      <x:c r="AF4" s="19" t="str">
        <x:v>1, 12, 18</x:v>
      </x:c>
      <x:c r="AG4" s="19" t="str">
        <x:v>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 | 356 B. A. Duff Table 5. Mean directions of NRM and palaeomagnetic pole positions of components B3 and C in the Armorican redbeds, the Erquy Spilite Series and the TrBgastel-Ploumanac’h granite. Component/rock unit N D I R k u95 Long. Lat. dp dm Redbed component B3 7sites 216 41 6.83 35.6 10 324 E 11 S 8 12 (dip-correc ted) 10spec. 214 43 9.72 31.7 9 326E 11s 7 11 Redbed component C 7 sites 228 63 6.91 70.6 7 325 E 11 N 9 1 I (dip-corrected) 16spec. 226 65 15.71 52.4 5 328E 13 N 7 8 Erquy Spilite Series 5 sites 221 82 4.92 47.2 11 344 E 35 N 21 22 (not dip-corrected) Trkgastel- Ploumanac’h 5 sites 200 9 4.97 121 7 332E 34 S 4 7 granite complex Abbreviations. D, I declination, inclination of NRM; K resultant of N unit vectors; k estimate of €,isher’s (1953) precision parameter; u9s semi-angle of the cone of 95 per cent confidence about the mean direction; dp, dm semi-angle subtended by </x:v>
      </x:c>
      <x:c r="AH4" s="19" t="str">
        <x:v>/Users/lihd/discovery/paleomagnetic-r3-workflow/dist/paleomagnetic-r357-calibrated-workflow-full/data/parsed_mds/1152.txt</x:v>
      </x:c>
      <x:c r="AI4" s="13" t="n">
        <x:f>--(O4=N4)</x:f>
        <x:v>0</x:v>
      </x:c>
    </x:row>
    <x:row r="5" ht="54" customHeight="1">
      <x:c r="A5" s="13" t="str">
        <x:v>1152</x:v>
      </x:c>
      <x:c r="B5" s="13" t="str">
        <x:v>32</x:v>
      </x:c>
      <x:c r="C5" s="13" t="str">
        <x:v>24</x:v>
      </x:c>
      <x:c r="D5" s="19" t="str">
        <x:v>Tregastel Ploumanac'h granite</x:v>
      </x:c>
      <x:c r="E5" s="19" t="str"/>
      <x:c r="F5" s="19" t="str">
        <x:v>49</x:v>
      </x:c>
      <x:c r="G5" s="19" t="str">
        <x:v>-2</x:v>
      </x:c>
      <x:c r="H5" s="19" t="str">
        <x:v>200</x:v>
      </x:c>
      <x:c r="I5" s="19" t="str">
        <x:v>9</x:v>
      </x:c>
      <x:c r="J5" s="19" t="str">
        <x:v>34</x:v>
      </x:c>
      <x:c r="K5" s="19" t="str">
        <x:v>152</x:v>
      </x:c>
      <x:c r="L5" s="19" t="str">
        <x:v>D</x:v>
      </x:c>
      <x:c r="M5" s="19" t="str"/>
      <x:c r="N5" s="19" t="n">
        <x:v>0</x:v>
      </x:c>
      <x:c r="O5" s="19" t="n">
        <x:f>--(LEN(M5)&gt;0)</x:f>
        <x:v>0</x:v>
      </x:c>
      <x:c r="P5" s="19" t="str">
        <x:v>ABSTAIN_INSUFFICIENT</x:v>
      </x:c>
      <x:c r="Q5" s="19" t="str"/>
      <x:c r="R5" s="19" t="n">
        <x:v>0</x:v>
      </x:c>
      <x:c r="S5" s="19" t="str">
        <x:v>ABSTAIN_INSUFFICIENT</x:v>
      </x:c>
      <x:c r="T5" s="19" t="str"/>
      <x:c r="U5" s="19" t="n">
        <x:v>0</x:v>
      </x:c>
      <x:c r="V5" s="19" t="str">
        <x:v>METADATA_UNIQUE</x:v>
      </x:c>
      <x:c r="W5" s="19" t="str"/>
      <x:c r="X5" s="19" t="n">
        <x:f>--(O5=--(LEN(Q5)&gt;0))</x:f>
        <x:v>1</x:v>
      </x:c>
      <x:c r="Y5" s="19" t="n">
        <x:f>--(O5=--(LEN(T5)&gt;0))</x:f>
        <x:v>1</x:v>
      </x:c>
      <x:c r="Z5" s="19" t="n">
        <x:f>--(N5=R5)</x:f>
        <x:v>1</x:v>
      </x:c>
      <x:c r="AA5" s="19" t="n">
        <x:f>--(N5=U5)</x:f>
        <x:v>1</x:v>
      </x:c>
      <x:c r="AB5" s="19" t="str">
        <x:f>IF(X5=Y5,"UNCHANGED",IF(Y5=1,"IMPROVED","REGRESSED"))</x:f>
        <x:v>UNCHANGED</x:v>
      </x:c>
      <x:c r="AC5" s="19" t="str">
        <x:f>IF(Z5=AA5,"UNCHANGED",IF(AA5=1,"IMPROVED","REGRESSED"))</x:f>
        <x:v>UNCHANGED</x:v>
      </x:c>
      <x:c r="AD5" s="19" t="str">
        <x:v>TRUE_BLANK</x:v>
      </x:c>
      <x:c r="AE5" s="19" t="str">
        <x:v>LOW</x:v>
      </x:c>
      <x:c r="AF5" s="19" t="str"/>
      <x:c r="AG5" s="19" t="str"/>
      <x:c r="AH5" s="19" t="str">
        <x:v>/Users/lihd/discovery/paleomagnetic-r3-workflow/dist/paleomagnetic-r357-calibrated-workflow-full/data/parsed_mds/1152.txt</x:v>
      </x:c>
      <x:c r="AI5" s="13" t="n">
        <x:f>--(O5=N5)</x:f>
        <x:v>1</x:v>
      </x:c>
    </x:row>
    <x:row r="6" ht="54" customHeight="1">
      <x:c r="A6" s="13" t="str">
        <x:v>3434</x:v>
      </x:c>
      <x:c r="B6" s="13" t="str">
        <x:v>8719</x:v>
      </x:c>
      <x:c r="C6" s="13" t="str">
        <x:v>7034</x:v>
      </x:c>
      <x:c r="D6" s="19" t="str">
        <x:v>West Branch Volcanics</x:v>
      </x:c>
      <x:c r="E6" s="19" t="str">
        <x:v>A Component</x:v>
      </x:c>
      <x:c r="F6" s="19" t="str">
        <x:v>-14.3</x:v>
      </x:c>
      <x:c r="G6" s="19" t="str">
        <x:v>133.2</x:v>
      </x:c>
      <x:c r="H6" s="19" t="str">
        <x:v>100.4</x:v>
      </x:c>
      <x:c r="I6" s="19" t="str">
        <x:v>42.900002</x:v>
      </x:c>
      <x:c r="J6" s="19" t="str">
        <x:v>-15.9</x:v>
      </x:c>
      <x:c r="K6" s="19" t="str">
        <x:v>200.5</x:v>
      </x:c>
      <x:c r="L6" s="19" t="str">
        <x:v>V</x:v>
      </x:c>
      <x:c r="M6" s="19" t="str">
        <x:v>SUSC-T(MAGN,HEM)</x:v>
      </x:c>
      <x:c r="N6" s="19" t="n">
        <x:v>1</x:v>
      </x:c>
      <x:c r="O6" s="19" t="n">
        <x:f>--(LEN(M6)&gt;0)</x:f>
        <x:v>1</x:v>
      </x:c>
      <x:c r="P6" s="19" t="str">
        <x:v>PRESENT</x:v>
      </x:c>
      <x:c r="Q6" s="19" t="str">
        <x:v>SUSC-T(MAGN,HEM)</x:v>
      </x:c>
      <x:c r="R6" s="19" t="n">
        <x:v>1</x:v>
      </x:c>
      <x:c r="S6" s="19" t="str">
        <x:v>PRESENT</x:v>
      </x:c>
      <x:c r="T6" s="19" t="str">
        <x:v>SUSC-T(MAGN,HEM)</x:v>
      </x:c>
      <x:c r="U6" s="19" t="n">
        <x:v>1</x:v>
      </x:c>
      <x:c r="V6" s="19" t="str">
        <x:v>PAPER_ROW_MATCH</x:v>
      </x:c>
      <x:c r="W6" s="19" t="str">
        <x:v>component, pole</x:v>
      </x:c>
      <x:c r="X6" s="19" t="n">
        <x:f>--(O6=--(LEN(Q6)&gt;0))</x:f>
        <x:v>1</x:v>
      </x:c>
      <x:c r="Y6" s="19" t="n">
        <x:f>--(O6=--(LEN(T6)&gt;0))</x:f>
        <x:v>1</x:v>
      </x:c>
      <x:c r="Z6" s="19" t="n">
        <x:f>--(N6=R6)</x:f>
        <x:v>1</x:v>
      </x:c>
      <x:c r="AA6" s="19" t="n">
        <x:f>--(N6=U6)</x:f>
        <x:v>1</x:v>
      </x:c>
      <x:c r="AB6" s="19" t="str">
        <x:f>IF(X6=Y6,"UNCHANGED",IF(Y6=1,"IMPROVED","REGRESSED"))</x:f>
        <x:v>UNCHANGED</x:v>
      </x:c>
      <x:c r="AC6" s="19" t="str">
        <x:f>IF(Z6=AA6,"UNCHANGED",IF(AA6=1,"IMPROVED","REGRESSED"))</x:f>
        <x:v>UNCHANGED</x:v>
      </x:c>
      <x:c r="AD6" s="19" t="str">
        <x:v>EXACT_FIELD</x:v>
      </x:c>
      <x:c r="AE6" s="19" t="str">
        <x:v>HIGH</x:v>
      </x:c>
      <x:c r="AF6" s="19" t="str">
        <x:v>8, 5, 4, 17, 18</x:v>
      </x:c>
      <x:c r="AG6" s="19" t="str">
        <x:v>temperature changes of susceptibility | yielding a total volcanics of a mineral with a Curie temperature of ≤580°C | magnetite | hematite</x:v>
      </x:c>
      <x:c r="AH6" s="19" t="str">
        <x:v>/Users/lihd/discovery/paleomagnetic-r3-workflow/dist/paleomagnetic-r357-calibrated-workflow-full/data/parsed_mds/3434.txt</x:v>
      </x:c>
      <x:c r="AI6" s="13" t="n">
        <x:f>--(O6=N6)</x:f>
        <x:v>1</x:v>
      </x:c>
    </x:row>
    <x:row r="7" ht="54" customHeight="1">
      <x:c r="A7" s="13" t="str">
        <x:v>3434</x:v>
      </x:c>
      <x:c r="B7" s="13" t="str">
        <x:v>8720</x:v>
      </x:c>
      <x:c r="C7" s="13" t="str">
        <x:v>7035</x:v>
      </x:c>
      <x:c r="D7" s="19" t="str">
        <x:v>Masterson Sandstone</x:v>
      </x:c>
      <x:c r="E7" s="19" t="str">
        <x:v>A Component</x:v>
      </x:c>
      <x:c r="F7" s="19" t="str">
        <x:v>-17.1</x:v>
      </x:c>
      <x:c r="G7" s="19" t="str">
        <x:v>135.89999</x:v>
      </x:c>
      <x:c r="H7" s="19" t="str">
        <x:v>2.4000001</x:v>
      </x:c>
      <x:c r="I7" s="19" t="str">
        <x:v>-33.099998</x:v>
      </x:c>
      <x:c r="J7" s="19" t="str">
        <x:v>-87.5</x:v>
      </x:c>
      <x:c r="K7" s="19" t="str">
        <x:v>73.400002</x:v>
      </x:c>
      <x:c r="L7" s="19" t="str">
        <x:v>V</x:v>
      </x:c>
      <x:c r="M7" s="19" t="str"/>
      <x:c r="N7" s="19" t="n">
        <x:v>0</x:v>
      </x:c>
      <x:c r="O7" s="19" t="n">
        <x:f>--(LEN(M7)&gt;0)</x:f>
        <x:v>0</x:v>
      </x:c>
      <x:c r="P7" s="19" t="str">
        <x:v>ABSTAIN_ANCHOR</x:v>
      </x:c>
      <x:c r="Q7" s="19" t="str"/>
      <x:c r="R7" s="19" t="n">
        <x:v>0</x:v>
      </x:c>
      <x:c r="S7" s="19" t="str">
        <x:v>ABSTAIN_INSUFFICIENT</x:v>
      </x:c>
      <x:c r="T7" s="19" t="str"/>
      <x:c r="U7" s="19" t="n">
        <x:v>0</x:v>
      </x:c>
      <x:c r="V7" s="19" t="str">
        <x:v>PAPER_ROW_MATCH</x:v>
      </x:c>
      <x:c r="W7" s="19" t="str">
        <x:v>component</x:v>
      </x:c>
      <x:c r="X7" s="19" t="n">
        <x:f>--(O7=--(LEN(Q7)&gt;0))</x:f>
        <x:v>1</x:v>
      </x:c>
      <x:c r="Y7" s="19" t="n">
        <x:f>--(O7=--(LEN(T7)&gt;0))</x:f>
        <x:v>1</x:v>
      </x:c>
      <x:c r="Z7" s="19" t="n">
        <x:f>--(N7=R7)</x:f>
        <x:v>1</x:v>
      </x:c>
      <x:c r="AA7" s="19" t="n">
        <x:f>--(N7=U7)</x:f>
        <x:v>1</x:v>
      </x:c>
      <x:c r="AB7" s="19" t="str">
        <x:f>IF(X7=Y7,"UNCHANGED",IF(Y7=1,"IMPROVED","REGRESSED"))</x:f>
        <x:v>UNCHANGED</x:v>
      </x:c>
      <x:c r="AC7" s="19" t="str">
        <x:f>IF(Z7=AA7,"UNCHANGED",IF(AA7=1,"IMPROVED","REGRESSED"))</x:f>
        <x:v>UNCHANGED</x:v>
      </x:c>
      <x:c r="AD7" s="19" t="str">
        <x:v>TRUE_BLANK</x:v>
      </x:c>
      <x:c r="AE7" s="19" t="str">
        <x:v>LOW</x:v>
      </x:c>
      <x:c r="AF7" s="19" t="str">
        <x:v>10, 11, 12, 13, 14</x:v>
      </x:c>
      <x:c r="AG7" s="19" t="str">
        <x:v>olomitic samples. Plots (c) and (d) show reman- ence directions from the red samples before (F) and after (B) bedding corrections, both groups being distinctly elon- gate. The directions from the site adjacent to a fault are indi- cated by squares.Plot (e) shows site mean remanence direc- tions for grey and light-brown samples.Heavy cross and plus indicate the present dipole and present field directions at the sampling locality. Symbols as in Figure 3. siliciclastics. However, a combination of AF followed by the pole plots in stratigraphic sequence relative to other thermal demagnetisation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 | 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the two directions—a characteristic of remanences due to lightning formations. strikes which may be expected at the exposed sampling site. The second component (LT) was removed at the initial BALBIRINI DOLOMITE (100°C) heating step,suggesting that it is carried by goethite and is therefore probably modern.The third,often small, A primary palaeomagnetic pole has been reported previ- component (A) unblocked in the temperature range ously for the Balbirini Dolomite (Idnurm et al. 1995). 400–650°C and had a moderate upward inclination to the However,the NABRE sequence-stratigraph</x:v>
      </x:c>
      <x:c r="AH7" s="19" t="str">
        <x:v>/Users/lihd/discovery/paleomagnetic-r3-workflow/dist/paleomagnetic-r357-calibrated-workflow-full/data/parsed_mds/3434.txt</x:v>
      </x:c>
      <x:c r="AI7" s="13" t="n">
        <x:f>--(O7=N7)</x:f>
        <x:v>1</x:v>
      </x:c>
    </x:row>
    <x:row r="8" ht="54" customHeight="1">
      <x:c r="A8" s="13" t="str">
        <x:v>3434</x:v>
      </x:c>
      <x:c r="B8" s="13" t="str">
        <x:v>8721</x:v>
      </x:c>
      <x:c r="C8" s="13" t="str">
        <x:v>7036</x:v>
      </x:c>
      <x:c r="D8" s="19" t="str">
        <x:v>Lynott Formation</x:v>
      </x:c>
      <x:c r="E8" s="19" t="str">
        <x:v>A Component</x:v>
      </x:c>
      <x:c r="F8" s="19" t="str">
        <x:v>-16.700001</x:v>
      </x:c>
      <x:c r="G8" s="19" t="str">
        <x:v>136</x:v>
      </x:c>
      <x:c r="H8" s="19" t="str">
        <x:v>352.20001</x:v>
      </x:c>
      <x:c r="I8" s="19" t="str">
        <x:v>-48.700001</x:v>
      </x:c>
      <x:c r="J8" s="19" t="str">
        <x:v>-75.099998</x:v>
      </x:c>
      <x:c r="K8" s="19" t="str">
        <x:v>162.8</x:v>
      </x:c>
      <x:c r="L8" s="19" t="str">
        <x:v>V</x:v>
      </x:c>
      <x:c r="M8" s="19" t="str"/>
      <x:c r="N8" s="19" t="n">
        <x:v>0</x:v>
      </x:c>
      <x:c r="O8" s="19" t="n">
        <x:f>--(LEN(M8)&gt;0)</x:f>
        <x:v>0</x:v>
      </x:c>
      <x:c r="P8" s="19" t="str">
        <x:v>ABSTAIN_INSUFFICIENT</x:v>
      </x:c>
      <x:c r="Q8" s="19" t="str"/>
      <x:c r="R8" s="19" t="n">
        <x:v>0</x:v>
      </x:c>
      <x:c r="S8" s="19" t="str">
        <x:v>ABSTAIN_INSUFFICIENT</x:v>
      </x:c>
      <x:c r="T8" s="19" t="str"/>
      <x:c r="U8" s="19" t="n">
        <x:v>0</x:v>
      </x:c>
      <x:c r="V8" s="19" t="str">
        <x:v>PAPER_ROW_MATCH</x:v>
      </x:c>
      <x:c r="W8" s="19" t="str">
        <x:v>component</x:v>
      </x:c>
      <x:c r="X8" s="19" t="n">
        <x:f>--(O8=--(LEN(Q8)&gt;0))</x:f>
        <x:v>1</x:v>
      </x:c>
      <x:c r="Y8" s="19" t="n">
        <x:f>--(O8=--(LEN(T8)&gt;0))</x:f>
        <x:v>1</x:v>
      </x:c>
      <x:c r="Z8" s="19" t="n">
        <x:f>--(N8=R8)</x:f>
        <x:v>1</x:v>
      </x:c>
      <x:c r="AA8" s="19" t="n">
        <x:f>--(N8=U8)</x:f>
        <x:v>1</x:v>
      </x:c>
      <x:c r="AB8" s="19" t="str">
        <x:f>IF(X8=Y8,"UNCHANGED",IF(Y8=1,"IMPROVED","REGRESSED"))</x:f>
        <x:v>UNCHANGED</x:v>
      </x:c>
      <x:c r="AC8" s="19" t="str">
        <x:f>IF(Z8=AA8,"UNCHANGED",IF(AA8=1,"IMPROVED","REGRESSED"))</x:f>
        <x:v>UNCHANGED</x:v>
      </x:c>
      <x:c r="AD8" s="19" t="str">
        <x:v>TRUE_BLANK</x:v>
      </x:c>
      <x:c r="AE8" s="19" t="str">
        <x:v>LOW</x:v>
      </x:c>
      <x:c r="AF8" s="19" t="str">
        <x:v>10, 11, 17, 18</x:v>
      </x:c>
      <x:c r="AG8" s="19" t="str">
        <x:v>olomitic samples. Plots (c) and (d) show reman- ence directions from the red samples before (F) and after (B) bedding corrections, both groups being distinctly elon- gate. The directions from the site adjacent to a fault are indi- cated by squares.Plot (e) shows site mean remanence direc- tions for grey and light-brown samples.Heavy cross and plus indicate the present dipole and present field directions at the sampling locality. Symbols as in Figure 3. siliciclastics. However, a combination of AF followed by the pole plots in stratigraphic sequence relative to other thermal demagnetisation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 | 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the two directions—a characteristic of remanences due to lightning formations. strikes which may be expected at the exposed sampling site. The second component (LT) was removed at the initial BALBIRINI DOLOMITE (100°C) heating step,suggesting that it is carried by goethite and is therefore probably modern.The third,often small, A primary palaeomagnetic pole has been reported previ- component (A) unblocked in the temperature range ously for the Balbirini Dolomite (Idnurm et al. 1995). 400–650°C and had a moderate upward inclination to the However,the NABRE sequence-stratigraph</x:v>
      </x:c>
      <x:c r="AH8" s="19" t="str">
        <x:v>/Users/lihd/discovery/paleomagnetic-r3-workflow/dist/paleomagnetic-r357-calibrated-workflow-full/data/parsed_mds/3434.txt</x:v>
      </x:c>
      <x:c r="AI8" s="13" t="n">
        <x:f>--(O8=N8)</x:f>
        <x:v>1</x:v>
      </x:c>
    </x:row>
    <x:row r="9" ht="54" customHeight="1">
      <x:c r="A9" s="13" t="str">
        <x:v>3434</x:v>
      </x:c>
      <x:c r="B9" s="13" t="str">
        <x:v>8722</x:v>
      </x:c>
      <x:c r="C9" s="13" t="str">
        <x:v>7037</x:v>
      </x:c>
      <x:c r="D9" s="19" t="str">
        <x:v>Amos Formation</x:v>
      </x:c>
      <x:c r="E9" s="19" t="str"/>
      <x:c r="F9" s="19" t="str">
        <x:v>-16.799999</x:v>
      </x:c>
      <x:c r="G9" s="19" t="str">
        <x:v>137.7</x:v>
      </x:c>
      <x:c r="H9" s="19" t="str">
        <x:v>341.29999</x:v>
      </x:c>
      <x:c r="I9" s="19" t="str">
        <x:v>-51.900002</x:v>
      </x:c>
      <x:c r="J9" s="19" t="str">
        <x:v>-66.5</x:v>
      </x:c>
      <x:c r="K9" s="19" t="str">
        <x:v>178.39999</x:v>
      </x:c>
      <x:c r="L9" s="19" t="str">
        <x:v>V</x:v>
      </x:c>
      <x:c r="M9" s="19" t="str"/>
      <x:c r="N9" s="19" t="n">
        <x:v>0</x:v>
      </x:c>
      <x:c r="O9" s="19" t="n">
        <x:f>--(LEN(M9)&gt;0)</x:f>
        <x:v>0</x:v>
      </x:c>
      <x:c r="P9" s="19" t="str">
        <x:v>ABSTAIN_INSUFFICIENT</x:v>
      </x:c>
      <x:c r="Q9" s="19" t="str"/>
      <x:c r="R9" s="19" t="n">
        <x:v>0</x:v>
      </x:c>
      <x:c r="S9" s="19" t="str">
        <x:v>ABSTAIN_INSUFFICIENT</x:v>
      </x:c>
      <x:c r="T9" s="19" t="str"/>
      <x:c r="U9" s="19" t="n">
        <x:v>0</x:v>
      </x:c>
      <x:c r="V9" s="19" t="str">
        <x:v>METADATA_UNIQUE</x:v>
      </x:c>
      <x:c r="W9" s="19" t="str"/>
      <x:c r="X9" s="19" t="n">
        <x:f>--(O9=--(LEN(Q9)&gt;0))</x:f>
        <x:v>1</x:v>
      </x:c>
      <x:c r="Y9" s="19" t="n">
        <x:f>--(O9=--(LEN(T9)&gt;0))</x:f>
        <x:v>1</x:v>
      </x:c>
      <x:c r="Z9" s="19" t="n">
        <x:f>--(N9=R9)</x:f>
        <x:v>1</x:v>
      </x:c>
      <x:c r="AA9" s="19" t="n">
        <x:f>--(N9=U9)</x:f>
        <x:v>1</x:v>
      </x:c>
      <x:c r="AB9" s="19" t="str">
        <x:f>IF(X9=Y9,"UNCHANGED",IF(Y9=1,"IMPROVED","REGRESSED"))</x:f>
        <x:v>UNCHANGED</x:v>
      </x:c>
      <x:c r="AC9" s="19" t="str">
        <x:f>IF(Z9=AA9,"UNCHANGED",IF(AA9=1,"IMPROVED","REGRESSED"))</x:f>
        <x:v>UNCHANGED</x:v>
      </x:c>
      <x:c r="AD9" s="19" t="str">
        <x:v>TRUE_BLANK</x:v>
      </x:c>
      <x:c r="AE9" s="19" t="str">
        <x:v>LOW</x:v>
      </x:c>
      <x:c r="AF9" s="19" t="str"/>
      <x:c r="AG9" s="19" t="str"/>
      <x:c r="AH9" s="19" t="str">
        <x:v>/Users/lihd/discovery/paleomagnetic-r3-workflow/dist/paleomagnetic-r357-calibrated-workflow-full/data/parsed_mds/3434.txt</x:v>
      </x:c>
      <x:c r="AI9" s="13" t="n">
        <x:f>--(O9=N9)</x:f>
        <x:v>1</x:v>
      </x:c>
    </x:row>
    <x:row r="10" ht="54" customHeight="1">
      <x:c r="A10" s="13" t="str">
        <x:v>3434</x:v>
      </x:c>
      <x:c r="B10" s="13" t="str">
        <x:v>8723</x:v>
      </x:c>
      <x:c r="C10" s="13" t="str">
        <x:v>7038</x:v>
      </x:c>
      <x:c r="D10" s="19" t="str">
        <x:v>Balbirini Dolomite, lower part</x:v>
      </x:c>
      <x:c r="E10" s="19" t="str"/>
      <x:c r="F10" s="19" t="str">
        <x:v>-16.799999</x:v>
      </x:c>
      <x:c r="G10" s="19" t="str">
        <x:v>135.7</x:v>
      </x:c>
      <x:c r="H10" s="19" t="str">
        <x:v>341.10001</x:v>
      </x:c>
      <x:c r="I10" s="19" t="str">
        <x:v>-51.799999</x:v>
      </x:c>
      <x:c r="J10" s="19" t="str">
        <x:v>-66.099998</x:v>
      </x:c>
      <x:c r="K10" s="19" t="str">
        <x:v>177.5</x:v>
      </x:c>
      <x:c r="L10" s="19" t="str">
        <x:v>V</x:v>
      </x:c>
      <x:c r="M10" s="19" t="str"/>
      <x:c r="N10" s="19" t="n">
        <x:v>0</x:v>
      </x:c>
      <x:c r="O10" s="19" t="n">
        <x:f>--(LEN(M10)&gt;0)</x:f>
        <x:v>0</x:v>
      </x:c>
      <x:c r="P10" s="19" t="str">
        <x:v>ABSTAIN_INSUFFICIENT</x:v>
      </x:c>
      <x:c r="Q10" s="19" t="str"/>
      <x:c r="R10" s="19" t="n">
        <x:v>0</x:v>
      </x:c>
      <x:c r="S10" s="19" t="str">
        <x:v>ABSTAIN_INSUFFICIENT</x:v>
      </x:c>
      <x:c r="T10" s="19" t="str"/>
      <x:c r="U10" s="19" t="n">
        <x:v>0</x:v>
      </x:c>
      <x:c r="V10" s="19" t="str">
        <x:v>METADATA_UNIQUE</x:v>
      </x:c>
      <x:c r="W10" s="19" t="str"/>
      <x:c r="X10" s="19" t="n">
        <x:f>--(O10=--(LEN(Q10)&gt;0))</x:f>
        <x:v>1</x:v>
      </x:c>
      <x:c r="Y10" s="19" t="n">
        <x:f>--(O10=--(LEN(T10)&gt;0))</x:f>
        <x:v>1</x:v>
      </x:c>
      <x:c r="Z10" s="19" t="n">
        <x:f>--(N10=R10)</x:f>
        <x:v>1</x:v>
      </x:c>
      <x:c r="AA10" s="19" t="n">
        <x:f>--(N10=U10)</x:f>
        <x:v>1</x:v>
      </x:c>
      <x:c r="AB10" s="19" t="str">
        <x:f>IF(X10=Y10,"UNCHANGED",IF(Y10=1,"IMPROVED","REGRESSED"))</x:f>
        <x:v>UNCHANGED</x:v>
      </x:c>
      <x:c r="AC10" s="19" t="str">
        <x:f>IF(Z10=AA10,"UNCHANGED",IF(AA10=1,"IMPROVED","REGRESSED"))</x:f>
        <x:v>UNCHANGED</x:v>
      </x:c>
      <x:c r="AD10" s="19" t="str">
        <x:v>TRUE_BLANK</x:v>
      </x:c>
      <x:c r="AE10" s="19" t="str">
        <x:v>LOW</x:v>
      </x:c>
      <x:c r="AF10" s="19" t="str"/>
      <x:c r="AG10" s="19" t="str"/>
      <x:c r="AH10" s="19" t="str">
        <x:v>/Users/lihd/discovery/paleomagnetic-r3-workflow/dist/paleomagnetic-r357-calibrated-workflow-full/data/parsed_mds/3434.txt</x:v>
      </x:c>
      <x:c r="AI10" s="13" t="n">
        <x:f>--(O10=N10)</x:f>
        <x:v>1</x:v>
      </x:c>
    </x:row>
    <x:row r="11" ht="54" customHeight="1">
      <x:c r="A11" s="13" t="str">
        <x:v>3434</x:v>
      </x:c>
      <x:c r="B11" s="13" t="str">
        <x:v>8724</x:v>
      </x:c>
      <x:c r="C11" s="13" t="str">
        <x:v>7039</x:v>
      </x:c>
      <x:c r="D11" s="19" t="str">
        <x:v>Balbirini Dolomite, upper part</x:v>
      </x:c>
      <x:c r="E11" s="19" t="str"/>
      <x:c r="F11" s="19" t="str">
        <x:v>-16.799999</x:v>
      </x:c>
      <x:c r="G11" s="19" t="str">
        <x:v>135.7</x:v>
      </x:c>
      <x:c r="H11" s="19" t="str">
        <x:v>326.5</x:v>
      </x:c>
      <x:c r="I11" s="19" t="str">
        <x:v>-60.200001</x:v>
      </x:c>
      <x:c r="J11" s="19" t="str">
        <x:v>-52</x:v>
      </x:c>
      <x:c r="K11" s="19" t="str">
        <x:v>176.10001</x:v>
      </x:c>
      <x:c r="L11" s="19" t="str">
        <x:v>V</x:v>
      </x:c>
      <x:c r="M11" s="19" t="str"/>
      <x:c r="N11" s="19" t="n">
        <x:v>0</x:v>
      </x:c>
      <x:c r="O11" s="19" t="n">
        <x:f>--(LEN(M11)&gt;0)</x:f>
        <x:v>0</x:v>
      </x:c>
      <x:c r="P11" s="19" t="str">
        <x:v>ABSTAIN_INSUFFICIENT</x:v>
      </x:c>
      <x:c r="Q11" s="19" t="str"/>
      <x:c r="R11" s="19" t="n">
        <x:v>0</x:v>
      </x:c>
      <x:c r="S11" s="19" t="str">
        <x:v>ABSTAIN_INSUFFICIENT</x:v>
      </x:c>
      <x:c r="T11" s="19" t="str"/>
      <x:c r="U11" s="19" t="n">
        <x:v>0</x:v>
      </x:c>
      <x:c r="V11" s="19" t="str">
        <x:v>METADATA_UNIQUE</x:v>
      </x:c>
      <x:c r="W11" s="19" t="str"/>
      <x:c r="X11" s="19" t="n">
        <x:f>--(O11=--(LEN(Q11)&gt;0))</x:f>
        <x:v>1</x:v>
      </x:c>
      <x:c r="Y11" s="19" t="n">
        <x:f>--(O11=--(LEN(T11)&gt;0))</x:f>
        <x:v>1</x:v>
      </x:c>
      <x:c r="Z11" s="19" t="n">
        <x:f>--(N11=R11)</x:f>
        <x:v>1</x:v>
      </x:c>
      <x:c r="AA11" s="19" t="n">
        <x:f>--(N11=U11)</x:f>
        <x:v>1</x:v>
      </x:c>
      <x:c r="AB11" s="19" t="str">
        <x:f>IF(X11=Y11,"UNCHANGED",IF(Y11=1,"IMPROVED","REGRESSED"))</x:f>
        <x:v>UNCHANGED</x:v>
      </x:c>
      <x:c r="AC11" s="19" t="str">
        <x:f>IF(Z11=AA11,"UNCHANGED",IF(AA11=1,"IMPROVED","REGRESSED"))</x:f>
        <x:v>UNCHANGED</x:v>
      </x:c>
      <x:c r="AD11" s="19" t="str">
        <x:v>TRUE_BLANK</x:v>
      </x:c>
      <x:c r="AE11" s="19" t="str">
        <x:v>LOW</x:v>
      </x:c>
      <x:c r="AF11" s="19" t="str"/>
      <x:c r="AG11" s="19" t="str"/>
      <x:c r="AH11" s="19" t="str">
        <x:v>/Users/lihd/discovery/paleomagnetic-r3-workflow/dist/paleomagnetic-r357-calibrated-workflow-full/data/parsed_mds/3434.txt</x:v>
      </x:c>
      <x:c r="AI11" s="13" t="n">
        <x:f>--(O11=N11)</x:f>
        <x:v>1</x:v>
      </x:c>
    </x:row>
    <x:row r="12" ht="54" customHeight="1">
      <x:c r="A12" s="13" t="str">
        <x:v>3434</x:v>
      </x:c>
      <x:c r="B12" s="13" t="str">
        <x:v>8725</x:v>
      </x:c>
      <x:c r="C12" s="13" t="str">
        <x:v>7040</x:v>
      </x:c>
      <x:c r="D12" s="19" t="str">
        <x:v>Peters Creek Volcanics, upper part</x:v>
      </x:c>
      <x:c r="E12" s="19" t="str">
        <x:v>A Component</x:v>
      </x:c>
      <x:c r="F12" s="19" t="str">
        <x:v>-17.799999</x:v>
      </x:c>
      <x:c r="G12" s="19" t="str">
        <x:v>138.2</x:v>
      </x:c>
      <x:c r="H12" s="19" t="str">
        <x:v>293</x:v>
      </x:c>
      <x:c r="I12" s="19" t="str">
        <x:v>-26.4</x:v>
      </x:c>
      <x:c r="J12" s="19" t="str">
        <x:v>-26</x:v>
      </x:c>
      <x:c r="K12" s="19" t="str">
        <x:v>221</x:v>
      </x:c>
      <x:c r="L12" s="19" t="str">
        <x:v>V</x:v>
      </x:c>
      <x:c r="M12" s="19" t="str"/>
      <x:c r="N12" s="19" t="n">
        <x:v>0</x:v>
      </x:c>
      <x:c r="O12" s="19" t="n">
        <x:f>--(LEN(M12)&gt;0)</x:f>
        <x:v>0</x:v>
      </x:c>
      <x:c r="P12" s="19" t="str">
        <x:v>ABSTAIN_INSUFFICIENT</x:v>
      </x:c>
      <x:c r="Q12" s="19" t="str"/>
      <x:c r="R12" s="19" t="n">
        <x:v>0</x:v>
      </x:c>
      <x:c r="S12" s="19" t="str">
        <x:v>ABSTAIN_INSUFFICIENT</x:v>
      </x:c>
      <x:c r="T12" s="19" t="str"/>
      <x:c r="U12" s="19" t="n">
        <x:v>0</x:v>
      </x:c>
      <x:c r="V12" s="19" t="str">
        <x:v>PAPER_ROW_MATCH</x:v>
      </x:c>
      <x:c r="W12" s="19" t="str">
        <x:v>component</x:v>
      </x:c>
      <x:c r="X12" s="19" t="n">
        <x:f>--(O12=--(LEN(Q12)&gt;0))</x:f>
        <x:v>1</x:v>
      </x:c>
      <x:c r="Y12" s="19" t="n">
        <x:f>--(O12=--(LEN(T12)&gt;0))</x:f>
        <x:v>1</x:v>
      </x:c>
      <x:c r="Z12" s="19" t="n">
        <x:f>--(N12=R12)</x:f>
        <x:v>1</x:v>
      </x:c>
      <x:c r="AA12" s="19" t="n">
        <x:f>--(N12=U12)</x:f>
        <x:v>1</x:v>
      </x:c>
      <x:c r="AB12" s="19" t="str">
        <x:f>IF(X12=Y12,"UNCHANGED",IF(Y12=1,"IMPROVED","REGRESSED"))</x:f>
        <x:v>UNCHANGED</x:v>
      </x:c>
      <x:c r="AC12" s="19" t="str">
        <x:f>IF(Z12=AA12,"UNCHANGED",IF(AA12=1,"IMPROVED","REGRESSED"))</x:f>
        <x:v>UNCHANGED</x:v>
      </x:c>
      <x:c r="AD12" s="19" t="str">
        <x:v>TRUE_BLANK</x:v>
      </x:c>
      <x:c r="AE12" s="19" t="str">
        <x:v>LOW</x:v>
      </x:c>
      <x:c r="AF12" s="19" t="str">
        <x:v>10, 11, 12, 15, 16</x:v>
      </x:c>
      <x:c r="AG12" s="19" t="str">
        <x:v>olomitic samples. Plots (c) and (d) show reman- ence directions from the red samples before (F) and after (B) bedding corrections, both groups being distinctly elon- gate. The directions from the site adjacent to a fault are indi- cated by squares.Plot (e) shows site mean remanence direc- tions for grey and light-brown samples.Heavy cross and plus indicate the present dipole and present field directions at the sampling locality. Symbols as in Figure 3. siliciclastics. However, a combination of AF followed by the pole plots in stratigraphic sequence relative to other thermal demagnetisation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 | 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the two directions—a characteristic of remanences due to lightning formations. strikes which may be expected at the exposed sampling site. The second component (LT) was removed at the initial BALBIRINI DOLOMITE (100°C) heating step,suggesting that it is carried by goethite and is therefore probably modern.The third,often small, A primary palaeomagnetic pole has been reported previ- component (A) unblocked in the temperature range ously for the Balbirini Dolomite (Idnurm et al. 1995). 400–650°C and had a moderate upward inclination to the However,the NABRE sequence-stratigraph</x:v>
      </x:c>
      <x:c r="AH12" s="19" t="str">
        <x:v>/Users/lihd/discovery/paleomagnetic-r3-workflow/dist/paleomagnetic-r357-calibrated-workflow-full/data/parsed_mds/3434.txt</x:v>
      </x:c>
      <x:c r="AI12" s="13" t="n">
        <x:f>--(O12=N12)</x:f>
        <x:v>1</x:v>
      </x:c>
    </x:row>
    <x:row r="13" ht="54" customHeight="1">
      <x:c r="A13" s="13" t="str">
        <x:v>3434</x:v>
      </x:c>
      <x:c r="B13" s="13" t="str">
        <x:v>8726</x:v>
      </x:c>
      <x:c r="C13" s="13" t="str">
        <x:v>7041</x:v>
      </x:c>
      <x:c r="D13" s="19" t="str">
        <x:v>Buddawadda Basalt (intrusives)</x:v>
      </x:c>
      <x:c r="E13" s="19" t="str">
        <x:v>C Component</x:v>
      </x:c>
      <x:c r="F13" s="19" t="str">
        <x:v>-17.799999</x:v>
      </x:c>
      <x:c r="G13" s="19" t="str">
        <x:v>138.2</x:v>
      </x:c>
      <x:c r="H13" s="19" t="str">
        <x:v>100</x:v>
      </x:c>
      <x:c r="I13" s="19" t="str">
        <x:v>5.4000001</x:v>
      </x:c>
      <x:c r="J13" s="19" t="str">
        <x:v>-10.3</x:v>
      </x:c>
      <x:c r="K13" s="19" t="str">
        <x:v>228.8</x:v>
      </x:c>
      <x:c r="L13" s="19" t="str">
        <x:v>V</x:v>
      </x:c>
      <x:c r="M13" s="19" t="str"/>
      <x:c r="N13" s="19" t="n">
        <x:v>0</x:v>
      </x:c>
      <x:c r="O13" s="19" t="n">
        <x:f>--(LEN(M13)&gt;0)</x:f>
        <x:v>0</x:v>
      </x:c>
      <x:c r="P13" s="19" t="str">
        <x:v>ABSTAIN_INSUFFICIENT</x:v>
      </x:c>
      <x:c r="Q13" s="19" t="str"/>
      <x:c r="R13" s="19" t="n">
        <x:v>0</x:v>
      </x:c>
      <x:c r="S13" s="19" t="str">
        <x:v>ABSTAIN_INSUFFICIENT</x:v>
      </x:c>
      <x:c r="T13" s="19" t="str"/>
      <x:c r="U13" s="19" t="n">
        <x:v>0</x:v>
      </x:c>
      <x:c r="V13" s="19" t="str">
        <x:v>PAPER_ROW_MATCH</x:v>
      </x:c>
      <x:c r="W13" s="19" t="str">
        <x:v>component</x:v>
      </x:c>
      <x:c r="X13" s="19" t="n">
        <x:f>--(O13=--(LEN(Q13)&gt;0))</x:f>
        <x:v>1</x:v>
      </x:c>
      <x:c r="Y13" s="19" t="n">
        <x:f>--(O13=--(LEN(T13)&gt;0))</x:f>
        <x:v>1</x:v>
      </x:c>
      <x:c r="Z13" s="19" t="n">
        <x:f>--(N13=R13)</x:f>
        <x:v>1</x:v>
      </x:c>
      <x:c r="AA13" s="19" t="n">
        <x:f>--(N13=U13)</x:f>
        <x:v>1</x:v>
      </x:c>
      <x:c r="AB13" s="19" t="str">
        <x:f>IF(X13=Y13,"UNCHANGED",IF(Y13=1,"IMPROVED","REGRESSED"))</x:f>
        <x:v>UNCHANGED</x:v>
      </x:c>
      <x:c r="AC13" s="19" t="str">
        <x:f>IF(Z13=AA13,"UNCHANGED",IF(AA13=1,"IMPROVED","REGRESSED"))</x:f>
        <x:v>UNCHANGED</x:v>
      </x:c>
      <x:c r="AD13" s="19" t="str">
        <x:v>TRUE_BLANK</x:v>
      </x:c>
      <x:c r="AE13" s="19" t="str">
        <x:v>LOW</x:v>
      </x:c>
      <x:c r="AF13" s="19" t="str">
        <x:v>12, 13, 15</x:v>
      </x:c>
      <x:c r="AG13" s="19" t="str">
        <x:v>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 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x:v>
      </x:c>
      <x:c r="AH13" s="19" t="str">
        <x:v>/Users/lihd/discovery/paleomagnetic-r3-workflow/dist/paleomagnetic-r357-calibrated-workflow-full/data/parsed_mds/3434.txt</x:v>
      </x:c>
      <x:c r="AI13" s="13" t="n">
        <x:f>--(O13=N13)</x:f>
        <x:v>1</x:v>
      </x:c>
    </x:row>
    <x:row r="14" ht="54" customHeight="1">
      <x:c r="A14" s="13" t="str">
        <x:v>3434</x:v>
      </x:c>
      <x:c r="B14" s="13" t="str">
        <x:v>8727</x:v>
      </x:c>
      <x:c r="C14" s="13" t="str">
        <x:v>7042</x:v>
      </x:c>
      <x:c r="D14" s="19" t="str">
        <x:v>Buddawadda Basalt</x:v>
      </x:c>
      <x:c r="E14" s="19" t="str">
        <x:v>D Component</x:v>
      </x:c>
      <x:c r="F14" s="19" t="str">
        <x:v>-17.799999</x:v>
      </x:c>
      <x:c r="G14" s="19" t="str">
        <x:v>138.2</x:v>
      </x:c>
      <x:c r="H14" s="19" t="str">
        <x:v>308.60001</x:v>
      </x:c>
      <x:c r="I14" s="19" t="str">
        <x:v>-2.0999999</x:v>
      </x:c>
      <x:c r="J14" s="19" t="str">
        <x:v>-36.799999</x:v>
      </x:c>
      <x:c r="K14" s="19" t="str">
        <x:v>240.8</x:v>
      </x:c>
      <x:c r="L14" s="19" t="str">
        <x:v>V</x:v>
      </x:c>
      <x:c r="M14" s="19" t="str"/>
      <x:c r="N14" s="19" t="n">
        <x:v>0</x:v>
      </x:c>
      <x:c r="O14" s="19" t="n">
        <x:f>--(LEN(M14)&gt;0)</x:f>
        <x:v>0</x:v>
      </x:c>
      <x:c r="P14" s="19" t="str">
        <x:v>ABSTAIN_INSUFFICIENT</x:v>
      </x:c>
      <x:c r="Q14" s="19" t="str"/>
      <x:c r="R14" s="19" t="n">
        <x:v>0</x:v>
      </x:c>
      <x:c r="S14" s="19" t="str">
        <x:v>ABSTAIN_INSUFFICIENT</x:v>
      </x:c>
      <x:c r="T14" s="19" t="str"/>
      <x:c r="U14" s="19" t="n">
        <x:v>0</x:v>
      </x:c>
      <x:c r="V14" s="19" t="str">
        <x:v>PAPER_ROW_MATCH</x:v>
      </x:c>
      <x:c r="W14" s="19" t="str">
        <x:v>component</x:v>
      </x:c>
      <x:c r="X14" s="19" t="n">
        <x:f>--(O14=--(LEN(Q14)&gt;0))</x:f>
        <x:v>1</x:v>
      </x:c>
      <x:c r="Y14" s="19" t="n">
        <x:f>--(O14=--(LEN(T14)&gt;0))</x:f>
        <x:v>1</x:v>
      </x:c>
      <x:c r="Z14" s="19" t="n">
        <x:f>--(N14=R14)</x:f>
        <x:v>1</x:v>
      </x:c>
      <x:c r="AA14" s="19" t="n">
        <x:f>--(N14=U14)</x:f>
        <x:v>1</x:v>
      </x:c>
      <x:c r="AB14" s="19" t="str">
        <x:f>IF(X14=Y14,"UNCHANGED",IF(Y14=1,"IMPROVED","REGRESSED"))</x:f>
        <x:v>UNCHANGED</x:v>
      </x:c>
      <x:c r="AC14" s="19" t="str">
        <x:f>IF(Z14=AA14,"UNCHANGED",IF(AA14=1,"IMPROVED","REGRESSED"))</x:f>
        <x:v>UNCHANGED</x:v>
      </x:c>
      <x:c r="AD14" s="19" t="str">
        <x:v>TRUE_BLANK</x:v>
      </x:c>
      <x:c r="AE14" s="19" t="str">
        <x:v>LOW</x:v>
      </x:c>
      <x:c r="AF14" s="19" t="str">
        <x:v>12, 14, 15, 16</x:v>
      </x:c>
      <x:c r="AG14" s="19" t="str">
        <x:v>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 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x:v>
      </x:c>
      <x:c r="AH14" s="19" t="str">
        <x:v>/Users/lihd/discovery/paleomagnetic-r3-workflow/dist/paleomagnetic-r357-calibrated-workflow-full/data/parsed_mds/3434.txt</x:v>
      </x:c>
      <x:c r="AI14" s="13" t="n">
        <x:f>--(O14=N14)</x:f>
        <x:v>1</x:v>
      </x:c>
    </x:row>
    <x:row r="15" ht="54" customHeight="1">
      <x:c r="A15" s="13" t="str">
        <x:v>3434</x:v>
      </x:c>
      <x:c r="B15" s="13" t="str">
        <x:v>8728</x:v>
      </x:c>
      <x:c r="C15" s="13" t="str">
        <x:v>7043</x:v>
      </x:c>
      <x:c r="D15" s="19" t="str">
        <x:v>Fish River Formation (Pff1)</x:v>
      </x:c>
      <x:c r="E15" s="19" t="str">
        <x:v>A Component</x:v>
      </x:c>
      <x:c r="F15" s="19" t="str">
        <x:v>-17.799999</x:v>
      </x:c>
      <x:c r="G15" s="19" t="str">
        <x:v>138.10001</x:v>
      </x:c>
      <x:c r="H15" s="19" t="str">
        <x:v>262.10001</x:v>
      </x:c>
      <x:c r="I15" s="19" t="str">
        <x:v>70.5</x:v>
      </x:c>
      <x:c r="J15" s="19" t="str">
        <x:v>-18.9</x:v>
      </x:c>
      <x:c r="K15" s="19" t="str">
        <x:v>101.5</x:v>
      </x:c>
      <x:c r="L15" s="19" t="str">
        <x:v>V</x:v>
      </x:c>
      <x:c r="M15" s="19" t="str"/>
      <x:c r="N15" s="19" t="n">
        <x:v>0</x:v>
      </x:c>
      <x:c r="O15" s="19" t="n">
        <x:f>--(LEN(M15)&gt;0)</x:f>
        <x:v>0</x:v>
      </x:c>
      <x:c r="P15" s="19" t="str">
        <x:v>ABSTAIN_INSUFFICIENT</x:v>
      </x:c>
      <x:c r="Q15" s="19" t="str"/>
      <x:c r="R15" s="19" t="n">
        <x:v>0</x:v>
      </x:c>
      <x:c r="S15" s="19" t="str">
        <x:v>ABSTAIN_INSUFFICIENT</x:v>
      </x:c>
      <x:c r="T15" s="19" t="str"/>
      <x:c r="U15" s="19" t="n">
        <x:v>0</x:v>
      </x:c>
      <x:c r="V15" s="19" t="str">
        <x:v>PAPER_ROW_MATCH</x:v>
      </x:c>
      <x:c r="W15" s="19" t="str">
        <x:v>component</x:v>
      </x:c>
      <x:c r="X15" s="19" t="n">
        <x:f>--(O15=--(LEN(Q15)&gt;0))</x:f>
        <x:v>1</x:v>
      </x:c>
      <x:c r="Y15" s="19" t="n">
        <x:f>--(O15=--(LEN(T15)&gt;0))</x:f>
        <x:v>1</x:v>
      </x:c>
      <x:c r="Z15" s="19" t="n">
        <x:f>--(N15=R15)</x:f>
        <x:v>1</x:v>
      </x:c>
      <x:c r="AA15" s="19" t="n">
        <x:f>--(N15=U15)</x:f>
        <x:v>1</x:v>
      </x:c>
      <x:c r="AB15" s="19" t="str">
        <x:f>IF(X15=Y15,"UNCHANGED",IF(Y15=1,"IMPROVED","REGRESSED"))</x:f>
        <x:v>UNCHANGED</x:v>
      </x:c>
      <x:c r="AC15" s="19" t="str">
        <x:f>IF(Z15=AA15,"UNCHANGED",IF(AA15=1,"IMPROVED","REGRESSED"))</x:f>
        <x:v>UNCHANGED</x:v>
      </x:c>
      <x:c r="AD15" s="19" t="str">
        <x:v>TRUE_BLANK</x:v>
      </x:c>
      <x:c r="AE15" s="19" t="str">
        <x:v>LOW</x:v>
      </x:c>
      <x:c r="AF15" s="19" t="str">
        <x:v>10, 11, 12, 13, 14</x:v>
      </x:c>
      <x:c r="AG15" s="19" t="str">
        <x:v>olomitic samples. Plots (c) and (d) show reman- ence directions from the red samples before (F) and after (B) bedding corrections, both groups being distinctly elon- gate. The directions from the site adjacent to a fault are indi- cated by squares.Plot (e) shows site mean remanence direc- tions for grey and light-brown samples.Heavy cross and plus indicate the present dipole and present field directions at the sampling locality. Symbols as in Figure 3. siliciclastics. However, a combination of AF followed by the pole plots in stratigraphic sequence relative to other thermal demagnetisation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 | 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the two directions—a characteristic of remanences due to lightning formations. strikes which may be expected at the exposed sampling site. The second component (LT) was removed at the initial BALBIRINI DOLOMITE (100°C) heating step,suggesting that it is carried by goethite and is therefore probably modern.The third,often small, A primary palaeomagnetic pole has been reported previ- component (A) unblocked in the temperature range ously for the Balbirini Dolomite (Idnurm et al. 1995). 400–650°C and had a moderate upward inclination to the However,the NABRE sequence-stratigraph</x:v>
      </x:c>
      <x:c r="AH15" s="19" t="str">
        <x:v>/Users/lihd/discovery/paleomagnetic-r3-workflow/dist/paleomagnetic-r357-calibrated-workflow-full/data/parsed_mds/3434.txt</x:v>
      </x:c>
      <x:c r="AI15" s="13" t="n">
        <x:f>--(O15=N15)</x:f>
        <x:v>1</x:v>
      </x:c>
    </x:row>
    <x:row r="16" ht="54" customHeight="1">
      <x:c r="A16" s="13" t="str">
        <x:v>3434</x:v>
      </x:c>
      <x:c r="B16" s="13" t="str">
        <x:v>8729</x:v>
      </x:c>
      <x:c r="C16" s="13" t="str">
        <x:v>7044</x:v>
      </x:c>
      <x:c r="D16" s="19" t="str">
        <x:v>Fish River Formation (Pff2)</x:v>
      </x:c>
      <x:c r="E16" s="19" t="str">
        <x:v>C Component</x:v>
      </x:c>
      <x:c r="F16" s="19" t="str">
        <x:v>-17.799999</x:v>
      </x:c>
      <x:c r="G16" s="19" t="str">
        <x:v>138.10001</x:v>
      </x:c>
      <x:c r="H16" s="19" t="str">
        <x:v>143</x:v>
      </x:c>
      <x:c r="I16" s="19" t="str">
        <x:v>51.5</x:v>
      </x:c>
      <x:c r="J16" s="19" t="str">
        <x:v>-53.900002</x:v>
      </x:c>
      <x:c r="K16" s="19" t="str">
        <x:v>196.8</x:v>
      </x:c>
      <x:c r="L16" s="19" t="str">
        <x:v>V</x:v>
      </x:c>
      <x:c r="M16" s="19" t="str"/>
      <x:c r="N16" s="19" t="n">
        <x:v>0</x:v>
      </x:c>
      <x:c r="O16" s="19" t="n">
        <x:f>--(LEN(M16)&gt;0)</x:f>
        <x:v>0</x:v>
      </x:c>
      <x:c r="P16" s="19" t="str">
        <x:v>ABSTAIN_INSUFFICIENT</x:v>
      </x:c>
      <x:c r="Q16" s="19" t="str"/>
      <x:c r="R16" s="19" t="n">
        <x:v>0</x:v>
      </x:c>
      <x:c r="S16" s="19" t="str">
        <x:v>ABSTAIN_INSUFFICIENT</x:v>
      </x:c>
      <x:c r="T16" s="19" t="str"/>
      <x:c r="U16" s="19" t="n">
        <x:v>0</x:v>
      </x:c>
      <x:c r="V16" s="19" t="str">
        <x:v>PAPER_ROW_MATCH</x:v>
      </x:c>
      <x:c r="W16" s="19" t="str">
        <x:v>component</x:v>
      </x:c>
      <x:c r="X16" s="19" t="n">
        <x:f>--(O16=--(LEN(Q16)&gt;0))</x:f>
        <x:v>1</x:v>
      </x:c>
      <x:c r="Y16" s="19" t="n">
        <x:f>--(O16=--(LEN(T16)&gt;0))</x:f>
        <x:v>1</x:v>
      </x:c>
      <x:c r="Z16" s="19" t="n">
        <x:f>--(N16=R16)</x:f>
        <x:v>1</x:v>
      </x:c>
      <x:c r="AA16" s="19" t="n">
        <x:f>--(N16=U16)</x:f>
        <x:v>1</x:v>
      </x:c>
      <x:c r="AB16" s="19" t="str">
        <x:f>IF(X16=Y16,"UNCHANGED",IF(Y16=1,"IMPROVED","REGRESSED"))</x:f>
        <x:v>UNCHANGED</x:v>
      </x:c>
      <x:c r="AC16" s="19" t="str">
        <x:f>IF(Z16=AA16,"UNCHANGED",IF(AA16=1,"IMPROVED","REGRESSED"))</x:f>
        <x:v>UNCHANGED</x:v>
      </x:c>
      <x:c r="AD16" s="19" t="str">
        <x:v>TRUE_BLANK</x:v>
      </x:c>
      <x:c r="AE16" s="19" t="str">
        <x:v>LOW</x:v>
      </x:c>
      <x:c r="AF16" s="19" t="str">
        <x:v>12, 13, 15, 17</x:v>
      </x:c>
      <x:c r="AG16" s="19" t="str">
        <x:v>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 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x:v>
      </x:c>
      <x:c r="AH16" s="19" t="str">
        <x:v>/Users/lihd/discovery/paleomagnetic-r3-workflow/dist/paleomagnetic-r357-calibrated-workflow-full/data/parsed_mds/3434.txt</x:v>
      </x:c>
      <x:c r="AI16" s="13" t="n">
        <x:f>--(O16=N16)</x:f>
        <x:v>1</x:v>
      </x:c>
    </x:row>
    <x:row r="17" ht="54" customHeight="1">
      <x:c r="A17" s="13" t="str">
        <x:v>3434</x:v>
      </x:c>
      <x:c r="B17" s="13" t="str">
        <x:v>8730</x:v>
      </x:c>
      <x:c r="C17" s="13" t="str">
        <x:v>7045</x:v>
      </x:c>
      <x:c r="D17" s="19" t="str">
        <x:v>Mt Les Siltstone</x:v>
      </x:c>
      <x:c r="E17" s="19" t="str">
        <x:v>A Component</x:v>
      </x:c>
      <x:c r="F17" s="19" t="str">
        <x:v>-17.799999</x:v>
      </x:c>
      <x:c r="G17" s="19" t="str">
        <x:v>138.10001</x:v>
      </x:c>
      <x:c r="H17" s="19" t="str">
        <x:v>1.6</x:v>
      </x:c>
      <x:c r="I17" s="19" t="str">
        <x:v>-37.700001</x:v>
      </x:c>
      <x:c r="J17" s="19" t="str">
        <x:v>-86.300003</x:v>
      </x:c>
      <x:c r="K17" s="19" t="str">
        <x:v>114.1</x:v>
      </x:c>
      <x:c r="L17" s="19" t="str">
        <x:v>V</x:v>
      </x:c>
      <x:c r="M17" s="19" t="str"/>
      <x:c r="N17" s="19" t="n">
        <x:v>0</x:v>
      </x:c>
      <x:c r="O17" s="19" t="n">
        <x:f>--(LEN(M17)&gt;0)</x:f>
        <x:v>0</x:v>
      </x:c>
      <x:c r="P17" s="19" t="str">
        <x:v>ABSTAIN_INSUFFICIENT</x:v>
      </x:c>
      <x:c r="Q17" s="19" t="str"/>
      <x:c r="R17" s="19" t="n">
        <x:v>0</x:v>
      </x:c>
      <x:c r="S17" s="19" t="str">
        <x:v>ABSTAIN_INSUFFICIENT</x:v>
      </x:c>
      <x:c r="T17" s="19" t="str"/>
      <x:c r="U17" s="19" t="n">
        <x:v>0</x:v>
      </x:c>
      <x:c r="V17" s="19" t="str">
        <x:v>PAPER_ROW_MATCH</x:v>
      </x:c>
      <x:c r="W17" s="19" t="str">
        <x:v>component</x:v>
      </x:c>
      <x:c r="X17" s="19" t="n">
        <x:f>--(O17=--(LEN(Q17)&gt;0))</x:f>
        <x:v>1</x:v>
      </x:c>
      <x:c r="Y17" s="19" t="n">
        <x:f>--(O17=--(LEN(T17)&gt;0))</x:f>
        <x:v>1</x:v>
      </x:c>
      <x:c r="Z17" s="19" t="n">
        <x:f>--(N17=R17)</x:f>
        <x:v>1</x:v>
      </x:c>
      <x:c r="AA17" s="19" t="n">
        <x:f>--(N17=U17)</x:f>
        <x:v>1</x:v>
      </x:c>
      <x:c r="AB17" s="19" t="str">
        <x:f>IF(X17=Y17,"UNCHANGED",IF(Y17=1,"IMPROVED","REGRESSED"))</x:f>
        <x:v>UNCHANGED</x:v>
      </x:c>
      <x:c r="AC17" s="19" t="str">
        <x:f>IF(Z17=AA17,"UNCHANGED",IF(AA17=1,"IMPROVED","REGRESSED"))</x:f>
        <x:v>UNCHANGED</x:v>
      </x:c>
      <x:c r="AD17" s="19" t="str">
        <x:v>TRUE_BLANK</x:v>
      </x:c>
      <x:c r="AE17" s="19" t="str">
        <x:v>LOW</x:v>
      </x:c>
      <x:c r="AF17" s="19" t="str">
        <x:v>12, 13, 14</x:v>
      </x:c>
      <x:c r="AG17" s="19" t="str">
        <x:v>416 M. 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 oss-bedded fluvial sandstones. The second spread between the A and C directions (Figure 9d). This interval was a dark red-brown, weathered (ocherous),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 | ous</x:v>
      </x:c>
      <x:c r="AH17" s="19" t="str">
        <x:v>/Users/lihd/discovery/paleomagnetic-r3-workflow/dist/paleomagnetic-r357-calibrated-workflow-full/data/parsed_mds/3434.txt</x:v>
      </x:c>
      <x:c r="AI17" s="13" t="n">
        <x:f>--(O17=N17)</x:f>
        <x:v>1</x:v>
      </x:c>
    </x:row>
    <x:row r="18" ht="54" customHeight="1">
      <x:c r="A18" s="13" t="str">
        <x:v>3434</x:v>
      </x:c>
      <x:c r="B18" s="13" t="str">
        <x:v>8731</x:v>
      </x:c>
      <x:c r="C18" s="13" t="str">
        <x:v>7046</x:v>
      </x:c>
      <x:c r="D18" s="19" t="str">
        <x:v>Lochness Formation</x:v>
      </x:c>
      <x:c r="E18" s="19" t="str">
        <x:v>A Component</x:v>
      </x:c>
      <x:c r="F18" s="19" t="str">
        <x:v>-19.700001</x:v>
      </x:c>
      <x:c r="G18" s="19" t="str">
        <x:v>139.2</x:v>
      </x:c>
      <x:c r="H18" s="19" t="str">
        <x:v>6.8000002</x:v>
      </x:c>
      <x:c r="I18" s="19" t="str">
        <x:v>-40.599998</x:v>
      </x:c>
      <x:c r="J18" s="19" t="str">
        <x:v>-82.300003</x:v>
      </x:c>
      <x:c r="K18" s="19" t="str">
        <x:v>86.800003</x:v>
      </x:c>
      <x:c r="L18" s="19" t="str">
        <x:v>V</x:v>
      </x:c>
      <x:c r="M18" s="19" t="str"/>
      <x:c r="N18" s="19" t="n">
        <x:v>0</x:v>
      </x:c>
      <x:c r="O18" s="19" t="n">
        <x:f>--(LEN(M18)&gt;0)</x:f>
        <x:v>0</x:v>
      </x:c>
      <x:c r="P18" s="19" t="str">
        <x:v>ABSTAIN_IDENTITY</x:v>
      </x:c>
      <x:c r="Q18" s="19" t="str"/>
      <x:c r="R18" s="19" t="n">
        <x:v>0</x:v>
      </x:c>
      <x:c r="S18" s="19" t="str">
        <x:v>ABSTAIN_INSUFFICIENT</x:v>
      </x:c>
      <x:c r="T18" s="19" t="str"/>
      <x:c r="U18" s="19" t="n">
        <x:v>0</x:v>
      </x:c>
      <x:c r="V18" s="19" t="str">
        <x:v>METADATA_UNIQUE</x:v>
      </x:c>
      <x:c r="W18" s="19" t="str"/>
      <x:c r="X18" s="19" t="n">
        <x:f>--(O18=--(LEN(Q18)&gt;0))</x:f>
        <x:v>1</x:v>
      </x:c>
      <x:c r="Y18" s="19" t="n">
        <x:f>--(O18=--(LEN(T18)&gt;0))</x:f>
        <x:v>1</x:v>
      </x:c>
      <x:c r="Z18" s="19" t="n">
        <x:f>--(N18=R18)</x:f>
        <x:v>1</x:v>
      </x:c>
      <x:c r="AA18" s="19" t="n">
        <x:f>--(N18=U18)</x:f>
        <x:v>1</x:v>
      </x:c>
      <x:c r="AB18" s="19" t="str">
        <x:f>IF(X18=Y18,"UNCHANGED",IF(Y18=1,"IMPROVED","REGRESSED"))</x:f>
        <x:v>UNCHANGED</x:v>
      </x:c>
      <x:c r="AC18" s="19" t="str">
        <x:f>IF(Z18=AA18,"UNCHANGED",IF(AA18=1,"IMPROVED","REGRESSED"))</x:f>
        <x:v>UNCHANGED</x:v>
      </x:c>
      <x:c r="AD18" s="19" t="str">
        <x:v>TRUE_BLANK</x:v>
      </x:c>
      <x:c r="AE18" s="19" t="str">
        <x:v>LOW</x:v>
      </x:c>
      <x:c r="AF18" s="19" t="str"/>
      <x:c r="AG18" s="19" t="str"/>
      <x:c r="AH18" s="19" t="str">
        <x:v>/Users/lihd/discovery/paleomagnetic-r3-workflow/dist/paleomagnetic-r357-calibrated-workflow-full/data/parsed_mds/3434.txt</x:v>
      </x:c>
      <x:c r="AI18" s="13" t="n">
        <x:f>--(O18=N18)</x:f>
        <x:v>1</x:v>
      </x:c>
    </x:row>
    <x:row r="19" ht="54" customHeight="1">
      <x:c r="A19" s="13" t="str">
        <x:v>3434</x:v>
      </x:c>
      <x:c r="B19" s="13" t="str">
        <x:v>8732</x:v>
      </x:c>
      <x:c r="C19" s="13" t="str">
        <x:v>7046</x:v>
      </x:c>
      <x:c r="D19" s="19" t="str">
        <x:v>Lochness Formation</x:v>
      </x:c>
      <x:c r="E19" s="19" t="str">
        <x:v>A Component</x:v>
      </x:c>
      <x:c r="F19" s="19" t="str">
        <x:v>-19.700001</x:v>
      </x:c>
      <x:c r="G19" s="19" t="str">
        <x:v>139.2</x:v>
      </x:c>
      <x:c r="H19" s="19" t="str">
        <x:v>118.9</x:v>
      </x:c>
      <x:c r="I19" s="19" t="str">
        <x:v>24.200001</x:v>
      </x:c>
      <x:c r="J19" s="19" t="str">
        <x:v>-31.200001</x:v>
      </x:c>
      <x:c r="K19" s="19" t="str">
        <x:v>225.60001</x:v>
      </x:c>
      <x:c r="L19" s="19" t="str">
        <x:v>V</x:v>
      </x:c>
      <x:c r="M19" s="19" t="str"/>
      <x:c r="N19" s="19" t="n">
        <x:v>0</x:v>
      </x:c>
      <x:c r="O19" s="19" t="n">
        <x:f>--(LEN(M19)&gt;0)</x:f>
        <x:v>0</x:v>
      </x:c>
      <x:c r="P19" s="19" t="str">
        <x:v>ABSTAIN_IDENTITY</x:v>
      </x:c>
      <x:c r="Q19" s="19" t="str"/>
      <x:c r="R19" s="19" t="n">
        <x:v>0</x:v>
      </x:c>
      <x:c r="S19" s="19" t="str">
        <x:v>ABSTAIN_INSUFFICIENT</x:v>
      </x:c>
      <x:c r="T19" s="19" t="str"/>
      <x:c r="U19" s="19" t="n">
        <x:v>0</x:v>
      </x:c>
      <x:c r="V19" s="19" t="str">
        <x:v>METADATA_UNIQUE</x:v>
      </x:c>
      <x:c r="W19" s="19" t="str"/>
      <x:c r="X19" s="19" t="n">
        <x:f>--(O19=--(LEN(Q19)&gt;0))</x:f>
        <x:v>1</x:v>
      </x:c>
      <x:c r="Y19" s="19" t="n">
        <x:f>--(O19=--(LEN(T19)&gt;0))</x:f>
        <x:v>1</x:v>
      </x:c>
      <x:c r="Z19" s="19" t="n">
        <x:f>--(N19=R19)</x:f>
        <x:v>1</x:v>
      </x:c>
      <x:c r="AA19" s="19" t="n">
        <x:f>--(N19=U19)</x:f>
        <x:v>1</x:v>
      </x:c>
      <x:c r="AB19" s="19" t="str">
        <x:f>IF(X19=Y19,"UNCHANGED",IF(Y19=1,"IMPROVED","REGRESSED"))</x:f>
        <x:v>UNCHANGED</x:v>
      </x:c>
      <x:c r="AC19" s="19" t="str">
        <x:f>IF(Z19=AA19,"UNCHANGED",IF(AA19=1,"IMPROVED","REGRESSED"))</x:f>
        <x:v>UNCHANGED</x:v>
      </x:c>
      <x:c r="AD19" s="19" t="str">
        <x:v>TRUE_BLANK</x:v>
      </x:c>
      <x:c r="AE19" s="19" t="str">
        <x:v>LOW</x:v>
      </x:c>
      <x:c r="AF19" s="19" t="str"/>
      <x:c r="AG19" s="19" t="str"/>
      <x:c r="AH19" s="19" t="str">
        <x:v>/Users/lihd/discovery/paleomagnetic-r3-workflow/dist/paleomagnetic-r357-calibrated-workflow-full/data/parsed_mds/3434.txt</x:v>
      </x:c>
      <x:c r="AI19" s="13" t="n">
        <x:f>--(O19=N19)</x:f>
        <x:v>1</x:v>
      </x:c>
    </x:row>
    <x:row r="20" ht="54" customHeight="1">
      <x:c r="A20" s="13" t="str">
        <x:v>3434</x:v>
      </x:c>
      <x:c r="B20" s="13" t="str">
        <x:v>8733</x:v>
      </x:c>
      <x:c r="C20" s="13" t="str">
        <x:v>7047</x:v>
      </x:c>
      <x:c r="D20" s="19" t="str">
        <x:v>Fiery Creek Formation</x:v>
      </x:c>
      <x:c r="E20" s="19" t="str">
        <x:v>A Component</x:v>
      </x:c>
      <x:c r="F20" s="19" t="str">
        <x:v>-19.700001</x:v>
      </x:c>
      <x:c r="G20" s="19" t="str">
        <x:v>139.2</x:v>
      </x:c>
      <x:c r="H20" s="19" t="str">
        <x:v>1</x:v>
      </x:c>
      <x:c r="I20" s="19" t="str">
        <x:v>-38.700001</x:v>
      </x:c>
      <x:c r="J20" s="19" t="str">
        <x:v>-87.300003</x:v>
      </x:c>
      <x:c r="K20" s="19" t="str">
        <x:v>119.6</x:v>
      </x:c>
      <x:c r="L20" s="19" t="str">
        <x:v>V</x:v>
      </x:c>
      <x:c r="M20" s="19" t="str"/>
      <x:c r="N20" s="19" t="n">
        <x:v>0</x:v>
      </x:c>
      <x:c r="O20" s="19" t="n">
        <x:f>--(LEN(M20)&gt;0)</x:f>
        <x:v>0</x:v>
      </x:c>
      <x:c r="P20" s="19" t="str">
        <x:v>ABSTAIN_IDENTITY</x:v>
      </x:c>
      <x:c r="Q20" s="19" t="str"/>
      <x:c r="R20" s="19" t="n">
        <x:v>0</x:v>
      </x:c>
      <x:c r="S20" s="19" t="str">
        <x:v>ABSTAIN_INSUFFICIENT</x:v>
      </x:c>
      <x:c r="T20" s="19" t="str"/>
      <x:c r="U20" s="19" t="n">
        <x:v>0</x:v>
      </x:c>
      <x:c r="V20" s="19" t="str">
        <x:v>PAPER_ROW_MATCH</x:v>
      </x:c>
      <x:c r="W20" s="19" t="str">
        <x:v>component</x:v>
      </x:c>
      <x:c r="X20" s="19" t="n">
        <x:f>--(O20=--(LEN(Q20)&gt;0))</x:f>
        <x:v>1</x:v>
      </x:c>
      <x:c r="Y20" s="19" t="n">
        <x:f>--(O20=--(LEN(T20)&gt;0))</x:f>
        <x:v>1</x:v>
      </x:c>
      <x:c r="Z20" s="19" t="n">
        <x:f>--(N20=R20)</x:f>
        <x:v>1</x:v>
      </x:c>
      <x:c r="AA20" s="19" t="n">
        <x:f>--(N20=U20)</x:f>
        <x:v>1</x:v>
      </x:c>
      <x:c r="AB20" s="19" t="str">
        <x:f>IF(X20=Y20,"UNCHANGED",IF(Y20=1,"IMPROVED","REGRESSED"))</x:f>
        <x:v>UNCHANGED</x:v>
      </x:c>
      <x:c r="AC20" s="19" t="str">
        <x:f>IF(Z20=AA20,"UNCHANGED",IF(AA20=1,"IMPROVED","REGRESSED"))</x:f>
        <x:v>UNCHANGED</x:v>
      </x:c>
      <x:c r="AD20" s="19" t="str">
        <x:v>TRUE_BLANK</x:v>
      </x:c>
      <x:c r="AE20" s="19" t="str">
        <x:v>LOW</x:v>
      </x:c>
      <x:c r="AF20" s="19" t="str">
        <x:v>13, 14</x:v>
      </x:c>
      <x:c r="AG20" s="19" t="str">
        <x:v>oss-bedded fluvial sandstones. The second spread between the A and C directions (Figure 9d). This interval was a dark red-brown, weathered (ocherous),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 | 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siliciclastics and subordin- the overprint B in the Peters Creek Volcanics and is there- ate carbonates.Also present are tuffaceous beds contain</x:v>
      </x:c>
      <x:c r="AH20" s="19" t="str">
        <x:v>/Users/lihd/discovery/paleomagnetic-r3-workflow/dist/paleomagnetic-r357-calibrated-workflow-full/data/parsed_mds/3434.txt</x:v>
      </x:c>
      <x:c r="AI20" s="13" t="n">
        <x:f>--(O20=N20)</x:f>
        <x:v>1</x:v>
      </x:c>
    </x:row>
    <x:row r="21" ht="54" customHeight="1">
      <x:c r="A21" s="13" t="str">
        <x:v>3434</x:v>
      </x:c>
      <x:c r="B21" s="13" t="str">
        <x:v>8734</x:v>
      </x:c>
      <x:c r="C21" s="13" t="str">
        <x:v>7047</x:v>
      </x:c>
      <x:c r="D21" s="19" t="str">
        <x:v>Fiery Creek Formation</x:v>
      </x:c>
      <x:c r="E21" s="19" t="str">
        <x:v>B Component</x:v>
      </x:c>
      <x:c r="F21" s="19" t="str">
        <x:v>-19.700001</x:v>
      </x:c>
      <x:c r="G21" s="19" t="str">
        <x:v>139.2</x:v>
      </x:c>
      <x:c r="H21" s="19" t="str">
        <x:v>108</x:v>
      </x:c>
      <x:c r="I21" s="19" t="str">
        <x:v>40.099998</x:v>
      </x:c>
      <x:c r="J21" s="19" t="str">
        <x:v>-23.9</x:v>
      </x:c>
      <x:c r="K21" s="19" t="str">
        <x:v>211.8</x:v>
      </x:c>
      <x:c r="L21" s="19" t="str">
        <x:v>V</x:v>
      </x:c>
      <x:c r="M21" s="19" t="str"/>
      <x:c r="N21" s="19" t="n">
        <x:v>0</x:v>
      </x:c>
      <x:c r="O21" s="19" t="n">
        <x:f>--(LEN(M21)&gt;0)</x:f>
        <x:v>0</x:v>
      </x:c>
      <x:c r="P21" s="19" t="str">
        <x:v>ABSTAIN_IDENTITY</x:v>
      </x:c>
      <x:c r="Q21" s="19" t="str"/>
      <x:c r="R21" s="19" t="n">
        <x:v>0</x:v>
      </x:c>
      <x:c r="S21" s="19" t="str">
        <x:v>ABSTAIN_INSUFFICIENT</x:v>
      </x:c>
      <x:c r="T21" s="19" t="str"/>
      <x:c r="U21" s="19" t="n">
        <x:v>0</x:v>
      </x:c>
      <x:c r="V21" s="19" t="str">
        <x:v>PAPER_ROW_MATCH</x:v>
      </x:c>
      <x:c r="W21" s="19" t="str">
        <x:v>component</x:v>
      </x:c>
      <x:c r="X21" s="19" t="n">
        <x:f>--(O21=--(LEN(Q21)&gt;0))</x:f>
        <x:v>1</x:v>
      </x:c>
      <x:c r="Y21" s="19" t="n">
        <x:f>--(O21=--(LEN(T21)&gt;0))</x:f>
        <x:v>1</x:v>
      </x:c>
      <x:c r="Z21" s="19" t="n">
        <x:f>--(N21=R21)</x:f>
        <x:v>1</x:v>
      </x:c>
      <x:c r="AA21" s="19" t="n">
        <x:f>--(N21=U21)</x:f>
        <x:v>1</x:v>
      </x:c>
      <x:c r="AB21" s="19" t="str">
        <x:f>IF(X21=Y21,"UNCHANGED",IF(Y21=1,"IMPROVED","REGRESSED"))</x:f>
        <x:v>UNCHANGED</x:v>
      </x:c>
      <x:c r="AC21" s="19" t="str">
        <x:f>IF(Z21=AA21,"UNCHANGED",IF(AA21=1,"IMPROVED","REGRESSED"))</x:f>
        <x:v>UNCHANGED</x:v>
      </x:c>
      <x:c r="AD21" s="19" t="str">
        <x:v>TRUE_BLANK</x:v>
      </x:c>
      <x:c r="AE21" s="19" t="str">
        <x:v>LOW</x:v>
      </x:c>
      <x:c r="AF21" s="19" t="str">
        <x:v>13, 14, 15</x:v>
      </x:c>
      <x:c r="AG21" s="19" t="str">
        <x:v>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siliciclastics and subordin- the overprint B in the Peters Creek Volcanics and is there- ate carbonates.Also present are tuffaceous beds containing fore likewise an overprint. zircons that have been dated by the U–Pb SHRIMP tech- The Pff2 site contains component B (pole FSHO3 in nique at 164067Ma (Page &amp; Sweet 1998). The formation Table 2) that unblocks at 640–660°C and is bipolar with a was sampled in the lower ~25m of a cliff where Wire Creek mode | 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x:v>
      </x:c>
      <x:c r="AH21" s="19" t="str">
        <x:v>/Users/lihd/discovery/paleomagnetic-r3-workflow/dist/paleomagnetic-r357-calibrated-workflow-full/data/parsed_mds/3434.txt</x:v>
      </x:c>
      <x:c r="AI21" s="13" t="n">
        <x:f>--(O21=N21)</x:f>
        <x:v>1</x:v>
      </x:c>
    </x:row>
    <x:row r="22" ht="54" customHeight="1">
      <x:c r="A22" s="13" t="str">
        <x:v>3434</x:v>
      </x:c>
      <x:c r="B22" s="13" t="str">
        <x:v>8735</x:v>
      </x:c>
      <x:c r="C22" s="13" t="str">
        <x:v>7048</x:v>
      </x:c>
      <x:c r="D22" s="19" t="str">
        <x:v>Gunpowder Creek Formation</x:v>
      </x:c>
      <x:c r="E22" s="19" t="str">
        <x:v>B Component</x:v>
      </x:c>
      <x:c r="F22" s="19" t="str">
        <x:v>-19.700001</x:v>
      </x:c>
      <x:c r="G22" s="19" t="str">
        <x:v>139.2</x:v>
      </x:c>
      <x:c r="H22" s="19" t="str">
        <x:v>123.4</x:v>
      </x:c>
      <x:c r="I22" s="19" t="str">
        <x:v>54.200001</x:v>
      </x:c>
      <x:c r="J22" s="19" t="str">
        <x:v>-38.5</x:v>
      </x:c>
      <x:c r="K22" s="19" t="str">
        <x:v>198.89999</x:v>
      </x:c>
      <x:c r="L22" s="19" t="str">
        <x:v>V</x:v>
      </x:c>
      <x:c r="M22" s="19" t="str"/>
      <x:c r="N22" s="19" t="n">
        <x:v>0</x:v>
      </x:c>
      <x:c r="O22" s="19" t="n">
        <x:f>--(LEN(M22)&gt;0)</x:f>
        <x:v>0</x:v>
      </x:c>
      <x:c r="P22" s="19" t="str">
        <x:v>ABSTAIN_IDENTITY</x:v>
      </x:c>
      <x:c r="Q22" s="19" t="str"/>
      <x:c r="R22" s="19" t="n">
        <x:v>0</x:v>
      </x:c>
      <x:c r="S22" s="19" t="str">
        <x:v>ABSTAIN_INSUFFICIENT</x:v>
      </x:c>
      <x:c r="T22" s="19" t="str"/>
      <x:c r="U22" s="19" t="n">
        <x:v>0</x:v>
      </x:c>
      <x:c r="V22" s="19" t="str">
        <x:v>PAPER_ROW_MATCH</x:v>
      </x:c>
      <x:c r="W22" s="19" t="str">
        <x:v>component</x:v>
      </x:c>
      <x:c r="X22" s="19" t="n">
        <x:f>--(O22=--(LEN(Q22)&gt;0))</x:f>
        <x:v>1</x:v>
      </x:c>
      <x:c r="Y22" s="19" t="n">
        <x:f>--(O22=--(LEN(T22)&gt;0))</x:f>
        <x:v>1</x:v>
      </x:c>
      <x:c r="Z22" s="19" t="n">
        <x:f>--(N22=R22)</x:f>
        <x:v>1</x:v>
      </x:c>
      <x:c r="AA22" s="19" t="n">
        <x:f>--(N22=U22)</x:f>
        <x:v>1</x:v>
      </x:c>
      <x:c r="AB22" s="19" t="str">
        <x:f>IF(X22=Y22,"UNCHANGED",IF(Y22=1,"IMPROVED","REGRESSED"))</x:f>
        <x:v>UNCHANGED</x:v>
      </x:c>
      <x:c r="AC22" s="19" t="str">
        <x:f>IF(Z22=AA22,"UNCHANGED",IF(AA22=1,"IMPROVED","REGRESSED"))</x:f>
        <x:v>UNCHANGED</x:v>
      </x:c>
      <x:c r="AD22" s="19" t="str">
        <x:v>TRUE_BLANK</x:v>
      </x:c>
      <x:c r="AE22" s="19" t="str">
        <x:v>LOW</x:v>
      </x:c>
      <x:c r="AF22" s="19" t="str">
        <x:v>15, 12, 13, 14</x:v>
      </x:c>
      <x:c r="AG22" s="19" t="str">
        <x:v>emanence intensity plot (inset) at this temperature suggests that the change is due to the removal of a small magnetite remanence.Symbols as in Figure 3. That component was,however,too poorly defined to give a west-downward inclined group in a background of highly reliable pole. scattered directions (Figure 13a).Tilt corrections dispersed the group (Figure 13b),indicating that the magnetisation is post-deformational,i.e.an overprint.Its mean direction GUNPOWDER CREEK FORMATION (declination 250.0°,inclination 66.8°) gives the pole GPRO1. The Gunpowder Creek Formation near the base of the The latter falls near the OP3 group of overprints. McNamara Group consists of fine-grained,shallow-marine Component B unblocked at ~685°C and was found in siliciclastics and minor dolomites.The formation is divided 11 sandstone samples from the upper Gunpowder Creek into two sedimentary packages by an ero | nit (they straddle the Gun 2.1f surface of conglomerates.Zircons from a tuffaceous bed in the lower Southgate et al.2000).At both sites the beds were distin- Gunpowder Creek Formation give a SHRIMP U–Pb age of guished from drab adjacent lithologies by their dark red- 169463Ma (Page et al. 2000). The age of the upper brown colour. Before tilt corrections the directions from Gunpowder Creek Formation is constrained by U–Pb zircon these localities differed widely;after corrections they con- dates ranging from 165863Ma to 165367Ma in the con- verged (Figure 13c,d),indicating that this component pre- formably overlying Paradise Creek Formation (Pageet al. dates the Isan and earlier orogenies.The B component pole 2000). Resumption of sedimentation after the long depo- (GPRO2) lies on the apparent polar wander path at the sitional break is attributed to thermal relaxation following younger s</x:v>
      </x:c>
      <x:c r="AH22" s="19" t="str">
        <x:v>/Users/lihd/discovery/paleomagnetic-r3-workflow/dist/paleomagnetic-r357-calibrated-workflow-full/data/parsed_mds/3434.txt</x:v>
      </x:c>
      <x:c r="AI22" s="13" t="n">
        <x:f>--(O22=N22)</x:f>
        <x:v>1</x:v>
      </x:c>
    </x:row>
    <x:row r="23" ht="54" customHeight="1">
      <x:c r="A23" s="13" t="str">
        <x:v>3434</x:v>
      </x:c>
      <x:c r="B23" s="13" t="str">
        <x:v>8736</x:v>
      </x:c>
      <x:c r="C23" s="13" t="str">
        <x:v>7048</x:v>
      </x:c>
      <x:c r="D23" s="19" t="str">
        <x:v>Gunpowder Creek Formation</x:v>
      </x:c>
      <x:c r="E23" s="19" t="str">
        <x:v>C Component</x:v>
      </x:c>
      <x:c r="F23" s="19" t="str">
        <x:v>-19.700001</x:v>
      </x:c>
      <x:c r="G23" s="19" t="str">
        <x:v>139.2</x:v>
      </x:c>
      <x:c r="H23" s="19" t="str">
        <x:v>1.9</x:v>
      </x:c>
      <x:c r="I23" s="19" t="str">
        <x:v>-39.200001</x:v>
      </x:c>
      <x:c r="J23" s="19" t="str">
        <x:v>-86.699997</x:v>
      </x:c>
      <x:c r="K23" s="19" t="str">
        <x:v>105.4</x:v>
      </x:c>
      <x:c r="L23" s="19" t="str">
        <x:v>V</x:v>
      </x:c>
      <x:c r="M23" s="19" t="str"/>
      <x:c r="N23" s="19" t="n">
        <x:v>0</x:v>
      </x:c>
      <x:c r="O23" s="19" t="n">
        <x:f>--(LEN(M23)&gt;0)</x:f>
        <x:v>0</x:v>
      </x:c>
      <x:c r="P23" s="19" t="str">
        <x:v>ABSTAIN_IDENTITY</x:v>
      </x:c>
      <x:c r="Q23" s="19" t="str"/>
      <x:c r="R23" s="19" t="n">
        <x:v>0</x:v>
      </x:c>
      <x:c r="S23" s="19" t="str">
        <x:v>ABSTAIN_INSUFFICIENT</x:v>
      </x:c>
      <x:c r="T23" s="19" t="str"/>
      <x:c r="U23" s="19" t="n">
        <x:v>0</x:v>
      </x:c>
      <x:c r="V23" s="19" t="str">
        <x:v>PAPER_ROW_MATCH</x:v>
      </x:c>
      <x:c r="W23" s="19" t="str">
        <x:v>component</x:v>
      </x:c>
      <x:c r="X23" s="19" t="n">
        <x:f>--(O23=--(LEN(Q23)&gt;0))</x:f>
        <x:v>1</x:v>
      </x:c>
      <x:c r="Y23" s="19" t="n">
        <x:f>--(O23=--(LEN(T23)&gt;0))</x:f>
        <x:v>1</x:v>
      </x:c>
      <x:c r="Z23" s="19" t="n">
        <x:f>--(N23=R23)</x:f>
        <x:v>1</x:v>
      </x:c>
      <x:c r="AA23" s="19" t="n">
        <x:f>--(N23=U23)</x:f>
        <x:v>1</x:v>
      </x:c>
      <x:c r="AB23" s="19" t="str">
        <x:f>IF(X23=Y23,"UNCHANGED",IF(Y23=1,"IMPROVED","REGRESSED"))</x:f>
        <x:v>UNCHANGED</x:v>
      </x:c>
      <x:c r="AC23" s="19" t="str">
        <x:f>IF(Z23=AA23,"UNCHANGED",IF(AA23=1,"IMPROVED","REGRESSED"))</x:f>
        <x:v>UNCHANGED</x:v>
      </x:c>
      <x:c r="AD23" s="19" t="str">
        <x:v>TRUE_BLANK</x:v>
      </x:c>
      <x:c r="AE23" s="19" t="str">
        <x:v>LOW</x:v>
      </x:c>
      <x:c r="AF23" s="19" t="str">
        <x:v>15, 8, 12, 13</x:v>
      </x:c>
      <x:c r="AG23" s="19" t="str">
        <x:v>emanence intensity plot (inset) at this temperature suggests that the change is due to the removal of a small magnetite remanence.Symbols as in Figure 3. That component was,however,too poorly defined to give a west-downward inclined group in a background of highly reliable pole. scattered directions (Figure 13a).Tilt corrections dispersed the group (Figure 13b),indicating that the magnetisation is post-deformational,i.e.an overprint.Its mean direction GUNPOWDER CREEK FORMATION (declination 250.0°,inclination 66.8°) gives the pole GPRO1. The Gunpowder Creek Formation near the base of the The latter falls near the OP3 group of overprints. McNamara Group consists of fine-grained,shallow-marine Component B unblocked at ~685°C and was found in siliciclastics and minor dolomites.The formation is divided 11 sandstone samples from the upper Gunpowder Creek into two sedimentary packages by an ero | t (L15 &amp; L16,Figure 1).Moderately steep to near- fluids.As noted in the discussion,the circulation may have vertical bedding dips at the first two localities contrast with been caused by tectonism related to the bend at ca1650Ma moderate dips at the third and provide a good opportunity on the apparent polar wander path. The timing and geo- for fold tests. Rock colour ranged from dark grey to buff chemistry of the alteration suggest that the fluids may have and,less commonly,red-brown.The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x:v>
      </x:c>
      <x:c r="AH23" s="19" t="str">
        <x:v>/Users/lihd/discovery/paleomagnetic-r3-workflow/dist/paleomagnetic-r357-calibrated-workflow-full/data/parsed_mds/3434.txt</x:v>
      </x:c>
      <x:c r="AI23" s="13" t="n">
        <x:f>--(O23=N23)</x:f>
        <x:v>1</x:v>
      </x:c>
    </x:row>
    <x:row r="24" ht="54" customHeight="1">
      <x:c r="A24" s="13" t="str">
        <x:v>3434</x:v>
      </x:c>
      <x:c r="B24" s="13" t="str">
        <x:v>8737</x:v>
      </x:c>
      <x:c r="C24" s="13" t="str">
        <x:v>7048</x:v>
      </x:c>
      <x:c r="D24" s="19" t="str">
        <x:v>Gunpowder Creek Formation</x:v>
      </x:c>
      <x:c r="E24" s="19" t="str">
        <x:v>D Component</x:v>
      </x:c>
      <x:c r="F24" s="19" t="str">
        <x:v>-19.700001</x:v>
      </x:c>
      <x:c r="G24" s="19" t="str">
        <x:v>139.2</x:v>
      </x:c>
      <x:c r="H24" s="19" t="str">
        <x:v>282.10001</x:v>
      </x:c>
      <x:c r="I24" s="19" t="str">
        <x:v>-1.1</x:v>
      </x:c>
      <x:c r="J24" s="19" t="str">
        <x:v>-11.6</x:v>
      </x:c>
      <x:c r="K24" s="19" t="str">
        <x:v>232.89999</x:v>
      </x:c>
      <x:c r="L24" s="19" t="str">
        <x:v>V</x:v>
      </x:c>
      <x:c r="M24" s="19" t="str"/>
      <x:c r="N24" s="19" t="n">
        <x:v>0</x:v>
      </x:c>
      <x:c r="O24" s="19" t="n">
        <x:f>--(LEN(M24)&gt;0)</x:f>
        <x:v>0</x:v>
      </x:c>
      <x:c r="P24" s="19" t="str">
        <x:v>ABSTAIN_IDENTITY</x:v>
      </x:c>
      <x:c r="Q24" s="19" t="str"/>
      <x:c r="R24" s="19" t="n">
        <x:v>0</x:v>
      </x:c>
      <x:c r="S24" s="19" t="str">
        <x:v>ABSTAIN_INSUFFICIENT</x:v>
      </x:c>
      <x:c r="T24" s="19" t="str"/>
      <x:c r="U24" s="19" t="n">
        <x:v>0</x:v>
      </x:c>
      <x:c r="V24" s="19" t="str">
        <x:v>PAPER_ROW_MATCH</x:v>
      </x:c>
      <x:c r="W24" s="19" t="str">
        <x:v>component</x:v>
      </x:c>
      <x:c r="X24" s="19" t="n">
        <x:f>--(O24=--(LEN(Q24)&gt;0))</x:f>
        <x:v>1</x:v>
      </x:c>
      <x:c r="Y24" s="19" t="n">
        <x:f>--(O24=--(LEN(T24)&gt;0))</x:f>
        <x:v>1</x:v>
      </x:c>
      <x:c r="Z24" s="19" t="n">
        <x:f>--(N24=R24)</x:f>
        <x:v>1</x:v>
      </x:c>
      <x:c r="AA24" s="19" t="n">
        <x:f>--(N24=U24)</x:f>
        <x:v>1</x:v>
      </x:c>
      <x:c r="AB24" s="19" t="str">
        <x:f>IF(X24=Y24,"UNCHANGED",IF(Y24=1,"IMPROVED","REGRESSED"))</x:f>
        <x:v>UNCHANGED</x:v>
      </x:c>
      <x:c r="AC24" s="19" t="str">
        <x:f>IF(Z24=AA24,"UNCHANGED",IF(AA24=1,"IMPROVED","REGRESSED"))</x:f>
        <x:v>UNCHANGED</x:v>
      </x:c>
      <x:c r="AD24" s="19" t="str">
        <x:v>TRUE_BLANK</x:v>
      </x:c>
      <x:c r="AE24" s="19" t="str">
        <x:v>LOW</x:v>
      </x:c>
      <x:c r="AF24" s="19" t="str">
        <x:v>15, 12, 14, 16</x:v>
      </x:c>
      <x:c r="AG24" s="19" t="str">
        <x:v>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 | 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x:v>
      </x:c>
      <x:c r="AH24" s="19" t="str">
        <x:v>/Users/lihd/discovery/paleomagnetic-r3-workflow/dist/paleomagnetic-r357-calibrated-workflow-full/data/parsed_mds/3434.txt</x:v>
      </x:c>
      <x:c r="AI24" s="13" t="n">
        <x:f>--(O24=N24)</x:f>
        <x:v>1</x:v>
      </x:c>
    </x:row>
    <x:row r="25" ht="54" customHeight="1">
      <x:c r="A25" s="13" t="str">
        <x:v>3434</x:v>
      </x:c>
      <x:c r="B25" s="13" t="str">
        <x:v>8738</x:v>
      </x:c>
      <x:c r="C25" s="13" t="str">
        <x:v>7049</x:v>
      </x:c>
      <x:c r="D25" s="19" t="str">
        <x:v>Paradise Creek Formation</x:v>
      </x:c>
      <x:c r="E25" s="19" t="str">
        <x:v>A Component</x:v>
      </x:c>
      <x:c r="F25" s="19" t="str">
        <x:v>-19.299999</x:v>
      </x:c>
      <x:c r="G25" s="19" t="str">
        <x:v>139.2</x:v>
      </x:c>
      <x:c r="H25" s="19" t="str">
        <x:v>359</x:v>
      </x:c>
      <x:c r="I25" s="19" t="str">
        <x:v>-39.599998</x:v>
      </x:c>
      <x:c r="J25" s="19" t="str">
        <x:v>-87</x:v>
      </x:c>
      <x:c r="K25" s="19" t="str">
        <x:v>157.39999</x:v>
      </x:c>
      <x:c r="L25" s="19" t="str">
        <x:v>V</x:v>
      </x:c>
      <x:c r="M25" s="19" t="str"/>
      <x:c r="N25" s="19" t="n">
        <x:v>0</x:v>
      </x:c>
      <x:c r="O25" s="19" t="n">
        <x:f>--(LEN(M25)&gt;0)</x:f>
        <x:v>0</x:v>
      </x:c>
      <x:c r="P25" s="19" t="str">
        <x:v>PRESENT</x:v>
      </x:c>
      <x:c r="Q25" s="19" t="str">
        <x:v>IRM,SUSC-T</x:v>
      </x:c>
      <x:c r="R25" s="19" t="n">
        <x:v>1</x:v>
      </x:c>
      <x:c r="S25" s="19" t="str">
        <x:v>PRESENT</x:v>
      </x:c>
      <x:c r="T25" s="19" t="str">
        <x:v>IRM,SUSC-T</x:v>
      </x:c>
      <x:c r="U25" s="19" t="n">
        <x:v>1</x:v>
      </x:c>
      <x:c r="V25" s="19" t="str">
        <x:v>PAPER_ROW_MATCH</x:v>
      </x:c>
      <x:c r="W25" s="19" t="str">
        <x:v>component</x:v>
      </x:c>
      <x:c r="X25" s="19" t="n">
        <x:f>--(O25=--(LEN(Q25)&gt;0))</x:f>
        <x:v>0</x:v>
      </x:c>
      <x:c r="Y25" s="19" t="n">
        <x:f>--(O25=--(LEN(T25)&gt;0))</x:f>
        <x:v>0</x:v>
      </x:c>
      <x:c r="Z25" s="19" t="n">
        <x:f>--(N25=R25)</x:f>
        <x:v>0</x:v>
      </x:c>
      <x:c r="AA25" s="19" t="n">
        <x:f>--(N25=U25)</x:f>
        <x:v>0</x:v>
      </x:c>
      <x:c r="AB25" s="19" t="str">
        <x:f>IF(X25=Y25,"UNCHANGED",IF(Y25=1,"IMPROVED","REGRESSED"))</x:f>
        <x:v>UNCHANGED</x:v>
      </x:c>
      <x:c r="AC25" s="19" t="str">
        <x:f>IF(Z25=AA25,"UNCHANGED",IF(AA25=1,"IMPROVED","REGRESSED"))</x:f>
        <x:v>UNCHANGED</x:v>
      </x:c>
      <x:c r="AD25" s="19" t="str">
        <x:v>PREDICTED_FIELD_OR_GOLD_OMISSION</x:v>
      </x:c>
      <x:c r="AE25" s="19" t="str">
        <x:v>MEDIUM</x:v>
      </x:c>
      <x:c r="AF25" s="19" t="str">
        <x:v>5, 14, 15</x:v>
      </x:c>
      <x:c r="AG25" s="19" t="str">
        <x:v>IRM | yielding a total volcanics of a mineral with a Curie temperature of ≤580°C | coercivity | . Such an origin would be LOCHNESS FORMATION consistent with the interpretation,discussed below,that the The Lochness Formation, pre-dating the Calvert Buddawadda Basalt pre-dates the unconformity. Superbasin (Jackson et al.2000) is the oldest unit sampled Alternatively,B could be an earlier overprint or even the in the McArthur Basin and Lawn Hill Platform. Its age primary remanence.In view of the large tilt of the beds,it is poorly constrained by the date 179069Ma from the is important to know if bedding corrections should be stratigraphically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x:v>
      </x:c>
      <x:c r="AH25" s="19" t="str">
        <x:v>/Users/lihd/discovery/paleomagnetic-r3-workflow/dist/paleomagnetic-r357-calibrated-workflow-full/data/parsed_mds/3434.txt</x:v>
      </x:c>
      <x:c r="AI25" s="13" t="n">
        <x:f>--(O25=N25)</x:f>
        <x:v>1</x:v>
      </x:c>
    </x:row>
    <x:row r="26" ht="54" customHeight="1">
      <x:c r="A26" s="13" t="str">
        <x:v>3434</x:v>
      </x:c>
      <x:c r="B26" s="13" t="str">
        <x:v>8739</x:v>
      </x:c>
      <x:c r="C26" s="13" t="str">
        <x:v>7050</x:v>
      </x:c>
      <x:c r="D26" s="19" t="str">
        <x:v>Esperanza Formation</x:v>
      </x:c>
      <x:c r="E26" s="19" t="str">
        <x:v>A Component</x:v>
      </x:c>
      <x:c r="F26" s="19" t="str">
        <x:v>-19.4</x:v>
      </x:c>
      <x:c r="G26" s="19" t="str">
        <x:v>139.3</x:v>
      </x:c>
      <x:c r="H26" s="19" t="str">
        <x:v>358.70001</x:v>
      </x:c>
      <x:c r="I26" s="19" t="str">
        <x:v>-42.700001</x:v>
      </x:c>
      <x:c r="J26" s="19" t="str">
        <x:v>-84.599998</x:v>
      </x:c>
      <x:c r="K26" s="19" t="str">
        <x:v>152.7</x:v>
      </x:c>
      <x:c r="L26" s="19" t="str">
        <x:v>V</x:v>
      </x:c>
      <x:c r="M26" s="19" t="str"/>
      <x:c r="N26" s="19" t="n">
        <x:v>0</x:v>
      </x:c>
      <x:c r="O26" s="19" t="n">
        <x:f>--(LEN(M26)&gt;0)</x:f>
        <x:v>0</x:v>
      </x:c>
      <x:c r="P26" s="19" t="str">
        <x:v>PRESENT</x:v>
      </x:c>
      <x:c r="Q26" s="19" t="str">
        <x:v>IRM,SUSC-T</x:v>
      </x:c>
      <x:c r="R26" s="19" t="n">
        <x:v>1</x:v>
      </x:c>
      <x:c r="S26" s="19" t="str">
        <x:v>PRESENT</x:v>
      </x:c>
      <x:c r="T26" s="19" t="str">
        <x:v>IRM,SUSC-T</x:v>
      </x:c>
      <x:c r="U26" s="19" t="n">
        <x:v>1</x:v>
      </x:c>
      <x:c r="V26" s="19" t="str">
        <x:v>PAPER_ROW_MATCH</x:v>
      </x:c>
      <x:c r="W26" s="19" t="str">
        <x:v>component</x:v>
      </x:c>
      <x:c r="X26" s="19" t="n">
        <x:f>--(O26=--(LEN(Q26)&gt;0))</x:f>
        <x:v>0</x:v>
      </x:c>
      <x:c r="Y26" s="19" t="n">
        <x:f>--(O26=--(LEN(T26)&gt;0))</x:f>
        <x:v>0</x:v>
      </x:c>
      <x:c r="Z26" s="19" t="n">
        <x:f>--(N26=R26)</x:f>
        <x:v>0</x:v>
      </x:c>
      <x:c r="AA26" s="19" t="n">
        <x:f>--(N26=U26)</x:f>
        <x:v>0</x:v>
      </x:c>
      <x:c r="AB26" s="19" t="str">
        <x:f>IF(X26=Y26,"UNCHANGED",IF(Y26=1,"IMPROVED","REGRESSED"))</x:f>
        <x:v>UNCHANGED</x:v>
      </x:c>
      <x:c r="AC26" s="19" t="str">
        <x:f>IF(Z26=AA26,"UNCHANGED",IF(AA26=1,"IMPROVED","REGRESSED"))</x:f>
        <x:v>UNCHANGED</x:v>
      </x:c>
      <x:c r="AD26" s="19" t="str">
        <x:v>PREDICTED_FIELD_OR_GOLD_OMISSION</x:v>
      </x:c>
      <x:c r="AE26" s="19" t="str">
        <x:v>MEDIUM</x:v>
      </x:c>
      <x:c r="AF26" s="19" t="str">
        <x:v>5, 14, 15</x:v>
      </x:c>
      <x:c r="AG26" s="19" t="str">
        <x:v>IRM | yielding a total volcanics of a mineral with a Curie temperature of ≤580°C | coercivity | unblocking temperature</x:v>
      </x:c>
      <x:c r="AH26" s="19" t="str">
        <x:v>/Users/lihd/discovery/paleomagnetic-r3-workflow/dist/paleomagnetic-r357-calibrated-workflow-full/data/parsed_mds/3434.txt</x:v>
      </x:c>
      <x:c r="AI26" s="13" t="n">
        <x:f>--(O26=N26)</x:f>
        <x:v>1</x:v>
      </x:c>
    </x:row>
    <x:row r="27" ht="54" customHeight="1">
      <x:c r="A27" s="13" t="str">
        <x:v>3434</x:v>
      </x:c>
      <x:c r="B27" s="13" t="str">
        <x:v>8740</x:v>
      </x:c>
      <x:c r="C27" s="13" t="str">
        <x:v>7051</x:v>
      </x:c>
      <x:c r="D27" s="19" t="str">
        <x:v>Lawn Hill Formation</x:v>
      </x:c>
      <x:c r="E27" s="19" t="str">
        <x:v>B Component</x:v>
      </x:c>
      <x:c r="F27" s="19" t="str">
        <x:v>-18.700001</x:v>
      </x:c>
      <x:c r="G27" s="19" t="str">
        <x:v>138.60001</x:v>
      </x:c>
      <x:c r="H27" s="19" t="str">
        <x:v>5.0999999</x:v>
      </x:c>
      <x:c r="I27" s="19" t="str">
        <x:v>-38.599998</x:v>
      </x:c>
      <x:c r="J27" s="19" t="str">
        <x:v>-84.400002</x:v>
      </x:c>
      <x:c r="K27" s="19" t="str">
        <x:v>80.5</x:v>
      </x:c>
      <x:c r="L27" s="19" t="str">
        <x:v>V</x:v>
      </x:c>
      <x:c r="M27" s="19" t="str"/>
      <x:c r="N27" s="19" t="n">
        <x:v>0</x:v>
      </x:c>
      <x:c r="O27" s="19" t="n">
        <x:f>--(LEN(M27)&gt;0)</x:f>
        <x:v>0</x:v>
      </x:c>
      <x:c r="P27" s="19" t="str">
        <x:v>PRESENT</x:v>
      </x:c>
      <x:c r="Q27" s="19" t="str">
        <x:v>IRM,SUSC-T</x:v>
      </x:c>
      <x:c r="R27" s="19" t="n">
        <x:v>1</x:v>
      </x:c>
      <x:c r="S27" s="19" t="str">
        <x:v>PRESENT</x:v>
      </x:c>
      <x:c r="T27" s="19" t="str">
        <x:v>IRM,SUSC-T</x:v>
      </x:c>
      <x:c r="U27" s="19" t="n">
        <x:v>1</x:v>
      </x:c>
      <x:c r="V27" s="19" t="str">
        <x:v>PAPER_ROW_MATCH</x:v>
      </x:c>
      <x:c r="W27" s="19" t="str">
        <x:v>component</x:v>
      </x:c>
      <x:c r="X27" s="19" t="n">
        <x:f>--(O27=--(LEN(Q27)&gt;0))</x:f>
        <x:v>0</x:v>
      </x:c>
      <x:c r="Y27" s="19" t="n">
        <x:f>--(O27=--(LEN(T27)&gt;0))</x:f>
        <x:v>0</x:v>
      </x:c>
      <x:c r="Z27" s="19" t="n">
        <x:f>--(N27=R27)</x:f>
        <x:v>0</x:v>
      </x:c>
      <x:c r="AA27" s="19" t="n">
        <x:f>--(N27=U27)</x:f>
        <x:v>0</x:v>
      </x:c>
      <x:c r="AB27" s="19" t="str">
        <x:f>IF(X27=Y27,"UNCHANGED",IF(Y27=1,"IMPROVED","REGRESSED"))</x:f>
        <x:v>UNCHANGED</x:v>
      </x:c>
      <x:c r="AC27" s="19" t="str">
        <x:f>IF(Z27=AA27,"UNCHANGED",IF(AA27=1,"IMPROVED","REGRESSED"))</x:f>
        <x:v>UNCHANGED</x:v>
      </x:c>
      <x:c r="AD27" s="19" t="str">
        <x:v>PREDICTED_FIELD_OR_GOLD_OMISSION</x:v>
      </x:c>
      <x:c r="AE27" s="19" t="str">
        <x:v>MEDIUM</x:v>
      </x:c>
      <x:c r="AF27" s="19" t="str">
        <x:v>5, 11, 12, 13, 14</x:v>
      </x:c>
      <x:c r="AG27" s="19" t="str">
        <x:v>Normally two or more specimens were demagnetised per sample.Both thermomagnetic analysis (Figure 3a) and RESULTS remanence intensity behaviour during thermal demag- Four formations were sampled in the McArthur Basin and netisation (Figure 3b) indicated the presence in the nine formations in the Lawn Hill Platform,yielding a total volcanics of a mineral with a Curie temperature of ≤580°C, 9002 yraurbeF 21 80:01 :tA ]ailartsuA nretseW fO ytisrevinU[ :yB dedaolnwoD | IRM | Normally two or more specimens were demagnetised per sample.Both thermomagnetic analysis (Figure 3a) and RESULTS remanence intensity behaviour during thermal demag- Four formations were sampled in the McArthur Basin and netisation (Figure 3b) indicated the presence in the nine formations in the Lawn Hill Platform,yielding a total volcanics of a mineral with a Curie temperature of ≤580°C, 9002 yraurbeF 21 80:01 :tA ]ailartsuA nretseW fO ytisrevinU[ :yB dedaolnwoD | Most McArthur Basin (localities L1.1–L1.7,Figure 1).Dated at ca specimens were demagnetised thermally.Depending on the 1709Ma by SHRIMP U–Pb analysis of zircons (Kruse et al. unblocking temperature, 15 to 25 stepwise heatings were 1994), they represent the youngest flows extruded at dif- required.Specimens from sites that yielded large scatters ferent centres along a ~1000km northwesterly band across in remanence directions were first partly demagnetised by the Lawn Hill Platform and McArthur Basin during a AF before thermal treatments in an attempt to remove ran- 20 million year period of mainly felsic magmatism.</x:v>
      </x:c>
      <x:c r="AH27" s="19" t="str">
        <x:v>/Users/lihd/discovery/paleomagnetic-r3-workflow/dist/paleomagnetic-r357-calibrated-workflow-full/data/parsed_mds/3434.txt</x:v>
      </x:c>
      <x:c r="AI27" s="13" t="n">
        <x:f>--(O27=N27)</x:f>
        <x:v>1</x:v>
      </x:c>
    </x:row>
    <x:row r="28" ht="54" customHeight="1">
      <x:c r="A28" s="13" t="str">
        <x:v>3765</x:v>
      </x:c>
      <x:c r="B28" s="13" t="str">
        <x:v>9400</x:v>
      </x:c>
      <x:c r="C28" s="13" t="str">
        <x:v>7638</x:v>
      </x:c>
      <x:c r="D28" s="19" t="str">
        <x:v>Allanbridge Formation</x:v>
      </x:c>
      <x:c r="E28" s="19" t="str"/>
      <x:c r="F28" s="19" t="str">
        <x:v>-28.5</x:v>
      </x:c>
      <x:c r="G28" s="19" t="str">
        <x:v>24.4</x:v>
      </x:c>
      <x:c r="H28" s="19" t="str">
        <x:v>188.7</x:v>
      </x:c>
      <x:c r="I28" s="19" t="str">
        <x:v>60.700001</x:v>
      </x:c>
      <x:c r="J28" s="19" t="str">
        <x:v>75</x:v>
      </x:c>
      <x:c r="K28" s="19" t="str">
        <x:v>180.10001</x:v>
      </x:c>
      <x:c r="L28" s="19" t="str">
        <x:v>V</x:v>
      </x:c>
      <x:c r="M28" s="19" t="str">
        <x:v>IRM(MAGN)</x:v>
      </x:c>
      <x:c r="N28" s="19" t="n">
        <x:v>1</x:v>
      </x:c>
      <x:c r="O28" s="19" t="n">
        <x:f>--(LEN(M28)&gt;0)</x:f>
        <x:v>1</x:v>
      </x:c>
      <x:c r="P28" s="19" t="str">
        <x:v>ABSTAIN_ANCHOR</x:v>
      </x:c>
      <x:c r="Q28" s="19" t="str"/>
      <x:c r="R28" s="19" t="n">
        <x:v>0</x:v>
      </x:c>
      <x:c r="S28" s="19" t="str">
        <x:v>ABSTAIN_ANCHOR</x:v>
      </x:c>
      <x:c r="T28" s="19" t="str"/>
      <x:c r="U28" s="19" t="n">
        <x:v>0</x:v>
      </x:c>
      <x:c r="V28" s="19" t="str">
        <x:v>METADATA_UNIQUE</x:v>
      </x:c>
      <x:c r="W28" s="19" t="str"/>
      <x:c r="X28" s="19" t="n">
        <x:f>--(O28=--(LEN(Q28)&gt;0))</x:f>
        <x:v>0</x:v>
      </x:c>
      <x:c r="Y28" s="19" t="n">
        <x:f>--(O28=--(LEN(T28)&gt;0))</x:f>
        <x:v>0</x:v>
      </x:c>
      <x:c r="Z28" s="19" t="n">
        <x:f>--(N28=R28)</x:f>
        <x:v>0</x:v>
      </x:c>
      <x:c r="AA28" s="19" t="n">
        <x:f>--(N28=U28)</x:f>
        <x:v>0</x:v>
      </x:c>
      <x:c r="AB28" s="19" t="str">
        <x:f>IF(X28=Y28,"UNCHANGED",IF(Y28=1,"IMPROVED","REGRESSED"))</x:f>
        <x:v>UNCHANGED</x:v>
      </x:c>
      <x:c r="AC28" s="19" t="str">
        <x:f>IF(Z28=AA28,"UNCHANGED",IF(AA28=1,"IMPROVED","REGRESSED"))</x:f>
        <x:v>UNCHANGED</x:v>
      </x:c>
      <x:c r="AD28" s="19" t="str">
        <x:v>TARGET_ANCHOR_OR_OCR</x:v>
      </x:c>
      <x:c r="AE28" s="19" t="str">
        <x:v>LOW</x:v>
      </x:c>
      <x:c r="AF28" s="19" t="str"/>
      <x:c r="AG28" s="19" t="str"/>
      <x:c r="AH28" s="19" t="str">
        <x:v>/Users/lihd/discovery/paleomagnetic-r3-workflow/dist/paleomagnetic-r357-calibrated-workflow-full/data/parsed_mds/3765.txt</x:v>
      </x:c>
      <x:c r="AI28" s="13" t="n">
        <x:f>--(O28=N28)</x:f>
        <x:v>1</x:v>
      </x:c>
    </x:row>
    <x:row r="29" ht="54" customHeight="1">
      <x:c r="A29" s="13" t="str">
        <x:v>3765</x:v>
      </x:c>
      <x:c r="B29" s="13" t="str">
        <x:v>10019</x:v>
      </x:c>
      <x:c r="C29" s="13" t="str">
        <x:v>8244</x:v>
      </x:c>
      <x:c r="D29" s="19" t="str">
        <x:v>Westonaria Basalts</x:v>
      </x:c>
      <x:c r="E29" s="19" t="str"/>
      <x:c r="F29" s="19" t="str">
        <x:v>-27</x:v>
      </x:c>
      <x:c r="G29" s="19" t="str">
        <x:v>27.799999</x:v>
      </x:c>
      <x:c r="H29" s="19" t="str">
        <x:v>66.199997</x:v>
      </x:c>
      <x:c r="I29" s="19" t="str">
        <x:v>79.099998</x:v>
      </x:c>
      <x:c r="J29" s="19" t="str">
        <x:v>-17.1</x:v>
      </x:c>
      <x:c r="K29" s="19" t="str">
        <x:v>47.900002</x:v>
      </x:c>
      <x:c r="L29" s="19" t="str">
        <x:v>D</x:v>
      </x:c>
      <x:c r="M29" s="19" t="str"/>
      <x:c r="N29" s="19" t="n">
        <x:v>0</x:v>
      </x:c>
      <x:c r="O29" s="19" t="n">
        <x:f>--(LEN(M29)&gt;0)</x:f>
        <x:v>0</x:v>
      </x:c>
      <x:c r="P29" s="19" t="str">
        <x:v>ABSTAIN_INSUFFICIENT</x:v>
      </x:c>
      <x:c r="Q29" s="19" t="str"/>
      <x:c r="R29" s="19" t="n">
        <x:v>0</x:v>
      </x:c>
      <x:c r="S29" s="19" t="str">
        <x:v>ABSTAIN_INSUFFICIENT</x:v>
      </x:c>
      <x:c r="T29" s="19" t="str"/>
      <x:c r="U29" s="19" t="n">
        <x:v>0</x:v>
      </x:c>
      <x:c r="V29" s="19" t="str">
        <x:v>METADATA_UNIQUE</x:v>
      </x:c>
      <x:c r="W29" s="19" t="str"/>
      <x:c r="X29" s="19" t="n">
        <x:f>--(O29=--(LEN(Q29)&gt;0))</x:f>
        <x:v>1</x:v>
      </x:c>
      <x:c r="Y29" s="19" t="n">
        <x:f>--(O29=--(LEN(T29)&gt;0))</x:f>
        <x:v>1</x:v>
      </x:c>
      <x:c r="Z29" s="19" t="n">
        <x:f>--(N29=R29)</x:f>
        <x:v>1</x:v>
      </x:c>
      <x:c r="AA29" s="19" t="n">
        <x:f>--(N29=U29)</x:f>
        <x:v>1</x:v>
      </x:c>
      <x:c r="AB29" s="19" t="str">
        <x:f>IF(X29=Y29,"UNCHANGED",IF(Y29=1,"IMPROVED","REGRESSED"))</x:f>
        <x:v>UNCHANGED</x:v>
      </x:c>
      <x:c r="AC29" s="19" t="str">
        <x:f>IF(Z29=AA29,"UNCHANGED",IF(AA29=1,"IMPROVED","REGRESSED"))</x:f>
        <x:v>UNCHANGED</x:v>
      </x:c>
      <x:c r="AD29" s="19" t="str">
        <x:v>TRUE_BLANK</x:v>
      </x:c>
      <x:c r="AE29" s="19" t="str">
        <x:v>LOW</x:v>
      </x:c>
      <x:c r="AF29" s="19" t="str"/>
      <x:c r="AG29" s="19" t="str"/>
      <x:c r="AH29" s="19" t="str">
        <x:v>/Users/lihd/discovery/paleomagnetic-r3-workflow/dist/paleomagnetic-r357-calibrated-workflow-full/data/parsed_mds/3765.txt</x:v>
      </x:c>
      <x:c r="AI29" s="13" t="n">
        <x:f>--(O29=N29)</x:f>
        <x:v>1</x:v>
      </x:c>
    </x:row>
    <x:row r="30" ht="54" customHeight="1">
      <x:c r="A30" s="13" t="str">
        <x:v>3774</x:v>
      </x:c>
      <x:c r="B30" s="13" t="str">
        <x:v>9410</x:v>
      </x:c>
      <x:c r="C30" s="13" t="str">
        <x:v>7801</x:v>
      </x:c>
      <x:c r="D30" s="19" t="str">
        <x:v>Modipe Gabbro</x:v>
      </x:c>
      <x:c r="E30" s="19" t="str"/>
      <x:c r="F30" s="19" t="str">
        <x:v>-24.700001</x:v>
      </x:c>
      <x:c r="G30" s="19" t="str">
        <x:v>26.200001</x:v>
      </x:c>
      <x:c r="H30" s="19" t="str">
        <x:v>192</x:v>
      </x:c>
      <x:c r="I30" s="19" t="str">
        <x:v>70</x:v>
      </x:c>
      <x:c r="J30" s="19" t="str">
        <x:v>59.400002</x:v>
      </x:c>
      <x:c r="K30" s="19" t="str">
        <x:v>192.3</x:v>
      </x:c>
      <x:c r="L30" s="19" t="str">
        <x:v>D</x:v>
      </x:c>
      <x:c r="M30" s="19" t="str"/>
      <x:c r="N30" s="19" t="n">
        <x:v>0</x:v>
      </x:c>
      <x:c r="O30" s="19" t="n">
        <x:f>--(LEN(M30)&gt;0)</x:f>
        <x:v>0</x:v>
      </x:c>
      <x:c r="P30" s="19" t="str">
        <x:v>ABSTAIN_IDENTITY</x:v>
      </x:c>
      <x:c r="Q30" s="19" t="str"/>
      <x:c r="R30" s="19" t="n">
        <x:v>0</x:v>
      </x:c>
      <x:c r="S30" s="19" t="str">
        <x:v>PRESENT</x:v>
      </x:c>
      <x:c r="T30" s="19" t="str">
        <x:v>HYST,FORC(PSD/SD MAGN)</x:v>
      </x:c>
      <x:c r="U30" s="19" t="n">
        <x:v>1</x:v>
      </x:c>
      <x:c r="V30" s="19" t="str">
        <x:v>PAPER_ROW_MATCH</x:v>
      </x:c>
      <x:c r="W30" s="19" t="str">
        <x:v>direction</x:v>
      </x:c>
      <x:c r="X30" s="19" t="n">
        <x:f>--(O30=--(LEN(Q30)&gt;0))</x:f>
        <x:v>1</x:v>
      </x:c>
      <x:c r="Y30" s="19" t="n">
        <x:f>--(O30=--(LEN(T30)&gt;0))</x:f>
        <x:v>0</x:v>
      </x:c>
      <x:c r="Z30" s="19" t="n">
        <x:f>--(N30=R30)</x:f>
        <x:v>1</x:v>
      </x:c>
      <x:c r="AA30" s="19" t="n">
        <x:f>--(N30=U30)</x:f>
        <x:v>0</x:v>
      </x:c>
      <x:c r="AB30" s="19" t="str">
        <x:f>IF(X30=Y30,"UNCHANGED",IF(Y30=1,"IMPROVED","REGRESSED"))</x:f>
        <x:v>REGRESSED</x:v>
      </x:c>
      <x:c r="AC30" s="19" t="str">
        <x:f>IF(Z30=AA30,"UNCHANGED",IF(AA30=1,"IMPROVED","REGRESSED"))</x:f>
        <x:v>REGRESSED</x:v>
      </x:c>
      <x:c r="AD30" s="19" t="str">
        <x:v>PREDICTED_FIELD_OR_GOLD_OMISSION</x:v>
      </x:c>
      <x:c r="AE30" s="19" t="str">
        <x:v>HIGH</x:v>
      </x:c>
      <x:c r="AF30" s="19" t="str">
        <x:v>3, 8, 1, 4, 2</x:v>
      </x:c>
      <x:c r="AG30" s="19" t="str">
        <x:v>hysteresis | Hysteresis | FORC | Indeed, and7 Cresults.Anexamplefrom eachcategoryis occasional large magnetite grains are present in the shown in Figure 6, and the results for all 25 speci- Modipe Gabbro [Evans et al., 1968].</x:v>
      </x:c>
      <x:c r="AH30" s="19" t="str">
        <x:v>/Users/lihd/discovery/paleomagnetic-r3-workflow/dist/paleomagnetic-r357-calibrated-workflow-full/data/parsed_mds/3774.txt</x:v>
      </x:c>
      <x:c r="AI30" s="13" t="n">
        <x:f>--(O30=N30)</x:f>
        <x:v>1</x:v>
      </x:c>
    </x:row>
    <x:row r="31" ht="54" customHeight="1">
      <x:c r="A31" s="13" t="str">
        <x:v>3774</x:v>
      </x:c>
      <x:c r="B31" s="13" t="str">
        <x:v>9411</x:v>
      </x:c>
      <x:c r="C31" s="13" t="str">
        <x:v>7801</x:v>
      </x:c>
      <x:c r="D31" s="19" t="str">
        <x:v>Modipe Gabbro</x:v>
      </x:c>
      <x:c r="E31" s="19" t="str">
        <x:v>Combined result</x:v>
      </x:c>
      <x:c r="F31" s="19" t="str">
        <x:v>-24.700001</x:v>
      </x:c>
      <x:c r="G31" s="19" t="str">
        <x:v>26.200001</x:v>
      </x:c>
      <x:c r="H31" s="19" t="str">
        <x:v>165.10001</x:v>
      </x:c>
      <x:c r="I31" s="19" t="str">
        <x:v>84.099998</x:v>
      </x:c>
      <x:c r="J31" s="19" t="str">
        <x:v>35.400002</x:v>
      </x:c>
      <x:c r="K31" s="19" t="str">
        <x:v>209.8</x:v>
      </x:c>
      <x:c r="L31" s="19" t="str">
        <x:v>V</x:v>
      </x:c>
      <x:c r="M31" s="19" t="str">
        <x:v>IRM(sat.0.3T),OP(fine MAGN - see REFNO 605),Hc(45mT)</x:v>
      </x:c>
      <x:c r="N31" s="19" t="n">
        <x:v>1</x:v>
      </x:c>
      <x:c r="O31" s="19" t="n">
        <x:f>--(LEN(M31)&gt;0)</x:f>
        <x:v>1</x:v>
      </x:c>
      <x:c r="P31" s="19" t="str">
        <x:v>ABSTAIN_IDENTITY</x:v>
      </x:c>
      <x:c r="Q31" s="19" t="str"/>
      <x:c r="R31" s="19" t="n">
        <x:v>0</x:v>
      </x:c>
      <x:c r="S31" s="19" t="str">
        <x:v>PRESENT</x:v>
      </x:c>
      <x:c r="T31" s="19" t="str">
        <x:v>HYST,FORC(PSD/SD MAGN)</x:v>
      </x:c>
      <x:c r="U31" s="19" t="n">
        <x:v>1</x:v>
      </x:c>
      <x:c r="V31" s="19" t="str">
        <x:v>METADATA_UNIQUE</x:v>
      </x:c>
      <x:c r="W31" s="19" t="str"/>
      <x:c r="X31" s="19" t="n">
        <x:f>--(O31=--(LEN(Q31)&gt;0))</x:f>
        <x:v>0</x:v>
      </x:c>
      <x:c r="Y31" s="19" t="n">
        <x:f>--(O31=--(LEN(T31)&gt;0))</x:f>
        <x:v>1</x:v>
      </x:c>
      <x:c r="Z31" s="19" t="n">
        <x:f>--(N31=R31)</x:f>
        <x:v>0</x:v>
      </x:c>
      <x:c r="AA31" s="19" t="n">
        <x:f>--(N31=U31)</x:f>
        <x:v>1</x:v>
      </x:c>
      <x:c r="AB31" s="19" t="str">
        <x:f>IF(X31=Y31,"UNCHANGED",IF(Y31=1,"IMPROVED","REGRESSED"))</x:f>
        <x:v>IMPROVED</x:v>
      </x:c>
      <x:c r="AC31" s="19" t="str">
        <x:f>IF(Z31=AA31,"UNCHANGED",IF(AA31=1,"IMPROVED","REGRESSED"))</x:f>
        <x:v>IMPROVED</x:v>
      </x:c>
      <x:c r="AD31" s="19" t="str">
        <x:v>CODE_MISMATCH</x:v>
      </x:c>
      <x:c r="AE31" s="19" t="str">
        <x:v>MEDIUM</x:v>
      </x:c>
      <x:c r="AF31" s="19" t="str">
        <x:v>3, 8, 1, 4</x:v>
      </x:c>
      <x:c r="AG31" s="19" t="str">
        <x:v>hysteresis | Hysteresis | FORC | Indeed, and7 Cresults.Anexamplefrom eachcategoryis occasional large magnetite grains are present in the shown in Figure 6, and the results for all 25 speci- Modipe Gabbro [Evans et al., 1968].</x:v>
      </x:c>
      <x:c r="AH31" s="19" t="str">
        <x:v>/Users/lihd/discovery/paleomagnetic-r3-workflow/dist/paleomagnetic-r357-calibrated-workflow-full/data/parsed_mds/3774.txt</x:v>
      </x:c>
      <x:c r="AI31" s="13" t="n">
        <x:f>--(O31=N31)</x:f>
        <x:v>1</x:v>
      </x:c>
    </x:row>
    <x:row r="32" ht="54" customHeight="1">
      <x:c r="A32" s="13" t="str">
        <x:v>3792</x:v>
      </x:c>
      <x:c r="B32" s="13" t="str">
        <x:v>9430</x:v>
      </x:c>
      <x:c r="C32" s="13" t="str">
        <x:v>7666</x:v>
      </x:c>
      <x:c r="D32" s="19" t="str">
        <x:v>Y1 Dyke</x:v>
      </x:c>
      <x:c r="E32" s="19" t="str"/>
      <x:c r="F32" s="19" t="str">
        <x:v>58.580002</x:v>
      </x:c>
      <x:c r="G32" s="19" t="str">
        <x:v>16.33</x:v>
      </x:c>
      <x:c r="H32" s="19" t="str">
        <x:v>311.29999</x:v>
      </x:c>
      <x:c r="I32" s="19" t="str">
        <x:v>-43.900002</x:v>
      </x:c>
      <x:c r="J32" s="19" t="str">
        <x:v>-3.4000001</x:v>
      </x:c>
      <x:c r="K32" s="19" t="str">
        <x:v>239</x:v>
      </x:c>
      <x:c r="L32" s="19" t="str">
        <x:v>V</x:v>
      </x:c>
      <x:c r="M32" s="19" t="str">
        <x:v>SUSC-T(MAGN)</x:v>
      </x:c>
      <x:c r="N32" s="19" t="n">
        <x:v>1</x:v>
      </x:c>
      <x:c r="O32" s="19" t="n">
        <x:f>--(LEN(M32)&gt;0)</x:f>
        <x:v>1</x:v>
      </x:c>
      <x:c r="P32" s="19" t="str">
        <x:v>ABSTAIN_ANCHOR</x:v>
      </x:c>
      <x:c r="Q32" s="19" t="str"/>
      <x:c r="R32" s="19" t="n">
        <x:v>0</x:v>
      </x:c>
      <x:c r="S32" s="19" t="str">
        <x:v>ABSTAIN_ANCHOR</x:v>
      </x:c>
      <x:c r="T32" s="19" t="str"/>
      <x:c r="U32" s="19" t="n">
        <x:v>0</x:v>
      </x:c>
      <x:c r="V32" s="19" t="str">
        <x:v>METADATA_UNIQUE</x:v>
      </x:c>
      <x:c r="W32" s="19" t="str"/>
      <x:c r="X32" s="19" t="n">
        <x:f>--(O32=--(LEN(Q32)&gt;0))</x:f>
        <x:v>0</x:v>
      </x:c>
      <x:c r="Y32" s="19" t="n">
        <x:f>--(O32=--(LEN(T32)&gt;0))</x:f>
        <x:v>0</x:v>
      </x:c>
      <x:c r="Z32" s="19" t="n">
        <x:f>--(N32=R32)</x:f>
        <x:v>0</x:v>
      </x:c>
      <x:c r="AA32" s="19" t="n">
        <x:f>--(N32=U32)</x:f>
        <x:v>0</x:v>
      </x:c>
      <x:c r="AB32" s="19" t="str">
        <x:f>IF(X32=Y32,"UNCHANGED",IF(Y32=1,"IMPROVED","REGRESSED"))</x:f>
        <x:v>UNCHANGED</x:v>
      </x:c>
      <x:c r="AC32" s="19" t="str">
        <x:f>IF(Z32=AA32,"UNCHANGED",IF(AA32=1,"IMPROVED","REGRESSED"))</x:f>
        <x:v>UNCHANGED</x:v>
      </x:c>
      <x:c r="AD32" s="19" t="str">
        <x:v>TARGET_ANCHOR_OR_OCR</x:v>
      </x:c>
      <x:c r="AE32" s="19" t="str">
        <x:v>LOW</x:v>
      </x:c>
      <x:c r="AF32" s="19" t="str"/>
      <x:c r="AG32" s="19" t="str"/>
      <x:c r="AH32" s="19" t="str">
        <x:v>/Users/lihd/discovery/paleomagnetic-r3-workflow/dist/paleomagnetic-r357-calibrated-workflow-full/data/parsed_mds/3792.txt</x:v>
      </x:c>
      <x:c r="AI32" s="13" t="n">
        <x:f>--(O32=N32)</x:f>
        <x:v>1</x:v>
      </x:c>
    </x:row>
    <x:row r="33" ht="54" customHeight="1">
      <x:c r="A33" s="13" t="str">
        <x:v>3792</x:v>
      </x:c>
      <x:c r="B33" s="13" t="str">
        <x:v>9431</x:v>
      </x:c>
      <x:c r="C33" s="13" t="str">
        <x:v>7667</x:v>
      </x:c>
      <x:c r="D33" s="19" t="str">
        <x:v>Y2 Dyke</x:v>
      </x:c>
      <x:c r="E33" s="19" t="str"/>
      <x:c r="F33" s="19" t="str">
        <x:v>58.580002</x:v>
      </x:c>
      <x:c r="G33" s="19" t="str">
        <x:v>16.33</x:v>
      </x:c>
      <x:c r="H33" s="19" t="str">
        <x:v>313.29999</x:v>
      </x:c>
      <x:c r="I33" s="19" t="str">
        <x:v>-40.700001</x:v>
      </x:c>
      <x:c r="J33" s="19" t="str">
        <x:v>-0.5</x:v>
      </x:c>
      <x:c r="K33" s="19" t="str">
        <x:v>238.3</x:v>
      </x:c>
      <x:c r="L33" s="19" t="str">
        <x:v>V</x:v>
      </x:c>
      <x:c r="M33" s="19" t="str">
        <x:v>SUSC-T(MAGN)</x:v>
      </x:c>
      <x:c r="N33" s="19" t="n">
        <x:v>1</x:v>
      </x:c>
      <x:c r="O33" s="19" t="n">
        <x:f>--(LEN(M33)&gt;0)</x:f>
        <x:v>1</x:v>
      </x:c>
      <x:c r="P33" s="19" t="str">
        <x:v>ABSTAIN_ANCHOR</x:v>
      </x:c>
      <x:c r="Q33" s="19" t="str"/>
      <x:c r="R33" s="19" t="n">
        <x:v>0</x:v>
      </x:c>
      <x:c r="S33" s="19" t="str">
        <x:v>ABSTAIN_ANCHOR</x:v>
      </x:c>
      <x:c r="T33" s="19" t="str"/>
      <x:c r="U33" s="19" t="n">
        <x:v>0</x:v>
      </x:c>
      <x:c r="V33" s="19" t="str">
        <x:v>METADATA_UNIQUE</x:v>
      </x:c>
      <x:c r="W33" s="19" t="str"/>
      <x:c r="X33" s="19" t="n">
        <x:f>--(O33=--(LEN(Q33)&gt;0))</x:f>
        <x:v>0</x:v>
      </x:c>
      <x:c r="Y33" s="19" t="n">
        <x:f>--(O33=--(LEN(T33)&gt;0))</x:f>
        <x:v>0</x:v>
      </x:c>
      <x:c r="Z33" s="19" t="n">
        <x:f>--(N33=R33)</x:f>
        <x:v>0</x:v>
      </x:c>
      <x:c r="AA33" s="19" t="n">
        <x:f>--(N33=U33)</x:f>
        <x:v>0</x:v>
      </x:c>
      <x:c r="AB33" s="19" t="str">
        <x:f>IF(X33=Y33,"UNCHANGED",IF(Y33=1,"IMPROVED","REGRESSED"))</x:f>
        <x:v>UNCHANGED</x:v>
      </x:c>
      <x:c r="AC33" s="19" t="str">
        <x:f>IF(Z33=AA33,"UNCHANGED",IF(AA33=1,"IMPROVED","REGRESSED"))</x:f>
        <x:v>UNCHANGED</x:v>
      </x:c>
      <x:c r="AD33" s="19" t="str">
        <x:v>TARGET_ANCHOR_OR_OCR</x:v>
      </x:c>
      <x:c r="AE33" s="19" t="str">
        <x:v>LOW</x:v>
      </x:c>
      <x:c r="AF33" s="19" t="str"/>
      <x:c r="AG33" s="19" t="str"/>
      <x:c r="AH33" s="19" t="str">
        <x:v>/Users/lihd/discovery/paleomagnetic-r3-workflow/dist/paleomagnetic-r357-calibrated-workflow-full/data/parsed_mds/3792.txt</x:v>
      </x:c>
      <x:c r="AI33" s="13" t="n">
        <x:f>--(O33=N33)</x:f>
        <x:v>1</x:v>
      </x:c>
    </x:row>
    <x:row r="34" ht="54" customHeight="1">
      <x:c r="A34" s="13" t="str">
        <x:v>3792</x:v>
      </x:c>
      <x:c r="B34" s="13" t="str">
        <x:v>9432</x:v>
      </x:c>
      <x:c r="C34" s="13" t="str">
        <x:v>7668</x:v>
      </x:c>
      <x:c r="D34" s="19" t="str">
        <x:v>Falun Dyke</x:v>
      </x:c>
      <x:c r="E34" s="19" t="str"/>
      <x:c r="F34" s="19" t="str">
        <x:v>60.59</x:v>
      </x:c>
      <x:c r="G34" s="19" t="str">
        <x:v>15.58</x:v>
      </x:c>
      <x:c r="H34" s="19" t="str">
        <x:v>128.7</x:v>
      </x:c>
      <x:c r="I34" s="19" t="str">
        <x:v>37.900002</x:v>
      </x:c>
      <x:c r="J34" s="19" t="str">
        <x:v>1.7</x:v>
      </x:c>
      <x:c r="K34" s="19" t="str">
        <x:v>242.3</x:v>
      </x:c>
      <x:c r="L34" s="19" t="str">
        <x:v>V</x:v>
      </x:c>
      <x:c r="M34" s="19" t="str">
        <x:v>SUSC-T(MAGN)</x:v>
      </x:c>
      <x:c r="N34" s="19" t="n">
        <x:v>1</x:v>
      </x:c>
      <x:c r="O34" s="19" t="n">
        <x:f>--(LEN(M34)&gt;0)</x:f>
        <x:v>1</x:v>
      </x:c>
      <x:c r="P34" s="19" t="str">
        <x:v>ABSTAIN_INSUFFICIENT</x:v>
      </x:c>
      <x:c r="Q34" s="19" t="str"/>
      <x:c r="R34" s="19" t="n">
        <x:v>0</x:v>
      </x:c>
      <x:c r="S34" s="19" t="str">
        <x:v>ABSTAIN_INSUFFICIENT</x:v>
      </x:c>
      <x:c r="T34" s="19" t="str"/>
      <x:c r="U34" s="19" t="n">
        <x:v>0</x:v>
      </x:c>
      <x:c r="V34" s="19" t="str">
        <x:v>METADATA_UNIQUE</x:v>
      </x:c>
      <x:c r="W34" s="19" t="str"/>
      <x:c r="X34" s="19" t="n">
        <x:f>--(O34=--(LEN(Q34)&gt;0))</x:f>
        <x:v>0</x:v>
      </x:c>
      <x:c r="Y34" s="19" t="n">
        <x:f>--(O34=--(LEN(T34)&gt;0))</x:f>
        <x:v>0</x:v>
      </x:c>
      <x:c r="Z34" s="19" t="n">
        <x:f>--(N34=R34)</x:f>
        <x:v>0</x:v>
      </x:c>
      <x:c r="AA34" s="19" t="n">
        <x:f>--(N34=U34)</x:f>
        <x:v>0</x:v>
      </x:c>
      <x:c r="AB34" s="19" t="str">
        <x:f>IF(X34=Y34,"UNCHANGED",IF(Y34=1,"IMPROVED","REGRESSED"))</x:f>
        <x:v>UNCHANGED</x:v>
      </x:c>
      <x:c r="AC34" s="19" t="str">
        <x:f>IF(Z34=AA34,"UNCHANGED",IF(AA34=1,"IMPROVED","REGRESSED"))</x:f>
        <x:v>UNCHANGED</x:v>
      </x:c>
      <x:c r="AD34" s="19" t="str">
        <x:v>EVIDENCE_CHAIN_INCOMPLETE</x:v>
      </x:c>
      <x:c r="AE34" s="19" t="str">
        <x:v>LOW</x:v>
      </x:c>
      <x:c r="AF34" s="19" t="str"/>
      <x:c r="AG34" s="19" t="str"/>
      <x:c r="AH34" s="19" t="str">
        <x:v>/Users/lihd/discovery/paleomagnetic-r3-workflow/dist/paleomagnetic-r357-calibrated-workflow-full/data/parsed_mds/3792.txt</x:v>
      </x:c>
      <x:c r="AI34" s="13" t="n">
        <x:f>--(O34=N34)</x:f>
        <x:v>1</x:v>
      </x:c>
    </x:row>
    <x:row r="35" ht="54" customHeight="1">
      <x:c r="A35" s="13" t="str">
        <x:v>3792</x:v>
      </x:c>
      <x:c r="B35" s="13" t="str">
        <x:v>9433</x:v>
      </x:c>
      <x:c r="C35" s="13" t="str">
        <x:v>7669</x:v>
      </x:c>
      <x:c r="D35" s="19" t="str">
        <x:v>MEAN 946-935 Ma Swedish Dolerites</x:v>
      </x:c>
      <x:c r="E35" s="19" t="str">
        <x:v>Combined result</x:v>
      </x:c>
      <x:c r="F35" s="19" t="str">
        <x:v>60.5</x:v>
      </x:c>
      <x:c r="G35" s="19" t="str">
        <x:v>16</x:v>
      </x:c>
      <x:c r="H35" s="19" t="str"/>
      <x:c r="I35" s="19" t="str"/>
      <x:c r="J35" s="19" t="str">
        <x:v>-0.89999998</x:v>
      </x:c>
      <x:c r="K35" s="19" t="str">
        <x:v>240.7</x:v>
      </x:c>
      <x:c r="L35" s="19" t="str">
        <x:v>V</x:v>
      </x:c>
      <x:c r="M35" s="19" t="str"/>
      <x:c r="N35" s="19" t="n">
        <x:v>0</x:v>
      </x:c>
      <x:c r="O35" s="19" t="n">
        <x:f>--(LEN(M35)&gt;0)</x:f>
        <x:v>0</x:v>
      </x:c>
      <x:c r="P35" s="19" t="str">
        <x:v>ABSTAIN_INSUFFICIENT</x:v>
      </x:c>
      <x:c r="Q35" s="19" t="str"/>
      <x:c r="R35" s="19" t="n">
        <x:v>0</x:v>
      </x:c>
      <x:c r="S35" s="19" t="str">
        <x:v>ABSTAIN_INSUFFICIENT</x:v>
      </x:c>
      <x:c r="T35" s="19" t="str"/>
      <x:c r="U35" s="19" t="n">
        <x:v>0</x:v>
      </x:c>
      <x:c r="V35" s="19" t="str">
        <x:v>METADATA_UNIQUE</x:v>
      </x:c>
      <x:c r="W35" s="19" t="str"/>
      <x:c r="X35" s="19" t="n">
        <x:f>--(O35=--(LEN(Q35)&gt;0))</x:f>
        <x:v>1</x:v>
      </x:c>
      <x:c r="Y35" s="19" t="n">
        <x:f>--(O35=--(LEN(T35)&gt;0))</x:f>
        <x:v>1</x:v>
      </x:c>
      <x:c r="Z35" s="19" t="n">
        <x:f>--(N35=R35)</x:f>
        <x:v>1</x:v>
      </x:c>
      <x:c r="AA35" s="19" t="n">
        <x:f>--(N35=U35)</x:f>
        <x:v>1</x:v>
      </x:c>
      <x:c r="AB35" s="19" t="str">
        <x:f>IF(X35=Y35,"UNCHANGED",IF(Y35=1,"IMPROVED","REGRESSED"))</x:f>
        <x:v>UNCHANGED</x:v>
      </x:c>
      <x:c r="AC35" s="19" t="str">
        <x:f>IF(Z35=AA35,"UNCHANGED",IF(AA35=1,"IMPROVED","REGRESSED"))</x:f>
        <x:v>UNCHANGED</x:v>
      </x:c>
      <x:c r="AD35" s="19" t="str">
        <x:v>TRUE_BLANK</x:v>
      </x:c>
      <x:c r="AE35" s="19" t="str">
        <x:v>LOW</x:v>
      </x:c>
      <x:c r="AF35" s="19" t="str"/>
      <x:c r="AG35" s="19" t="str"/>
      <x:c r="AH35" s="19" t="str">
        <x:v>/Users/lihd/discovery/paleomagnetic-r3-workflow/dist/paleomagnetic-r357-calibrated-workflow-full/data/parsed_mds/3792.txt</x:v>
      </x:c>
      <x:c r="AI35" s="13" t="n">
        <x:f>--(O35=N35)</x:f>
        <x:v>1</x:v>
      </x:c>
    </x:row>
    <x:row r="36" ht="54" customHeight="1">
      <x:c r="A36" s="13" t="str">
        <x:v>3792</x:v>
      </x:c>
      <x:c r="B36" s="13" t="str">
        <x:v>9434</x:v>
      </x:c>
      <x:c r="C36" s="13" t="str">
        <x:v>7670</x:v>
      </x:c>
      <x:c r="D36" s="19" t="str">
        <x:v>Norrkoping Dykes</x:v>
      </x:c>
      <x:c r="E36" s="19" t="str"/>
      <x:c r="F36" s="19" t="str">
        <x:v>58.580002</x:v>
      </x:c>
      <x:c r="G36" s="19" t="str">
        <x:v>16.200001</x:v>
      </x:c>
      <x:c r="H36" s="19" t="str">
        <x:v>175.5</x:v>
      </x:c>
      <x:c r="I36" s="19" t="str">
        <x:v>23.9</x:v>
      </x:c>
      <x:c r="J36" s="19" t="str">
        <x:v>18.799999</x:v>
      </x:c>
      <x:c r="K36" s="19" t="str">
        <x:v>200.89999</x:v>
      </x:c>
      <x:c r="L36" s="19" t="str">
        <x:v>V</x:v>
      </x:c>
      <x:c r="M36" s="19" t="str">
        <x:v>SUSC-T(MAGN)</x:v>
      </x:c>
      <x:c r="N36" s="19" t="n">
        <x:v>1</x:v>
      </x:c>
      <x:c r="O36" s="19" t="n">
        <x:f>--(LEN(M36)&gt;0)</x:f>
        <x:v>1</x:v>
      </x:c>
      <x:c r="P36" s="19" t="str">
        <x:v>ABSTAIN_INSUFFICIENT</x:v>
      </x:c>
      <x:c r="Q36" s="19" t="str"/>
      <x:c r="R36" s="19" t="n">
        <x:v>0</x:v>
      </x:c>
      <x:c r="S36" s="19" t="str">
        <x:v>ABSTAIN_INSUFFICIENT</x:v>
      </x:c>
      <x:c r="T36" s="19" t="str"/>
      <x:c r="U36" s="19" t="n">
        <x:v>0</x:v>
      </x:c>
      <x:c r="V36" s="19" t="str">
        <x:v>METADATA_UNIQUE</x:v>
      </x:c>
      <x:c r="W36" s="19" t="str"/>
      <x:c r="X36" s="19" t="n">
        <x:f>--(O36=--(LEN(Q36)&gt;0))</x:f>
        <x:v>0</x:v>
      </x:c>
      <x:c r="Y36" s="19" t="n">
        <x:f>--(O36=--(LEN(T36)&gt;0))</x:f>
        <x:v>0</x:v>
      </x:c>
      <x:c r="Z36" s="19" t="n">
        <x:f>--(N36=R36)</x:f>
        <x:v>0</x:v>
      </x:c>
      <x:c r="AA36" s="19" t="n">
        <x:f>--(N36=U36)</x:f>
        <x:v>0</x:v>
      </x:c>
      <x:c r="AB36" s="19" t="str">
        <x:f>IF(X36=Y36,"UNCHANGED",IF(Y36=1,"IMPROVED","REGRESSED"))</x:f>
        <x:v>UNCHANGED</x:v>
      </x:c>
      <x:c r="AC36" s="19" t="str">
        <x:f>IF(Z36=AA36,"UNCHANGED",IF(AA36=1,"IMPROVED","REGRESSED"))</x:f>
        <x:v>UNCHANGED</x:v>
      </x:c>
      <x:c r="AD36" s="19" t="str">
        <x:v>EVIDENCE_CHAIN_INCOMPLETE</x:v>
      </x:c>
      <x:c r="AE36" s="19" t="str">
        <x:v>LOW</x:v>
      </x:c>
      <x:c r="AF36" s="19" t="str"/>
      <x:c r="AG36" s="19" t="str"/>
      <x:c r="AH36" s="19" t="str">
        <x:v>/Users/lihd/discovery/paleomagnetic-r3-workflow/dist/paleomagnetic-r357-calibrated-workflow-full/data/parsed_mds/3792.txt</x:v>
      </x:c>
      <x:c r="AI36" s="13" t="n">
        <x:f>--(O36=N36)</x:f>
        <x:v>1</x:v>
      </x:c>
    </x:row>
    <x:row r="37" ht="54" customHeight="1">
      <x:c r="A37" s="13" t="str">
        <x:v>3792</x:v>
      </x:c>
      <x:c r="B37" s="13" t="str">
        <x:v>9435</x:v>
      </x:c>
      <x:c r="C37" s="13" t="str">
        <x:v>7671</x:v>
      </x:c>
      <x:c r="D37" s="19" t="str">
        <x:v>Rejmyre Dyke</x:v>
      </x:c>
      <x:c r="E37" s="19" t="str"/>
      <x:c r="F37" s="19" t="str">
        <x:v>58.830002</x:v>
      </x:c>
      <x:c r="G37" s="19" t="str">
        <x:v>16.08</x:v>
      </x:c>
      <x:c r="H37" s="19" t="str">
        <x:v>184</x:v>
      </x:c>
      <x:c r="I37" s="19" t="str">
        <x:v>16.299999</x:v>
      </x:c>
      <x:c r="J37" s="19" t="str">
        <x:v>22.799999</x:v>
      </x:c>
      <x:c r="K37" s="19" t="str">
        <x:v>191.8</x:v>
      </x:c>
      <x:c r="L37" s="19" t="str">
        <x:v>V</x:v>
      </x:c>
      <x:c r="M37" s="19" t="str"/>
      <x:c r="N37" s="19" t="n">
        <x:v>0</x:v>
      </x:c>
      <x:c r="O37" s="19" t="n">
        <x:f>--(LEN(M37)&gt;0)</x:f>
        <x:v>0</x:v>
      </x:c>
      <x:c r="P37" s="19" t="str">
        <x:v>ABSTAIN_INSUFFICIENT</x:v>
      </x:c>
      <x:c r="Q37" s="19" t="str"/>
      <x:c r="R37" s="19" t="n">
        <x:v>0</x:v>
      </x:c>
      <x:c r="S37" s="19" t="str">
        <x:v>ABSTAIN_INSUFFICIENT</x:v>
      </x:c>
      <x:c r="T37" s="19" t="str"/>
      <x:c r="U37" s="19" t="n">
        <x:v>0</x:v>
      </x:c>
      <x:c r="V37" s="19" t="str">
        <x:v>METADATA_UNIQUE</x:v>
      </x:c>
      <x:c r="W37" s="19" t="str"/>
      <x:c r="X37" s="19" t="n">
        <x:f>--(O37=--(LEN(Q37)&gt;0))</x:f>
        <x:v>1</x:v>
      </x:c>
      <x:c r="Y37" s="19" t="n">
        <x:f>--(O37=--(LEN(T37)&gt;0))</x:f>
        <x:v>1</x:v>
      </x:c>
      <x:c r="Z37" s="19" t="n">
        <x:f>--(N37=R37)</x:f>
        <x:v>1</x:v>
      </x:c>
      <x:c r="AA37" s="19" t="n">
        <x:f>--(N37=U37)</x:f>
        <x:v>1</x:v>
      </x:c>
      <x:c r="AB37" s="19" t="str">
        <x:f>IF(X37=Y37,"UNCHANGED",IF(Y37=1,"IMPROVED","REGRESSED"))</x:f>
        <x:v>UNCHANGED</x:v>
      </x:c>
      <x:c r="AC37" s="19" t="str">
        <x:f>IF(Z37=AA37,"UNCHANGED",IF(AA37=1,"IMPROVED","REGRESSED"))</x:f>
        <x:v>UNCHANGED</x:v>
      </x:c>
      <x:c r="AD37" s="19" t="str">
        <x:v>TRUE_BLANK</x:v>
      </x:c>
      <x:c r="AE37" s="19" t="str">
        <x:v>LOW</x:v>
      </x:c>
      <x:c r="AF37" s="19" t="str"/>
      <x:c r="AG37" s="19" t="str"/>
      <x:c r="AH37" s="19" t="str">
        <x:v>/Users/lihd/discovery/paleomagnetic-r3-workflow/dist/paleomagnetic-r357-calibrated-workflow-full/data/parsed_mds/3792.txt</x:v>
      </x:c>
      <x:c r="AI37" s="13" t="n">
        <x:f>--(O37=N37)</x:f>
        <x:v>1</x:v>
      </x:c>
    </x:row>
    <x:row r="38" ht="54" customHeight="1">
      <x:c r="A38" s="13" t="str">
        <x:v>4168</x:v>
      </x:c>
      <x:c r="B38" s="13" t="str">
        <x:v>10005</x:v>
      </x:c>
      <x:c r="C38" s="13" t="str">
        <x:v>8230</x:v>
      </x:c>
      <x:c r="D38" s="19" t="str">
        <x:v>Kopparnäs Dykes</x:v>
      </x:c>
      <x:c r="E38" s="19" t="str"/>
      <x:c r="F38" s="19" t="str">
        <x:v>60.043999</x:v>
      </x:c>
      <x:c r="G38" s="19" t="str">
        <x:v>24.25</x:v>
      </x:c>
      <x:c r="H38" s="19" t="str">
        <x:v>27.299999</x:v>
      </x:c>
      <x:c r="I38" s="19" t="str">
        <x:v>1.2</x:v>
      </x:c>
      <x:c r="J38" s="19" t="str">
        <x:v>26.9</x:v>
      </x:c>
      <x:c r="K38" s="19" t="str">
        <x:v>173.3</x:v>
      </x:c>
      <x:c r="L38" s="19" t="str">
        <x:v>V</x:v>
      </x:c>
      <x:c r="M38" s="19" t="str">
        <x:v>SUSC-T,3-axis Jrs-T, IRM (MAGN,TM)</x:v>
      </x:c>
      <x:c r="N38" s="19" t="n">
        <x:v>1</x:v>
      </x:c>
      <x:c r="O38" s="19" t="n">
        <x:f>--(LEN(M38)&gt;0)</x:f>
        <x:v>1</x:v>
      </x:c>
      <x:c r="P38" s="19" t="str">
        <x:v>PRESENT</x:v>
      </x:c>
      <x:c r="Q38" s="19" t="str">
        <x:v>IRM,SUSC-T,HYST,SEM,OP(TM,PYRR,ILM,MAGN)</x:v>
      </x:c>
      <x:c r="R38" s="19" t="n">
        <x:v>1</x:v>
      </x:c>
      <x:c r="S38" s="19" t="str">
        <x:v>PRESENT</x:v>
      </x:c>
      <x:c r="T38" s="19" t="str">
        <x:v>IRM,SUSC-T,HYST,SEM,OP(TM,PYRR,ILM,MAGN)</x:v>
      </x:c>
      <x:c r="U38" s="19" t="n">
        <x:v>1</x:v>
      </x:c>
      <x:c r="V38" s="19" t="str">
        <x:v>PAPER_ROW_MATCH</x:v>
      </x:c>
      <x:c r="W38" s="19" t="str">
        <x:v>direction, pole</x:v>
      </x:c>
      <x:c r="X38" s="19" t="n">
        <x:f>--(O38=--(LEN(Q38)&gt;0))</x:f>
        <x:v>1</x:v>
      </x:c>
      <x:c r="Y38" s="19" t="n">
        <x:f>--(O38=--(LEN(T38)&gt;0))</x:f>
        <x:v>1</x:v>
      </x:c>
      <x:c r="Z38" s="19" t="n">
        <x:f>--(N38=R38)</x:f>
        <x:v>1</x:v>
      </x:c>
      <x:c r="AA38" s="19" t="n">
        <x:f>--(N38=U38)</x:f>
        <x:v>1</x:v>
      </x:c>
      <x:c r="AB38" s="19" t="str">
        <x:f>IF(X38=Y38,"UNCHANGED",IF(Y38=1,"IMPROVED","REGRESSED"))</x:f>
        <x:v>UNCHANGED</x:v>
      </x:c>
      <x:c r="AC38" s="19" t="str">
        <x:f>IF(Z38=AA38,"UNCHANGED",IF(AA38=1,"IMPROVED","REGRESSED"))</x:f>
        <x:v>UNCHANGED</x:v>
      </x:c>
      <x:c r="AD38" s="19" t="str">
        <x:v>SEMANTIC_MATCH</x:v>
      </x:c>
      <x:c r="AE38" s="19" t="str">
        <x:v>HIGH</x:v>
      </x:c>
      <x:c r="AF38" s="19" t="str">
        <x:v>6, 7, 5, 8, 20</x:v>
      </x:c>
      <x:c r="AG38" s="19" t="str">
        <x:v>Salminen et al. P r e c a m b r i a n R e s e a r c h 365(2021)106406 (IRM) (Lowrie, 1990) and acquisition of IRM curves were carried out presence of titanomagnetite with variable Ti-content as exemplified with a Molspin pulse magnetizer (GTK) for Kopparna¨s samples. | SEM studies of the dykes SQUID magnetometer (UH, LTU) and for the Kopparna¨s dykes with a RF show the presence of titanomagnetite, ilmenite, pyrite and occasionally SQUID magnetometer (GTK) to isolate a characteristic remanent pyrrhotite (Fig. 3). | Kopparna¨s petrophysics, rock magnetism and SEM (a) Remanence – magnetic susceptibility plot (logarithmic scales) of the site mean values of the dykes. | thin section</x:v>
      </x:c>
      <x:c r="AH38" s="19" t="str">
        <x:v>/Users/lihd/discovery/paleomagnetic-r3-workflow/dist/paleomagnetic-r357-calibrated-workflow-full/data/parsed_mds/4168.txt</x:v>
      </x:c>
      <x:c r="AI38" s="13" t="n">
        <x:f>--(O38=N38)</x:f>
        <x:v>1</x:v>
      </x:c>
    </x:row>
    <x:row r="39" ht="54" customHeight="1">
      <x:c r="A39" s="13" t="str">
        <x:v>4168</x:v>
      </x:c>
      <x:c r="B39" s="13" t="str">
        <x:v>10006</x:v>
      </x:c>
      <x:c r="C39" s="13" t="str">
        <x:v>8231</x:v>
      </x:c>
      <x:c r="D39" s="19" t="str">
        <x:v>Ragunda Dykes, Group 2+host</x:v>
      </x:c>
      <x:c r="E39" s="19" t="str"/>
      <x:c r="F39" s="19" t="str">
        <x:v>63.139999</x:v>
      </x:c>
      <x:c r="G39" s="19" t="str">
        <x:v>16.030001</x:v>
      </x:c>
      <x:c r="H39" s="19" t="str">
        <x:v>20.4</x:v>
      </x:c>
      <x:c r="I39" s="19" t="str">
        <x:v>49.400002</x:v>
      </x:c>
      <x:c r="J39" s="19" t="str">
        <x:v>56</x:v>
      </x:c>
      <x:c r="K39" s="19" t="str">
        <x:v>163</x:v>
      </x:c>
      <x:c r="L39" s="19" t="str">
        <x:v>V</x:v>
      </x:c>
      <x:c r="M39" s="19" t="str">
        <x:v>SUSC-T,3-axis Jrs-T, IRM (MAGN,TM)</x:v>
      </x:c>
      <x:c r="N39" s="19" t="n">
        <x:v>1</x:v>
      </x:c>
      <x:c r="O39" s="19" t="n">
        <x:f>--(LEN(M39)&gt;0)</x:f>
        <x:v>1</x:v>
      </x:c>
      <x:c r="P39" s="19" t="str">
        <x:v>PRESENT</x:v>
      </x:c>
      <x:c r="Q39" s="19" t="str">
        <x:v>IRM,SUSC-T,HYST(PYRR,MAGN,TM)</x:v>
      </x:c>
      <x:c r="R39" s="19" t="n">
        <x:v>1</x:v>
      </x:c>
      <x:c r="S39" s="19" t="str">
        <x:v>PRESENT</x:v>
      </x:c>
      <x:c r="T39" s="19" t="str">
        <x:v>IRM,SUSC-T,HYST(PYRR,MAGN,TM)</x:v>
      </x:c>
      <x:c r="U39" s="19" t="n">
        <x:v>1</x:v>
      </x:c>
      <x:c r="V39" s="19" t="str">
        <x:v>PAPER_ROW_MATCH</x:v>
      </x:c>
      <x:c r="W39" s="19" t="str">
        <x:v>direction, pole</x:v>
      </x:c>
      <x:c r="X39" s="19" t="n">
        <x:f>--(O39=--(LEN(Q39)&gt;0))</x:f>
        <x:v>1</x:v>
      </x:c>
      <x:c r="Y39" s="19" t="n">
        <x:f>--(O39=--(LEN(T39)&gt;0))</x:f>
        <x:v>1</x:v>
      </x:c>
      <x:c r="Z39" s="19" t="n">
        <x:f>--(N39=R39)</x:f>
        <x:v>1</x:v>
      </x:c>
      <x:c r="AA39" s="19" t="n">
        <x:f>--(N39=U39)</x:f>
        <x:v>1</x:v>
      </x:c>
      <x:c r="AB39" s="19" t="str">
        <x:f>IF(X39=Y39,"UNCHANGED",IF(Y39=1,"IMPROVED","REGRESSED"))</x:f>
        <x:v>UNCHANGED</x:v>
      </x:c>
      <x:c r="AC39" s="19" t="str">
        <x:f>IF(Z39=AA39,"UNCHANGED",IF(AA39=1,"IMPROVED","REGRESSED"))</x:f>
        <x:v>UNCHANGED</x:v>
      </x:c>
      <x:c r="AD39" s="19" t="str">
        <x:v>SEMANTIC_MATCH</x:v>
      </x:c>
      <x:c r="AE39" s="19" t="str">
        <x:v>HIGH</x:v>
      </x:c>
      <x:c r="AF39" s="19" t="str">
        <x:v>5, 6, 9, 20</x:v>
      </x:c>
      <x:c r="AG39" s="19" t="str">
        <x:v>Temperature dependence of low-field magnetic susceptibility | hysteresis | IRM | hysteresis</x:v>
      </x:c>
      <x:c r="AH39" s="19" t="str">
        <x:v>/Users/lihd/discovery/paleomagnetic-r3-workflow/dist/paleomagnetic-r357-calibrated-workflow-full/data/parsed_mds/4168.txt</x:v>
      </x:c>
      <x:c r="AI39" s="13" t="n">
        <x:f>--(O39=N39)</x:f>
        <x:v>1</x:v>
      </x:c>
    </x:row>
    <x:row r="40" ht="54" customHeight="1">
      <x:c r="A40" s="13" t="str">
        <x:v>4168</x:v>
      </x:c>
      <x:c r="B40" s="13" t="str">
        <x:v>10007</x:v>
      </x:c>
      <x:c r="C40" s="13" t="str">
        <x:v>8232</x:v>
      </x:c>
      <x:c r="D40" s="19" t="str">
        <x:v>Ragunda Dykes, Group 1</x:v>
      </x:c>
      <x:c r="E40" s="19" t="str"/>
      <x:c r="F40" s="19" t="str">
        <x:v>63.150002</x:v>
      </x:c>
      <x:c r="G40" s="19" t="str">
        <x:v>16</x:v>
      </x:c>
      <x:c r="H40" s="19" t="str">
        <x:v>11.2</x:v>
      </x:c>
      <x:c r="I40" s="19" t="str">
        <x:v>-16.700001</x:v>
      </x:c>
      <x:c r="J40" s="19" t="str">
        <x:v>16.4</x:v>
      </x:c>
      <x:c r="K40" s="19" t="str">
        <x:v>186.7</x:v>
      </x:c>
      <x:c r="L40" s="19" t="str">
        <x:v>V</x:v>
      </x:c>
      <x:c r="M40" s="19" t="str">
        <x:v>SUSC-T,3-axis Jrs-T, IRM (MAGN,TM)</x:v>
      </x:c>
      <x:c r="N40" s="19" t="n">
        <x:v>1</x:v>
      </x:c>
      <x:c r="O40" s="19" t="n">
        <x:f>--(LEN(M40)&gt;0)</x:f>
        <x:v>1</x:v>
      </x:c>
      <x:c r="P40" s="19" t="str">
        <x:v>ABSENT</x:v>
      </x:c>
      <x:c r="Q40" s="19" t="str"/>
      <x:c r="R40" s="19" t="n">
        <x:v>0</x:v>
      </x:c>
      <x:c r="S40" s="19" t="str">
        <x:v>ABSENT</x:v>
      </x:c>
      <x:c r="T40" s="19" t="str"/>
      <x:c r="U40" s="19" t="n">
        <x:v>0</x:v>
      </x:c>
      <x:c r="V40" s="19" t="str">
        <x:v>METADATA_UNIQUE</x:v>
      </x:c>
      <x:c r="W40" s="19" t="str"/>
      <x:c r="X40" s="19" t="n">
        <x:f>--(O40=--(LEN(Q40)&gt;0))</x:f>
        <x:v>0</x:v>
      </x:c>
      <x:c r="Y40" s="19" t="n">
        <x:f>--(O40=--(LEN(T40)&gt;0))</x:f>
        <x:v>0</x:v>
      </x:c>
      <x:c r="Z40" s="19" t="n">
        <x:f>--(N40=R40)</x:f>
        <x:v>0</x:v>
      </x:c>
      <x:c r="AA40" s="19" t="n">
        <x:f>--(N40=U40)</x:f>
        <x:v>0</x:v>
      </x:c>
      <x:c r="AB40" s="19" t="str">
        <x:f>IF(X40=Y40,"UNCHANGED",IF(Y40=1,"IMPROVED","REGRESSED"))</x:f>
        <x:v>UNCHANGED</x:v>
      </x:c>
      <x:c r="AC40" s="19" t="str">
        <x:f>IF(Z40=AA40,"UNCHANGED",IF(AA40=1,"IMPROVED","REGRESSED"))</x:f>
        <x:v>UNCHANGED</x:v>
      </x:c>
      <x:c r="AD40" s="19" t="str">
        <x:v>FIELD_FALSE_NEGATIVE</x:v>
      </x:c>
      <x:c r="AE40" s="19" t="str">
        <x:v>MEDIUM</x:v>
      </x:c>
      <x:c r="AF40" s="19" t="str"/>
      <x:c r="AG40" s="19" t="str"/>
      <x:c r="AH40" s="19" t="str">
        <x:v>/Users/lihd/discovery/paleomagnetic-r3-workflow/dist/paleomagnetic-r357-calibrated-workflow-full/data/parsed_mds/4168.txt</x:v>
      </x:c>
      <x:c r="AI40" s="13" t="n">
        <x:f>--(O40=N40)</x:f>
        <x:v>1</x:v>
      </x:c>
    </x:row>
    <x:row r="41" ht="54" customHeight="1">
      <x:c r="A41" s="13" t="str">
        <x:v>4168</x:v>
      </x:c>
      <x:c r="B41" s="13" t="str">
        <x:v>10008</x:v>
      </x:c>
      <x:c r="C41" s="13" t="str">
        <x:v>8233</x:v>
      </x:c>
      <x:c r="D41" s="19" t="str">
        <x:v>Strömsbro Rapakivi Complex</x:v>
      </x:c>
      <x:c r="E41" s="19" t="str"/>
      <x:c r="F41" s="19" t="str">
        <x:v>60.700001</x:v>
      </x:c>
      <x:c r="G41" s="19" t="str">
        <x:v>17.33</x:v>
      </x:c>
      <x:c r="H41" s="19" t="str">
        <x:v>17.200001</x:v>
      </x:c>
      <x:c r="I41" s="19" t="str">
        <x:v>-48.700001</x:v>
      </x:c>
      <x:c r="J41" s="19" t="str">
        <x:v>-1.4</x:v>
      </x:c>
      <x:c r="K41" s="19" t="str">
        <x:v>182.3</x:v>
      </x:c>
      <x:c r="L41" s="19" t="str">
        <x:v>V</x:v>
      </x:c>
      <x:c r="M41" s="19" t="str">
        <x:v>SUSC-T,3-axis Jrs-T, IRM (MAGN,TM)</x:v>
      </x:c>
      <x:c r="N41" s="19" t="n">
        <x:v>1</x:v>
      </x:c>
      <x:c r="O41" s="19" t="n">
        <x:f>--(LEN(M41)&gt;0)</x:f>
        <x:v>1</x:v>
      </x:c>
      <x:c r="P41" s="19" t="str">
        <x:v>ABSTAIN_ANCHOR</x:v>
      </x:c>
      <x:c r="Q41" s="19" t="str"/>
      <x:c r="R41" s="19" t="n">
        <x:v>0</x:v>
      </x:c>
      <x:c r="S41" s="19" t="str">
        <x:v>ABSTAIN_INSUFFICIENT</x:v>
      </x:c>
      <x:c r="T41" s="19" t="str"/>
      <x:c r="U41" s="19" t="n">
        <x:v>0</x:v>
      </x:c>
      <x:c r="V41" s="19" t="str">
        <x:v>PAPER_ROW_MATCH</x:v>
      </x:c>
      <x:c r="W41" s="19" t="str">
        <x:v>pole</x:v>
      </x:c>
      <x:c r="X41" s="19" t="n">
        <x:f>--(O41=--(LEN(Q41)&gt;0))</x:f>
        <x:v>0</x:v>
      </x:c>
      <x:c r="Y41" s="19" t="n">
        <x:f>--(O41=--(LEN(T41)&gt;0))</x:f>
        <x:v>0</x:v>
      </x:c>
      <x:c r="Z41" s="19" t="n">
        <x:f>--(N41=R41)</x:f>
        <x:v>0</x:v>
      </x:c>
      <x:c r="AA41" s="19" t="n">
        <x:f>--(N41=U41)</x:f>
        <x:v>0</x:v>
      </x:c>
      <x:c r="AB41" s="19" t="str">
        <x:f>IF(X41=Y41,"UNCHANGED",IF(Y41=1,"IMPROVED","REGRESSED"))</x:f>
        <x:v>UNCHANGED</x:v>
      </x:c>
      <x:c r="AC41" s="19" t="str">
        <x:f>IF(Z41=AA41,"UNCHANGED",IF(AA41=1,"IMPROVED","REGRESSED"))</x:f>
        <x:v>UNCHANGED</x:v>
      </x:c>
      <x:c r="AD41" s="19" t="str">
        <x:v>EVIDENCE_CHAIN_INCOMPLETE</x:v>
      </x:c>
      <x:c r="AE41" s="19" t="str">
        <x:v>LOW</x:v>
      </x:c>
      <x:c r="AF41" s="19" t="str">
        <x:v>1, 2, 4, 5</x:v>
      </x:c>
      <x:c r="AG41" s="19" t="str">
        <x:v>, 2007; Dall’Agnol et al., ~1640–1400 Ma (e.g. Emslie, 1978; Windley, 1993; Åh¨all and Connelly, 2012) are associated with coeval gabbroic rocks of the massif-type 1998; Karlstrom et al., 2001; Ashwal and Bybee, 2017). Various theories anorthosite clan (e.g. Ashwal, 1993; Alviola et al., 1999) and they have been put forward to explain this Proterozoic magmatism. In one set often include both silicic and basic dykes (e.g. Haapala et al., 1990; of models the common bimodal occurrence of the Proterozoic massif- Haapala and Ra¨mo¨, 1992; Ra¨mo¨ and Haapala, 1995). Massif-type Pro- type anorthosite batholiths and related crustal magmatic rocks (anor- terozoic anorthosites occur as small plutons (1–10 km2) to large com- thosites-mangereite-charnockite-granitoids, AMCG complex; Emslie, posite batholiths (up to 18000 km2). Composition, textures, variable 1978) are described as typical of “anorog | es and associated dyke swarms in central Sweden. matism is enhanced on a stationary low-latitude position. However, if Proterozoic magmatism during the Nuna supercontinent assembly was 2.1. The Kopparna¨s dyke swarm initiated by active convergent margin processes (e.g. Ashwal and Bybee, 2017), it is likely that the spatial arrangement of linear belts of massif- The E-W trending ~0.05–2 m wide Kopparna¨s diabase dykes outcrop type anorthosites continue from one craton to the other in a super- in a very limited area in southeastern Finland extending about two ki- continental reconstruction and can be visualized in paleogeographical lometers in length and about half a kilometer in width (Figs. 1 and 2). reconstructions. We will use new data from the intrusions related to the The widest dykes are located in the eastern part of the swarm close to the Mesoproterozoic Obbna¨s, Ragunda Stro¨m</x:v>
      </x:c>
      <x:c r="AH41" s="19" t="str">
        <x:v>/Users/lihd/discovery/paleomagnetic-r3-workflow/dist/paleomagnetic-r357-calibrated-workflow-full/data/parsed_mds/4168.txt</x:v>
      </x:c>
      <x:c r="AI41" s="13" t="n">
        <x:f>--(O41=N41)</x:f>
        <x:v>1</x:v>
      </x:c>
    </x:row>
    <x:row r="42" ht="54" customHeight="1">
      <x:c r="A42" s="13" t="str">
        <x:v>4168</x:v>
      </x:c>
      <x:c r="B42" s="13" t="str">
        <x:v>10009</x:v>
      </x:c>
      <x:c r="C42" s="13" t="str">
        <x:v>8234</x:v>
      </x:c>
      <x:c r="D42" s="19" t="str">
        <x:v>Strömsbro Dykes</x:v>
      </x:c>
      <x:c r="E42" s="19" t="str"/>
      <x:c r="F42" s="19" t="str">
        <x:v>60.700001</x:v>
      </x:c>
      <x:c r="G42" s="19" t="str">
        <x:v>17.33</x:v>
      </x:c>
      <x:c r="H42" s="19" t="str">
        <x:v>12.2</x:v>
      </x:c>
      <x:c r="I42" s="19" t="str">
        <x:v>-21.5</x:v>
      </x:c>
      <x:c r="J42" s="19" t="str">
        <x:v>17.5</x:v>
      </x:c>
      <x:c r="K42" s="19" t="str">
        <x:v>184.39999</x:v>
      </x:c>
      <x:c r="L42" s="19" t="str">
        <x:v>V</x:v>
      </x:c>
      <x:c r="M42" s="19" t="str">
        <x:v>SUSC-T,3-axis Jrs-T, IRM (MAGN,TM)</x:v>
      </x:c>
      <x:c r="N42" s="19" t="n">
        <x:v>0</x:v>
      </x:c>
      <x:c r="O42" s="19" t="n">
        <x:f>--(LEN(M42)&gt;0)</x:f>
        <x:v>1</x:v>
      </x:c>
      <x:c r="P42" s="19" t="str">
        <x:v>ABSTAIN_ANCHOR</x:v>
      </x:c>
      <x:c r="Q42" s="19" t="str"/>
      <x:c r="R42" s="19" t="n">
        <x:v>0</x:v>
      </x:c>
      <x:c r="S42" s="19" t="str">
        <x:v>ABSTAIN_INSUFFICIENT</x:v>
      </x:c>
      <x:c r="T42" s="19" t="str"/>
      <x:c r="U42" s="19" t="n">
        <x:v>0</x:v>
      </x:c>
      <x:c r="V42" s="19" t="str">
        <x:v>PAPER_ROW_MATCH</x:v>
      </x:c>
      <x:c r="W42" s="19" t="str">
        <x:v>pole</x:v>
      </x:c>
      <x:c r="X42" s="19" t="n">
        <x:f>--(O42=--(LEN(Q42)&gt;0))</x:f>
        <x:v>0</x:v>
      </x:c>
      <x:c r="Y42" s="19" t="n">
        <x:f>--(O42=--(LEN(T42)&gt;0))</x:f>
        <x:v>0</x:v>
      </x:c>
      <x:c r="Z42" s="19" t="n">
        <x:f>--(N42=R42)</x:f>
        <x:v>1</x:v>
      </x:c>
      <x:c r="AA42" s="19" t="n">
        <x:f>--(N42=U42)</x:f>
        <x:v>1</x:v>
      </x:c>
      <x:c r="AB42" s="19" t="str">
        <x:f>IF(X42=Y42,"UNCHANGED",IF(Y42=1,"IMPROVED","REGRESSED"))</x:f>
        <x:v>UNCHANGED</x:v>
      </x:c>
      <x:c r="AC42" s="19" t="str">
        <x:f>IF(Z42=AA42,"UNCHANGED",IF(AA42=1,"IMPROVED","REGRESSED"))</x:f>
        <x:v>UNCHANGED</x:v>
      </x:c>
      <x:c r="AD42" s="19" t="str">
        <x:v>EVIDENCE_CHAIN_INCOMPLETE</x:v>
      </x:c>
      <x:c r="AE42" s="19" t="str">
        <x:v>LOW</x:v>
      </x:c>
      <x:c r="AF42" s="19" t="str">
        <x:v>14, 20</x:v>
      </x:c>
      <x:c r="AG42" s="19" t="str">
        <x:v>MS graben together with Jotnian sediments, which are partly assimilated to of the granite reveal a predominantly magnetic foliation with steeply the sill, indicating a Post Jotnian age for the sill. The dyke S04 and sill dipping foliation planes and nearly vertical directions of the axis of data are not included in any mean calculations for the rapakivi complex. maximum susceptibility, possibly reflecting the flow direction of The mean for the Stro¨msbro rapakivi complex is calculated from magma. rapakivi related dykes at four sites (Table 3) at D: 13◦, I:–22◦(α 95: 16◦, Paleomagnetic results of the Ro¨do¨ rapakivi complex are listed in k: 35) (Fig. 10) yielding a paleomagnetic pole at Plat: 18◦N, Plong: Table 4, and representative demagnetization behaviors are illustrated in 184◦E (A95: 15◦, K: 38, with N: 35, B: 4) (Fig. 11, Table 3). A ChRM in Fig. 9. For the basic dykes, thermal dema | minen et al. (2014b) R1 1 1 1 1 1 1 7 (2014b) 1575.9 ±3 Kopparn¨as dykes 60 20 1645 ±5; g Vaasjoki (1977), Kosunen 1640 C 17 98 027 01 7 27 27 173 5 R0 1 1 0 1 0 1 4 ** this work, , see 1640 ±14 (2004) Table 2 age from Obn¨ass rapakivi granite Ragunda-dykes group 2 63 16 1505 ±12, g Persson (1999) 1514 C 20 122 020 49 11 10 56 163 11 R1 1 1 1 1 0 1 6 ** this work, see +host Table 2 1514 ±5 Ragunda-dykes group 1* 63 16 C 12 63 003 (cid:0) 24 19 6 13 194 14.9 R0 1 1 1 1 1 1 5 ** this work Stro¨msbro rapakivi* 61 17 1500 ±19 g Andersson (1997b) 1500 N 1 5 017 (cid:0) 49 17 21 (cid:0) 01 182 18.4 R0 0 1 0 1 0 0 2 ** this work Stro¨msbro dykes* 61 17 g Andersson (1997b) 1500 N 4 35 013 –22 16 35 18 184 15.1 R0 0 0 0 1 0 1 2 ** this work Ro¨do¨ rapakivi* 62 18 1497 ±6 g Andersson et al. (2001) 1497 N 1 20 024 (cid:0) 35 6 36 06 175 4.8 R1 0 1 1 1 0 1 5 ** this work Ro¨do¨ dykes 62 18 Anders</x:v>
      </x:c>
      <x:c r="AH42" s="19" t="str">
        <x:v>/Users/lihd/discovery/paleomagnetic-r3-workflow/dist/paleomagnetic-r357-calibrated-workflow-full/data/parsed_mds/4168.txt</x:v>
      </x:c>
      <x:c r="AI42" s="13" t="n">
        <x:f>--(O42=N42)</x:f>
        <x:v>0</x:v>
      </x:c>
    </x:row>
    <x:row r="43" ht="54" customHeight="1">
      <x:c r="A43" s="13" t="str">
        <x:v>4168</x:v>
      </x:c>
      <x:c r="B43" s="13" t="str">
        <x:v>10010</x:v>
      </x:c>
      <x:c r="C43" s="13" t="str">
        <x:v>8235</x:v>
      </x:c>
      <x:c r="D43" s="19" t="str">
        <x:v>Rödö Rapakivi Complex</x:v>
      </x:c>
      <x:c r="E43" s="19" t="str"/>
      <x:c r="F43" s="19" t="str">
        <x:v>62.369999</x:v>
      </x:c>
      <x:c r="G43" s="19" t="str">
        <x:v>17.559999</x:v>
      </x:c>
      <x:c r="H43" s="19" t="str">
        <x:v>23.700001</x:v>
      </x:c>
      <x:c r="I43" s="19" t="str">
        <x:v>-35</x:v>
      </x:c>
      <x:c r="J43" s="19" t="str">
        <x:v>6.1999998</x:v>
      </x:c>
      <x:c r="K43" s="19" t="str">
        <x:v>175.10001</x:v>
      </x:c>
      <x:c r="L43" s="19" t="str">
        <x:v>V</x:v>
      </x:c>
      <x:c r="M43" s="19" t="str">
        <x:v>SUSC-T,3-axis Jrs-T, IRM (MAGN,TM)</x:v>
      </x:c>
      <x:c r="N43" s="19" t="n">
        <x:v>1</x:v>
      </x:c>
      <x:c r="O43" s="19" t="n">
        <x:f>--(LEN(M43)&gt;0)</x:f>
        <x:v>1</x:v>
      </x:c>
      <x:c r="P43" s="19" t="str">
        <x:v>ABSTAIN_ANCHOR</x:v>
      </x:c>
      <x:c r="Q43" s="19" t="str"/>
      <x:c r="R43" s="19" t="n">
        <x:v>0</x:v>
      </x:c>
      <x:c r="S43" s="19" t="str">
        <x:v>ABSTAIN_INSUFFICIENT</x:v>
      </x:c>
      <x:c r="T43" s="19" t="str"/>
      <x:c r="U43" s="19" t="n">
        <x:v>0</x:v>
      </x:c>
      <x:c r="V43" s="19" t="str">
        <x:v>PAPER_ROW_MATCH</x:v>
      </x:c>
      <x:c r="W43" s="19" t="str">
        <x:v>direction, pole</x:v>
      </x:c>
      <x:c r="X43" s="19" t="n">
        <x:f>--(O43=--(LEN(Q43)&gt;0))</x:f>
        <x:v>0</x:v>
      </x:c>
      <x:c r="Y43" s="19" t="n">
        <x:f>--(O43=--(LEN(T43)&gt;0))</x:f>
        <x:v>0</x:v>
      </x:c>
      <x:c r="Z43" s="19" t="n">
        <x:f>--(N43=R43)</x:f>
        <x:v>0</x:v>
      </x:c>
      <x:c r="AA43" s="19" t="n">
        <x:f>--(N43=U43)</x:f>
        <x:v>0</x:v>
      </x:c>
      <x:c r="AB43" s="19" t="str">
        <x:f>IF(X43=Y43,"UNCHANGED",IF(Y43=1,"IMPROVED","REGRESSED"))</x:f>
        <x:v>UNCHANGED</x:v>
      </x:c>
      <x:c r="AC43" s="19" t="str">
        <x:f>IF(Z43=AA43,"UNCHANGED",IF(AA43=1,"IMPROVED","REGRESSED"))</x:f>
        <x:v>UNCHANGED</x:v>
      </x:c>
      <x:c r="AD43" s="19" t="str">
        <x:v>EVIDENCE_CHAIN_INCOMPLETE</x:v>
      </x:c>
      <x:c r="AE43" s="19" t="str">
        <x:v>LOW</x:v>
      </x:c>
      <x:c r="AF43" s="19" t="str">
        <x:v>16, 20</x:v>
      </x:c>
      <x:c r="AG43" s="19" t="str">
        <x:v>are illustrated in similar ChRM direction is obtained in unbaked granite at the sites RD02 Fig. 9. For the basic dykes both AF and thermal demagnetization were and RD03 (Figs. 9 and 10; Table 4). In general, the ChRM of both baked isolating a ChRM with coercivities and unblocking temperatures typical and unbaked granite is best isolated by thermal demagnetization with for magnetite (Fig. 9). Four dykes show normal polarity north- unblocking temperatures typical for magnetite generally with MAD &lt; northeasterly ChRM direction with both up- and downward pointing 8◦. The mean ChRM from 1497 ±6 Ma (Andersson et al., 2001) granite shallow inclinations (Figs. 9 and 10) with MAD &lt;9◦. sites is at D: 24◦, I:-35◦(α 95: 6◦, k: 36) yielding a paleomagnetic pole at The natural remanent magnetization (NRM) of the basic dykes Plat: 6◦N, Plong: 175◦E (A95: 5◦, K: 47, with N: 20) (Figs. 10 and 11, sometim | n similar ChRM direction is obtained in unbaked granite at the sites RD02 Fig. 9. For the basic dykes both AF and thermal demagnetization were and RD03 (Figs. 9 and 10; Table 4). In general, the ChRM of both baked isolating a ChRM with coercivities and unblocking temperatures typical and unbaked granite is best isolated by thermal demagnetization with for magnetite (Fig. 9). Four dykes show normal polarity north- unblocking temperatures typical for magnetite generally with MAD &lt; northeasterly ChRM direction with both up- and downward pointing 8◦. The mean ChRM from 1497 ±6 Ma (Andersson et al., 2001) granite shallow inclinations (Figs. 9 and 10) with MAD &lt;9◦. sites is at D: 24◦, I:-35◦(α 95: 6◦, k: 36) yielding a paleomagnetic pole at The natural remanent magnetization (NRM) of the basic dykes Plat: 6◦N, Plong: 175◦E (A95: 5◦, K: 47, with N: 20) (Figs. 10 and 11, sometimes includes on</x:v>
      </x:c>
      <x:c r="AH43" s="19" t="str">
        <x:v>/Users/lihd/discovery/paleomagnetic-r3-workflow/dist/paleomagnetic-r357-calibrated-workflow-full/data/parsed_mds/4168.txt</x:v>
      </x:c>
      <x:c r="AI43" s="13" t="n">
        <x:f>--(O43=N43)</x:f>
        <x:v>1</x:v>
      </x:c>
    </x:row>
    <x:row r="44" ht="54" customHeight="1">
      <x:c r="A44" s="13" t="str">
        <x:v>4168</x:v>
      </x:c>
      <x:c r="B44" s="13" t="str">
        <x:v>10011</x:v>
      </x:c>
      <x:c r="C44" s="13" t="str">
        <x:v>8236</x:v>
      </x:c>
      <x:c r="D44" s="19" t="str">
        <x:v>Rödö Dykes</x:v>
      </x:c>
      <x:c r="E44" s="19" t="str"/>
      <x:c r="F44" s="19" t="str">
        <x:v>62.369999</x:v>
      </x:c>
      <x:c r="G44" s="19" t="str">
        <x:v>17.559999</x:v>
      </x:c>
      <x:c r="H44" s="19" t="str">
        <x:v>177.60001</x:v>
      </x:c>
      <x:c r="I44" s="19" t="str">
        <x:v>-26.700001</x:v>
      </x:c>
      <x:c r="J44" s="19" t="str">
        <x:v>41.700001</x:v>
      </x:c>
      <x:c r="K44" s="19" t="str">
        <x:v>200.7</x:v>
      </x:c>
      <x:c r="L44" s="19" t="str">
        <x:v>V</x:v>
      </x:c>
      <x:c r="M44" s="19" t="str">
        <x:v>SUSC-T,3-axis Jrs-T, IRM (MAGN,TM)</x:v>
      </x:c>
      <x:c r="N44" s="19" t="n">
        <x:v>1</x:v>
      </x:c>
      <x:c r="O44" s="19" t="n">
        <x:f>--(LEN(M44)&gt;0)</x:f>
        <x:v>1</x:v>
      </x:c>
      <x:c r="P44" s="19" t="str">
        <x:v>ABSTAIN_ANCHOR</x:v>
      </x:c>
      <x:c r="Q44" s="19" t="str"/>
      <x:c r="R44" s="19" t="n">
        <x:v>0</x:v>
      </x:c>
      <x:c r="S44" s="19" t="str">
        <x:v>ABSTAIN_INSUFFICIENT</x:v>
      </x:c>
      <x:c r="T44" s="19" t="str"/>
      <x:c r="U44" s="19" t="n">
        <x:v>0</x:v>
      </x:c>
      <x:c r="V44" s="19" t="str">
        <x:v>PAPER_ROW_MATCH</x:v>
      </x:c>
      <x:c r="W44" s="19" t="str">
        <x:v>pole</x:v>
      </x:c>
      <x:c r="X44" s="19" t="n">
        <x:f>--(O44=--(LEN(Q44)&gt;0))</x:f>
        <x:v>0</x:v>
      </x:c>
      <x:c r="Y44" s="19" t="n">
        <x:f>--(O44=--(LEN(T44)&gt;0))</x:f>
        <x:v>0</x:v>
      </x:c>
      <x:c r="Z44" s="19" t="n">
        <x:f>--(N44=R44)</x:f>
        <x:v>0</x:v>
      </x:c>
      <x:c r="AA44" s="19" t="n">
        <x:f>--(N44=U44)</x:f>
        <x:v>0</x:v>
      </x:c>
      <x:c r="AB44" s="19" t="str">
        <x:f>IF(X44=Y44,"UNCHANGED",IF(Y44=1,"IMPROVED","REGRESSED"))</x:f>
        <x:v>UNCHANGED</x:v>
      </x:c>
      <x:c r="AC44" s="19" t="str">
        <x:f>IF(Z44=AA44,"UNCHANGED",IF(AA44=1,"IMPROVED","REGRESSED"))</x:f>
        <x:v>UNCHANGED</x:v>
      </x:c>
      <x:c r="AD44" s="19" t="str">
        <x:v>EVIDENCE_CHAIN_INCOMPLETE</x:v>
      </x:c>
      <x:c r="AE44" s="19" t="str">
        <x:v>LOW</x:v>
      </x:c>
      <x:c r="AF44" s="19" t="str">
        <x:v>20</x:v>
      </x:c>
      <x:c r="AG44" s="19" t="str">
        <x:v>nda-dykes group 2 63 16 1505 ±12, g Persson (1999) 1514 C 20 122 020 49 11 10 56 163 11 R1 1 1 1 1 0 1 6 ** this work, see +host Table 2 1514 ±5 Ragunda-dykes group 1* 63 16 C 12 63 003 (cid:0) 24 19 6 13 194 14.9 R0 1 1 1 1 1 1 5 ** this work Stro¨msbro rapakivi* 61 17 1500 ±19 g Andersson (1997b) 1500 N 1 5 017 (cid:0) 49 17 21 (cid:0) 01 182 18.4 R0 0 1 0 1 0 0 2 ** this work Stro¨msbro dykes* 61 17 g Andersson (1997b) 1500 N 4 35 013 –22 16 35 18 184 15.1 R0 0 0 0 1 0 1 2 ** this work Ro¨do¨ rapakivi* 62 18 1497 ±6 g Andersson et al. (2001) 1497 N 1 20 024 (cid:0) 35 6 36 06 175 4.8 R1 0 1 1 1 0 1 5 ** this work Ro¨do¨ dykes 62 18 Andersson et al. (2001) 1497 R 7 55 178 (cid:0) 27 11 34 42 201 8.4 R0 0 1 1 1 0 1 4 ** this work Noran 60 15 1469 ±10 g Claesson and Kresten 1469 N 4 31 015 00 19 24 28 179 10.9 R1 0 1 0 1 0 1 4 ** this work (1997) *R-polarity Mean 1500 62 17 R 5 27 351 (c</x:v>
      </x:c>
      <x:c r="AH44" s="19" t="str">
        <x:v>/Users/lihd/discovery/paleomagnetic-r3-workflow/dist/paleomagnetic-r357-calibrated-workflow-full/data/parsed_mds/4168.txt</x:v>
      </x:c>
      <x:c r="AI44" s="13" t="n">
        <x:f>--(O44=N44)</x:f>
        <x:v>1</x:v>
      </x:c>
    </x:row>
    <x:row r="45" ht="54" customHeight="1">
      <x:c r="A45" s="13" t="str">
        <x:v>4168</x:v>
      </x:c>
      <x:c r="B45" s="13" t="str">
        <x:v>10012</x:v>
      </x:c>
      <x:c r="C45" s="13" t="str">
        <x:v>8237</x:v>
      </x:c>
      <x:c r="D45" s="19" t="str">
        <x:v>Noran Rapakivi Complex</x:v>
      </x:c>
      <x:c r="E45" s="19" t="str"/>
      <x:c r="F45" s="19" t="str">
        <x:v>60.43</x:v>
      </x:c>
      <x:c r="G45" s="19" t="str">
        <x:v>15.16</x:v>
      </x:c>
      <x:c r="H45" s="19" t="str">
        <x:v>14.8</x:v>
      </x:c>
      <x:c r="I45" s="19" t="str">
        <x:v>-0.30000001</x:v>
      </x:c>
      <x:c r="J45" s="19" t="str">
        <x:v>28.299999</x:v>
      </x:c>
      <x:c r="K45" s="19" t="str">
        <x:v>178.7</x:v>
      </x:c>
      <x:c r="L45" s="19" t="str">
        <x:v>V</x:v>
      </x:c>
      <x:c r="M45" s="19" t="str">
        <x:v>SUSC-T,3-axis Jrs-T, IRM (MAGN,TM)</x:v>
      </x:c>
      <x:c r="N45" s="19" t="n">
        <x:v>1</x:v>
      </x:c>
      <x:c r="O45" s="19" t="n">
        <x:f>--(LEN(M45)&gt;0)</x:f>
        <x:v>1</x:v>
      </x:c>
      <x:c r="P45" s="19" t="str">
        <x:v>PRESENT</x:v>
      </x:c>
      <x:c r="Q45" s="19" t="str">
        <x:v>SUSC-T(MAGN,TM,PYRR)</x:v>
      </x:c>
      <x:c r="R45" s="19" t="n">
        <x:v>1</x:v>
      </x:c>
      <x:c r="S45" s="19" t="str">
        <x:v>PRESENT</x:v>
      </x:c>
      <x:c r="T45" s="19" t="str">
        <x:v>SUSC-T(MAGN,TM,PYRR)</x:v>
      </x:c>
      <x:c r="U45" s="19" t="n">
        <x:v>1</x:v>
      </x:c>
      <x:c r="V45" s="19" t="str">
        <x:v>PAPER_ROW_MATCH</x:v>
      </x:c>
      <x:c r="W45" s="19" t="str">
        <x:v>pole</x:v>
      </x:c>
      <x:c r="X45" s="19" t="n">
        <x:f>--(O45=--(LEN(Q45)&gt;0))</x:f>
        <x:v>1</x:v>
      </x:c>
      <x:c r="Y45" s="19" t="n">
        <x:f>--(O45=--(LEN(T45)&gt;0))</x:f>
        <x:v>1</x:v>
      </x:c>
      <x:c r="Z45" s="19" t="n">
        <x:f>--(N45=R45)</x:f>
        <x:v>1</x:v>
      </x:c>
      <x:c r="AA45" s="19" t="n">
        <x:f>--(N45=U45)</x:f>
        <x:v>1</x:v>
      </x:c>
      <x:c r="AB45" s="19" t="str">
        <x:f>IF(X45=Y45,"UNCHANGED",IF(Y45=1,"IMPROVED","REGRESSED"))</x:f>
        <x:v>UNCHANGED</x:v>
      </x:c>
      <x:c r="AC45" s="19" t="str">
        <x:f>IF(Z45=AA45,"UNCHANGED",IF(AA45=1,"IMPROVED","REGRESSED"))</x:f>
        <x:v>UNCHANGED</x:v>
      </x:c>
      <x:c r="AD45" s="19" t="str">
        <x:v>SEMANTIC_MATCH</x:v>
      </x:c>
      <x:c r="AE45" s="19" t="str">
        <x:v>HIGH</x:v>
      </x:c>
      <x:c r="AF45" s="19" t="str">
        <x:v>5, 6, 16, 20</x:v>
      </x:c>
      <x:c r="AG45" s="19" t="str">
        <x:v>Temperature dependence of low-field magnetic susceptibility | magnetite | titanomagnetite | pyrrhotite</x:v>
      </x:c>
      <x:c r="AH45" s="19" t="str">
        <x:v>/Users/lihd/discovery/paleomagnetic-r3-workflow/dist/paleomagnetic-r357-calibrated-workflow-full/data/parsed_mds/4168.txt</x:v>
      </x:c>
      <x:c r="AI45" s="13" t="n">
        <x:f>--(O45=N45)</x:f>
        <x:v>1</x:v>
      </x:c>
    </x:row>
    <x:row r="46" ht="54" customHeight="1">
      <x:c r="A46" s="13" t="str">
        <x:v>4181</x:v>
      </x:c>
      <x:c r="B46" s="13" t="str">
        <x:v>10029</x:v>
      </x:c>
      <x:c r="C46" s="13" t="str">
        <x:v>8254</x:v>
      </x:c>
      <x:c r="D46" s="19" t="str">
        <x:v>Bull Arm Formation, Bonavista</x:v>
      </x:c>
      <x:c r="E46" s="19" t="str"/>
      <x:c r="F46" s="19" t="str">
        <x:v>48.299999</x:v>
      </x:c>
      <x:c r="G46" s="19" t="str">
        <x:v>-53.549999</x:v>
      </x:c>
      <x:c r="H46" s="19" t="str">
        <x:v>209.3</x:v>
      </x:c>
      <x:c r="I46" s="19" t="str">
        <x:v>-37.900002</x:v>
      </x:c>
      <x:c r="J46" s="19" t="str">
        <x:v>15.5</x:v>
      </x:c>
      <x:c r="K46" s="19" t="str">
        <x:v>98.199997</x:v>
      </x:c>
      <x:c r="L46" s="19" t="str">
        <x:v>D</x:v>
      </x:c>
      <x:c r="M46" s="19" t="str">
        <x:v>SUSC-T,OP(MAGN,HEM)</x:v>
      </x:c>
      <x:c r="N46" s="19" t="n">
        <x:v>1</x:v>
      </x:c>
      <x:c r="O46" s="19" t="n">
        <x:f>--(LEN(M46)&gt;0)</x:f>
        <x:v>1</x:v>
      </x:c>
      <x:c r="P46" s="19" t="str">
        <x:v>ABSTAIN_INSUFFICIENT</x:v>
      </x:c>
      <x:c r="Q46" s="19" t="str"/>
      <x:c r="R46" s="19" t="n">
        <x:v>0</x:v>
      </x:c>
      <x:c r="S46" s="19" t="str">
        <x:v>ABSTAIN_INSUFFICIENT</x:v>
      </x:c>
      <x:c r="T46" s="19" t="str"/>
      <x:c r="U46" s="19" t="n">
        <x:v>0</x:v>
      </x:c>
      <x:c r="V46" s="19" t="str">
        <x:v>METADATA_UNIQUE</x:v>
      </x:c>
      <x:c r="W46" s="19" t="str"/>
      <x:c r="X46" s="19" t="n">
        <x:f>--(O46=--(LEN(Q46)&gt;0))</x:f>
        <x:v>0</x:v>
      </x:c>
      <x:c r="Y46" s="19" t="n">
        <x:f>--(O46=--(LEN(T46)&gt;0))</x:f>
        <x:v>0</x:v>
      </x:c>
      <x:c r="Z46" s="19" t="n">
        <x:f>--(N46=R46)</x:f>
        <x:v>0</x:v>
      </x:c>
      <x:c r="AA46" s="19" t="n">
        <x:f>--(N46=U46)</x:f>
        <x:v>0</x:v>
      </x:c>
      <x:c r="AB46" s="19" t="str">
        <x:f>IF(X46=Y46,"UNCHANGED",IF(Y46=1,"IMPROVED","REGRESSED"))</x:f>
        <x:v>UNCHANGED</x:v>
      </x:c>
      <x:c r="AC46" s="19" t="str">
        <x:f>IF(Z46=AA46,"UNCHANGED",IF(AA46=1,"IMPROVED","REGRESSED"))</x:f>
        <x:v>UNCHANGED</x:v>
      </x:c>
      <x:c r="AD46" s="19" t="str">
        <x:v>EVIDENCE_CHAIN_INCOMPLETE</x:v>
      </x:c>
      <x:c r="AE46" s="19" t="str">
        <x:v>LOW</x:v>
      </x:c>
      <x:c r="AF46" s="19" t="str"/>
      <x:c r="AG46" s="19" t="str"/>
      <x:c r="AH46" s="19" t="str">
        <x:v>/Users/lihd/discovery/paleomagnetic-r3-workflow/dist/paleomagnetic-r357-calibrated-workflow-full/data/parsed_mds/4181.txt</x:v>
      </x:c>
      <x:c r="AI46" s="13" t="n">
        <x:f>--(O46=N46)</x:f>
        <x:v>1</x:v>
      </x:c>
    </x:row>
    <x:row r="47" ht="54" customHeight="1">
      <x:c r="A47" s="13" t="str">
        <x:v>4181</x:v>
      </x:c>
      <x:c r="B47" s="13" t="str">
        <x:v>10030</x:v>
      </x:c>
      <x:c r="C47" s="13" t="str">
        <x:v>8255</x:v>
      </x:c>
      <x:c r="D47" s="19" t="str">
        <x:v>Crown Hill Formation</x:v>
      </x:c>
      <x:c r="E47" s="19" t="str"/>
      <x:c r="F47" s="19" t="str">
        <x:v>48.580002</x:v>
      </x:c>
      <x:c r="G47" s="19" t="str">
        <x:v>-53.400002</x:v>
      </x:c>
      <x:c r="H47" s="19" t="str">
        <x:v>320.20001</x:v>
      </x:c>
      <x:c r="I47" s="19" t="str">
        <x:v>37.700001</x:v>
      </x:c>
      <x:c r="J47" s="19" t="str">
        <x:v>48.099998</x:v>
      </x:c>
      <x:c r="K47" s="19" t="str">
        <x:v>189.89999</x:v>
      </x:c>
      <x:c r="L47" s="19" t="str">
        <x:v>D</x:v>
      </x:c>
      <x:c r="M47" s="19" t="str"/>
      <x:c r="N47" s="19" t="n">
        <x:v>0</x:v>
      </x:c>
      <x:c r="O47" s="19" t="n">
        <x:f>--(LEN(M47)&gt;0)</x:f>
        <x:v>0</x:v>
      </x:c>
      <x:c r="P47" s="19" t="str">
        <x:v>ABSTAIN_INSUFFICIENT</x:v>
      </x:c>
      <x:c r="Q47" s="19" t="str"/>
      <x:c r="R47" s="19" t="n">
        <x:v>0</x:v>
      </x:c>
      <x:c r="S47" s="19" t="str">
        <x:v>ABSTAIN_INSUFFICIENT</x:v>
      </x:c>
      <x:c r="T47" s="19" t="str"/>
      <x:c r="U47" s="19" t="n">
        <x:v>0</x:v>
      </x:c>
      <x:c r="V47" s="19" t="str">
        <x:v>METADATA_UNIQUE</x:v>
      </x:c>
      <x:c r="W47" s="19" t="str"/>
      <x:c r="X47" s="19" t="n">
        <x:f>--(O47=--(LEN(Q47)&gt;0))</x:f>
        <x:v>1</x:v>
      </x:c>
      <x:c r="Y47" s="19" t="n">
        <x:f>--(O47=--(LEN(T47)&gt;0))</x:f>
        <x:v>1</x:v>
      </x:c>
      <x:c r="Z47" s="19" t="n">
        <x:f>--(N47=R47)</x:f>
        <x:v>1</x:v>
      </x:c>
      <x:c r="AA47" s="19" t="n">
        <x:f>--(N47=U47)</x:f>
        <x:v>1</x:v>
      </x:c>
      <x:c r="AB47" s="19" t="str">
        <x:f>IF(X47=Y47,"UNCHANGED",IF(Y47=1,"IMPROVED","REGRESSED"))</x:f>
        <x:v>UNCHANGED</x:v>
      </x:c>
      <x:c r="AC47" s="19" t="str">
        <x:f>IF(Z47=AA47,"UNCHANGED",IF(AA47=1,"IMPROVED","REGRESSED"))</x:f>
        <x:v>UNCHANGED</x:v>
      </x:c>
      <x:c r="AD47" s="19" t="str">
        <x:v>TRUE_BLANK</x:v>
      </x:c>
      <x:c r="AE47" s="19" t="str">
        <x:v>LOW</x:v>
      </x:c>
      <x:c r="AF47" s="19" t="str"/>
      <x:c r="AG47" s="19" t="str"/>
      <x:c r="AH47" s="19" t="str">
        <x:v>/Users/lihd/discovery/paleomagnetic-r3-workflow/dist/paleomagnetic-r357-calibrated-workflow-full/data/parsed_mds/4181.txt</x:v>
      </x:c>
      <x:c r="AI47" s="13" t="n">
        <x:f>--(O47=N47)</x:f>
        <x:v>1</x:v>
      </x:c>
    </x:row>
    <x:row r="48" ht="54" customHeight="1">
      <x:c r="A48" s="13" t="str">
        <x:v>4298</x:v>
      </x:c>
      <x:c r="B48" s="13" t="str">
        <x:v>10189</x:v>
      </x:c>
      <x:c r="C48" s="13" t="str">
        <x:v>8409</x:v>
      </x:c>
      <x:c r="D48" s="19" t="str">
        <x:v>Gzhelian Sediments</x:v>
      </x:c>
      <x:c r="E48" s="19" t="str">
        <x:v>Component C3</x:v>
      </x:c>
      <x:c r="F48" s="19" t="str">
        <x:v>55.299999</x:v>
      </x:c>
      <x:c r="G48" s="19" t="str">
        <x:v>38.599998</x:v>
      </x:c>
      <x:c r="H48" s="19" t="str">
        <x:v>225</x:v>
      </x:c>
      <x:c r="I48" s="19" t="str">
        <x:v>-23</x:v>
      </x:c>
      <x:c r="J48" s="19" t="str">
        <x:v>34</x:v>
      </x:c>
      <x:c r="K48" s="19" t="str">
        <x:v>162</x:v>
      </x:c>
      <x:c r="L48" s="19" t="str">
        <x:v>D</x:v>
      </x:c>
      <x:c r="M48" s="19" t="str">
        <x:v>OP,SUSC-T(MAGN)</x:v>
      </x:c>
      <x:c r="N48" s="19" t="n">
        <x:v>1</x:v>
      </x:c>
      <x:c r="O48" s="19" t="n">
        <x:f>--(LEN(M48)&gt;0)</x:f>
        <x:v>1</x:v>
      </x:c>
      <x:c r="P48" s="19" t="str">
        <x:v>PRESENT</x:v>
      </x:c>
      <x:c r="Q48" s="19" t="str">
        <x:v>SUSC-T,OP(MAGN,HEM)</x:v>
      </x:c>
      <x:c r="R48" s="19" t="n">
        <x:v>1</x:v>
      </x:c>
      <x:c r="S48" s="19" t="str">
        <x:v>PRESENT</x:v>
      </x:c>
      <x:c r="T48" s="19" t="str">
        <x:v>SUSC-T,OP(MAGN,HEM)</x:v>
      </x:c>
      <x:c r="U48" s="19" t="n">
        <x:v>1</x:v>
      </x:c>
      <x:c r="V48" s="19" t="str">
        <x:v>PAPER_ROW_MATCH</x:v>
      </x:c>
      <x:c r="W48" s="19" t="str">
        <x:v>component, direction, pole</x:v>
      </x:c>
      <x:c r="X48" s="19" t="n">
        <x:f>--(O48=--(LEN(Q48)&gt;0))</x:f>
        <x:v>1</x:v>
      </x:c>
      <x:c r="Y48" s="19" t="n">
        <x:f>--(O48=--(LEN(T48)&gt;0))</x:f>
        <x:v>1</x:v>
      </x:c>
      <x:c r="Z48" s="19" t="n">
        <x:f>--(N48=R48)</x:f>
        <x:v>1</x:v>
      </x:c>
      <x:c r="AA48" s="19" t="n">
        <x:f>--(N48=U48)</x:f>
        <x:v>1</x:v>
      </x:c>
      <x:c r="AB48" s="19" t="str">
        <x:f>IF(X48=Y48,"UNCHANGED",IF(Y48=1,"IMPROVED","REGRESSED"))</x:f>
        <x:v>UNCHANGED</x:v>
      </x:c>
      <x:c r="AC48" s="19" t="str">
        <x:f>IF(Z48=AA48,"UNCHANGED",IF(AA48=1,"IMPROVED","REGRESSED"))</x:f>
        <x:v>UNCHANGED</x:v>
      </x:c>
      <x:c r="AD48" s="19" t="str">
        <x:v>SEMANTIC_MATCH</x:v>
      </x:c>
      <x:c r="AE48" s="19" t="str">
        <x:v>HIGH</x:v>
      </x:c>
      <x:c r="AF48" s="19" t="str">
        <x:v>4, 6, 9, 10, 11, 12</x:v>
      </x:c>
      <x:c r="AG48" s="19" t="str">
        <x:v>Magnetic susceptibility measurements (the Gzhelian stage of the Carboniferous) (Fig. 3a, were conducted by KLY-3 kappabridge (AGICO, Czech sample 6049), one magnetic phase with the Curie Republic) and the analysis of the temperature depen- point of 560–580°C probably corresponding to non- dence of the magnetic susceptibility on a MFK-1-FA stoichiometric magnetite is isolated. | thin section | thin section | Magnetic susceptibility measurements (the Gzhelian stage of the Carboniferous) (Fig. 3a, were conducted by KLY-3 kappabridge (AGICO, Czech sample 6049), one magnetic phase with the Curie Republic) and the analysis of the temperature depen- point of 560–580°C probably corresponding to non- dence of the magnetic susceptibility on a MFK-1-FA stoichiometric magnetite is isolated.</x:v>
      </x:c>
      <x:c r="AH48" s="19" t="str">
        <x:v>/Users/lihd/discovery/paleomagnetic-r3-workflow/dist/paleomagnetic-r357-calibrated-workflow-full/data/parsed_mds/4298.txt</x:v>
      </x:c>
      <x:c r="AI48" s="13" t="n">
        <x:f>--(O48=N48)</x:f>
        <x:v>1</x:v>
      </x:c>
    </x:row>
    <x:row r="49" ht="54" customHeight="1">
      <x:c r="A49" s="13" t="str">
        <x:v>4298</x:v>
      </x:c>
      <x:c r="B49" s="13" t="str">
        <x:v>10190</x:v>
      </x:c>
      <x:c r="C49" s="13" t="str">
        <x:v>8410</x:v>
      </x:c>
      <x:c r="D49" s="19" t="str">
        <x:v>Visean Sediments</x:v>
      </x:c>
      <x:c r="E49" s="19" t="str">
        <x:v>Component P</x:v>
      </x:c>
      <x:c r="F49" s="19" t="str">
        <x:v>58.299999</x:v>
      </x:c>
      <x:c r="G49" s="19" t="str">
        <x:v>34</x:v>
      </x:c>
      <x:c r="H49" s="19" t="str">
        <x:v>217</x:v>
      </x:c>
      <x:c r="I49" s="19" t="str">
        <x:v>-54</x:v>
      </x:c>
      <x:c r="J49" s="19" t="str">
        <x:v>56</x:v>
      </x:c>
      <x:c r="K49" s="19" t="str">
        <x:v>152</x:v>
      </x:c>
      <x:c r="L49" s="19" t="str">
        <x:v>D</x:v>
      </x:c>
      <x:c r="M49" s="19" t="str">
        <x:v>OP,SUSC-T(HEM)</x:v>
      </x:c>
      <x:c r="N49" s="19" t="n">
        <x:v>1</x:v>
      </x:c>
      <x:c r="O49" s="19" t="n">
        <x:f>--(LEN(M49)&gt;0)</x:f>
        <x:v>1</x:v>
      </x:c>
      <x:c r="P49" s="19" t="str">
        <x:v>ABSTAIN_IDENTITY</x:v>
      </x:c>
      <x:c r="Q49" s="19" t="str"/>
      <x:c r="R49" s="19" t="n">
        <x:v>0</x:v>
      </x:c>
      <x:c r="S49" s="19" t="str">
        <x:v>PRESENT</x:v>
      </x:c>
      <x:c r="T49" s="19" t="str">
        <x:v>OP(HEM,MAGN)</x:v>
      </x:c>
      <x:c r="U49" s="19" t="n">
        <x:v>1</x:v>
      </x:c>
      <x:c r="V49" s="19" t="str">
        <x:v>PAPER_ROW_MATCH</x:v>
      </x:c>
      <x:c r="W49" s="19" t="str">
        <x:v>component, direction, pole</x:v>
      </x:c>
      <x:c r="X49" s="19" t="n">
        <x:f>--(O49=--(LEN(Q49)&gt;0))</x:f>
        <x:v>0</x:v>
      </x:c>
      <x:c r="Y49" s="19" t="n">
        <x:f>--(O49=--(LEN(T49)&gt;0))</x:f>
        <x:v>1</x:v>
      </x:c>
      <x:c r="Z49" s="19" t="n">
        <x:f>--(N49=R49)</x:f>
        <x:v>0</x:v>
      </x:c>
      <x:c r="AA49" s="19" t="n">
        <x:f>--(N49=U49)</x:f>
        <x:v>1</x:v>
      </x:c>
      <x:c r="AB49" s="19" t="str">
        <x:f>IF(X49=Y49,"UNCHANGED",IF(Y49=1,"IMPROVED","REGRESSED"))</x:f>
        <x:v>IMPROVED</x:v>
      </x:c>
      <x:c r="AC49" s="19" t="str">
        <x:f>IF(Z49=AA49,"UNCHANGED",IF(AA49=1,"IMPROVED","REGRESSED"))</x:f>
        <x:v>IMPROVED</x:v>
      </x:c>
      <x:c r="AD49" s="19" t="str">
        <x:v>SEMANTIC_MATCH</x:v>
      </x:c>
      <x:c r="AE49" s="19" t="str">
        <x:v>HIGH</x:v>
      </x:c>
      <x:c r="AF49" s="19" t="str">
        <x:v>6, 5, 7, 9</x:v>
      </x:c>
      <x:c r="AG49" s="19" t="str">
        <x:v>thin section | time of formation of clay deposits and subsequently the studied limestones (Visean/Serpukhovian bound- The structural features of hematite are very diverse ary and the beginning of the Serpukhovian Age) is and depend on the conditions in which hematite is marked by a change of the predominantly shallow sea formed. | hematite | Hematite</x:v>
      </x:c>
      <x:c r="AH49" s="19" t="str">
        <x:v>/Users/lihd/discovery/paleomagnetic-r3-workflow/dist/paleomagnetic-r357-calibrated-workflow-full/data/parsed_mds/4298.txt</x:v>
      </x:c>
      <x:c r="AI49" s="13" t="n">
        <x:f>--(O49=N49)</x:f>
        <x:v>1</x:v>
      </x:c>
    </x:row>
    <x:row r="50" ht="54" customHeight="1">
      <x:c r="A50" s="13" t="str">
        <x:v>4298</x:v>
      </x:c>
      <x:c r="B50" s="13" t="str">
        <x:v>10191</x:v>
      </x:c>
      <x:c r="C50" s="13" t="str">
        <x:v>8410</x:v>
      </x:c>
      <x:c r="D50" s="19" t="str">
        <x:v>Visean Sediments</x:v>
      </x:c>
      <x:c r="E50" s="19" t="str">
        <x:v>Component C1</x:v>
      </x:c>
      <x:c r="F50" s="19" t="str">
        <x:v>58.299999</x:v>
      </x:c>
      <x:c r="G50" s="19" t="str">
        <x:v>34</x:v>
      </x:c>
      <x:c r="H50" s="19" t="str">
        <x:v>225</x:v>
      </x:c>
      <x:c r="I50" s="19" t="str">
        <x:v>-20</x:v>
      </x:c>
      <x:c r="J50" s="19" t="str">
        <x:v>31</x:v>
      </x:c>
      <x:c r="K50" s="19" t="str">
        <x:v>160</x:v>
      </x:c>
      <x:c r="L50" s="19" t="str">
        <x:v>D</x:v>
      </x:c>
      <x:c r="M50" s="19" t="str">
        <x:v>OP,SUSC-T(HEM)</x:v>
      </x:c>
      <x:c r="N50" s="19" t="n">
        <x:v>1</x:v>
      </x:c>
      <x:c r="O50" s="19" t="n">
        <x:f>--(LEN(M50)&gt;0)</x:f>
        <x:v>1</x:v>
      </x:c>
      <x:c r="P50" s="19" t="str">
        <x:v>ABSTAIN_IDENTITY</x:v>
      </x:c>
      <x:c r="Q50" s="19" t="str"/>
      <x:c r="R50" s="19" t="n">
        <x:v>0</x:v>
      </x:c>
      <x:c r="S50" s="19" t="str">
        <x:v>PRESENT</x:v>
      </x:c>
      <x:c r="T50" s="19" t="str">
        <x:v>OP(HEM,MAGN)</x:v>
      </x:c>
      <x:c r="U50" s="19" t="n">
        <x:v>1</x:v>
      </x:c>
      <x:c r="V50" s="19" t="str">
        <x:v>PAPER_ROW_MATCH</x:v>
      </x:c>
      <x:c r="W50" s="19" t="str">
        <x:v>component, direction, pole</x:v>
      </x:c>
      <x:c r="X50" s="19" t="n">
        <x:f>--(O50=--(LEN(Q50)&gt;0))</x:f>
        <x:v>0</x:v>
      </x:c>
      <x:c r="Y50" s="19" t="n">
        <x:f>--(O50=--(LEN(T50)&gt;0))</x:f>
        <x:v>1</x:v>
      </x:c>
      <x:c r="Z50" s="19" t="n">
        <x:f>--(N50=R50)</x:f>
        <x:v>0</x:v>
      </x:c>
      <x:c r="AA50" s="19" t="n">
        <x:f>--(N50=U50)</x:f>
        <x:v>1</x:v>
      </x:c>
      <x:c r="AB50" s="19" t="str">
        <x:f>IF(X50=Y50,"UNCHANGED",IF(Y50=1,"IMPROVED","REGRESSED"))</x:f>
        <x:v>IMPROVED</x:v>
      </x:c>
      <x:c r="AC50" s="19" t="str">
        <x:f>IF(Z50=AA50,"UNCHANGED",IF(AA50=1,"IMPROVED","REGRESSED"))</x:f>
        <x:v>IMPROVED</x:v>
      </x:c>
      <x:c r="AD50" s="19" t="str">
        <x:v>SEMANTIC_MATCH</x:v>
      </x:c>
      <x:c r="AE50" s="19" t="str">
        <x:v>HIGH</x:v>
      </x:c>
      <x:c r="AF50" s="19" t="str">
        <x:v>6, 5, 7, 9, 10</x:v>
      </x:c>
      <x:c r="AG50" s="19" t="str">
        <x:v>thin section | time of formation of clay deposits and subsequently the studied limestones (Visean/Serpukhovian bound- The structural features of hematite are very diverse ary and the beginning of the Serpukhovian Age) is and depend on the conditions in which hematite is marked by a change of the predominantly shallow sea formed. | hematite | Hematite</x:v>
      </x:c>
      <x:c r="AH50" s="19" t="str">
        <x:v>/Users/lihd/discovery/paleomagnetic-r3-workflow/dist/paleomagnetic-r357-calibrated-workflow-full/data/parsed_mds/4298.txt</x:v>
      </x:c>
      <x:c r="AI50" s="13" t="n">
        <x:f>--(O50=N50)</x:f>
        <x:v>1</x:v>
      </x:c>
    </x:row>
    <x:row r="51" ht="54" customHeight="1">
      <x:c r="A51" s="13" t="str">
        <x:v>4298</x:v>
      </x:c>
      <x:c r="B51" s="13" t="str">
        <x:v>10192</x:v>
      </x:c>
      <x:c r="C51" s="13" t="str">
        <x:v>8411</x:v>
      </x:c>
      <x:c r="D51" s="19" t="str">
        <x:v>Visean Sediments, Priksha River</x:v>
      </x:c>
      <x:c r="E51" s="19" t="str">
        <x:v>Component P</x:v>
      </x:c>
      <x:c r="F51" s="19" t="str">
        <x:v>58.299999</x:v>
      </x:c>
      <x:c r="G51" s="19" t="str">
        <x:v>33.599998</x:v>
      </x:c>
      <x:c r="H51" s="19" t="str">
        <x:v>39</x:v>
      </x:c>
      <x:c r="I51" s="19" t="str">
        <x:v>51</x:v>
      </x:c>
      <x:c r="J51" s="19" t="str">
        <x:v>53</x:v>
      </x:c>
      <x:c r="K51" s="19" t="str">
        <x:v>152</x:v>
      </x:c>
      <x:c r="L51" s="19" t="str">
        <x:v>D</x:v>
      </x:c>
      <x:c r="M51" s="19" t="str">
        <x:v>OP,SUSC-T(HEM)</x:v>
      </x:c>
      <x:c r="N51" s="19" t="n">
        <x:v>1</x:v>
      </x:c>
      <x:c r="O51" s="19" t="n">
        <x:f>--(LEN(M51)&gt;0)</x:f>
        <x:v>1</x:v>
      </x:c>
      <x:c r="P51" s="19" t="str">
        <x:v>ABSTAIN_IDENTITY</x:v>
      </x:c>
      <x:c r="Q51" s="19" t="str"/>
      <x:c r="R51" s="19" t="n">
        <x:v>0</x:v>
      </x:c>
      <x:c r="S51" s="19" t="str">
        <x:v>PRESENT</x:v>
      </x:c>
      <x:c r="T51" s="19" t="str">
        <x:v>SUSC-T,OP(MAGN,HEM)</x:v>
      </x:c>
      <x:c r="U51" s="19" t="n">
        <x:v>1</x:v>
      </x:c>
      <x:c r="V51" s="19" t="str">
        <x:v>PAPER_ROW_MATCH</x:v>
      </x:c>
      <x:c r="W51" s="19" t="str">
        <x:v>direction, pole</x:v>
      </x:c>
      <x:c r="X51" s="19" t="n">
        <x:f>--(O51=--(LEN(Q51)&gt;0))</x:f>
        <x:v>0</x:v>
      </x:c>
      <x:c r="Y51" s="19" t="n">
        <x:f>--(O51=--(LEN(T51)&gt;0))</x:f>
        <x:v>1</x:v>
      </x:c>
      <x:c r="Z51" s="19" t="n">
        <x:f>--(N51=R51)</x:f>
        <x:v>0</x:v>
      </x:c>
      <x:c r="AA51" s="19" t="n">
        <x:f>--(N51=U51)</x:f>
        <x:v>1</x:v>
      </x:c>
      <x:c r="AB51" s="19" t="str">
        <x:f>IF(X51=Y51,"UNCHANGED",IF(Y51=1,"IMPROVED","REGRESSED"))</x:f>
        <x:v>IMPROVED</x:v>
      </x:c>
      <x:c r="AC51" s="19" t="str">
        <x:f>IF(Z51=AA51,"UNCHANGED",IF(AA51=1,"IMPROVED","REGRESSED"))</x:f>
        <x:v>IMPROVED</x:v>
      </x:c>
      <x:c r="AD51" s="19" t="str">
        <x:v>SEMANTIC_MATCH</x:v>
      </x:c>
      <x:c r="AE51" s="19" t="str">
        <x:v>HIGH</x:v>
      </x:c>
      <x:c r="AF51" s="19" t="str">
        <x:v>6, 4, 5, 9, 11</x:v>
      </x:c>
      <x:c r="AG51" s="19" t="str">
        <x:v>thin section | temperature depen- point of 560–580°C probably corresponding to non- dence of the magnetic susceptibility | thin section | magnetite</x:v>
      </x:c>
      <x:c r="AH51" s="19" t="str">
        <x:v>/Users/lihd/discovery/paleomagnetic-r3-workflow/dist/paleomagnetic-r357-calibrated-workflow-full/data/parsed_mds/4298.txt</x:v>
      </x:c>
      <x:c r="AI51" s="13" t="n">
        <x:f>--(O51=N51)</x:f>
        <x:v>1</x:v>
      </x:c>
    </x:row>
    <x:row r="52" ht="54" customHeight="1">
      <x:c r="A52" s="13" t="str">
        <x:v>4298</x:v>
      </x:c>
      <x:c r="B52" s="13" t="str">
        <x:v>10193</x:v>
      </x:c>
      <x:c r="C52" s="13" t="str">
        <x:v>8411</x:v>
      </x:c>
      <x:c r="D52" s="19" t="str">
        <x:v>Visean Sediments, Priksha River</x:v>
      </x:c>
      <x:c r="E52" s="19" t="str">
        <x:v>Component P</x:v>
      </x:c>
      <x:c r="F52" s="19" t="str">
        <x:v>58.299999</x:v>
      </x:c>
      <x:c r="G52" s="19" t="str">
        <x:v>33.599998</x:v>
      </x:c>
      <x:c r="H52" s="19" t="str">
        <x:v>218</x:v>
      </x:c>
      <x:c r="I52" s="19" t="str">
        <x:v>-43</x:v>
      </x:c>
      <x:c r="J52" s="19" t="str">
        <x:v>47</x:v>
      </x:c>
      <x:c r="K52" s="19" t="str">
        <x:v>158</x:v>
      </x:c>
      <x:c r="L52" s="19" t="str">
        <x:v>D</x:v>
      </x:c>
      <x:c r="M52" s="19" t="str">
        <x:v>OP,SUSC-T(HEM)</x:v>
      </x:c>
      <x:c r="N52" s="19" t="n">
        <x:v>1</x:v>
      </x:c>
      <x:c r="O52" s="19" t="n">
        <x:f>--(LEN(M52)&gt;0)</x:f>
        <x:v>1</x:v>
      </x:c>
      <x:c r="P52" s="19" t="str">
        <x:v>ABSTAIN_IDENTITY</x:v>
      </x:c>
      <x:c r="Q52" s="19" t="str"/>
      <x:c r="R52" s="19" t="n">
        <x:v>0</x:v>
      </x:c>
      <x:c r="S52" s="19" t="str">
        <x:v>PRESENT</x:v>
      </x:c>
      <x:c r="T52" s="19" t="str">
        <x:v>SUSC-T,OP(MAGN,HEM)</x:v>
      </x:c>
      <x:c r="U52" s="19" t="n">
        <x:v>1</x:v>
      </x:c>
      <x:c r="V52" s="19" t="str">
        <x:v>PAPER_ROW_MATCH</x:v>
      </x:c>
      <x:c r="W52" s="19" t="str">
        <x:v>direction, pole</x:v>
      </x:c>
      <x:c r="X52" s="19" t="n">
        <x:f>--(O52=--(LEN(Q52)&gt;0))</x:f>
        <x:v>0</x:v>
      </x:c>
      <x:c r="Y52" s="19" t="n">
        <x:f>--(O52=--(LEN(T52)&gt;0))</x:f>
        <x:v>1</x:v>
      </x:c>
      <x:c r="Z52" s="19" t="n">
        <x:f>--(N52=R52)</x:f>
        <x:v>0</x:v>
      </x:c>
      <x:c r="AA52" s="19" t="n">
        <x:f>--(N52=U52)</x:f>
        <x:v>1</x:v>
      </x:c>
      <x:c r="AB52" s="19" t="str">
        <x:f>IF(X52=Y52,"UNCHANGED",IF(Y52=1,"IMPROVED","REGRESSED"))</x:f>
        <x:v>IMPROVED</x:v>
      </x:c>
      <x:c r="AC52" s="19" t="str">
        <x:f>IF(Z52=AA52,"UNCHANGED",IF(AA52=1,"IMPROVED","REGRESSED"))</x:f>
        <x:v>IMPROVED</x:v>
      </x:c>
      <x:c r="AD52" s="19" t="str">
        <x:v>SEMANTIC_MATCH</x:v>
      </x:c>
      <x:c r="AE52" s="19" t="str">
        <x:v>HIGH</x:v>
      </x:c>
      <x:c r="AF52" s="19" t="str">
        <x:v>6, 4, 5, 9, 11</x:v>
      </x:c>
      <x:c r="AG52" s="19" t="str">
        <x:v>thin section | temperature depen- point of 560–580°C probably corresponding to non- dence of the magnetic susceptibility | thin section | magnetite</x:v>
      </x:c>
      <x:c r="AH52" s="19" t="str">
        <x:v>/Users/lihd/discovery/paleomagnetic-r3-workflow/dist/paleomagnetic-r357-calibrated-workflow-full/data/parsed_mds/4298.txt</x:v>
      </x:c>
      <x:c r="AI52" s="13" t="n">
        <x:f>--(O52=N52)</x:f>
        <x:v>1</x:v>
      </x:c>
    </x:row>
    <x:row r="53" ht="54" customHeight="1">
      <x:c r="A53" s="13" t="str">
        <x:v>4298</x:v>
      </x:c>
      <x:c r="B53" s="13" t="str">
        <x:v>10194</x:v>
      </x:c>
      <x:c r="C53" s="13" t="str">
        <x:v>8411</x:v>
      </x:c>
      <x:c r="D53" s="19" t="str">
        <x:v>Visean Sediments, Priksha River</x:v>
      </x:c>
      <x:c r="E53" s="19" t="str">
        <x:v>Component C1</x:v>
      </x:c>
      <x:c r="F53" s="19" t="str">
        <x:v>58.299999</x:v>
      </x:c>
      <x:c r="G53" s="19" t="str">
        <x:v>33.599998</x:v>
      </x:c>
      <x:c r="H53" s="19" t="str">
        <x:v>222</x:v>
      </x:c>
      <x:c r="I53" s="19" t="str">
        <x:v>-15</x:v>
      </x:c>
      <x:c r="J53" s="19" t="str">
        <x:v>30</x:v>
      </x:c>
      <x:c r="K53" s="19" t="str">
        <x:v>164</x:v>
      </x:c>
      <x:c r="L53" s="19" t="str">
        <x:v>D</x:v>
      </x:c>
      <x:c r="M53" s="19" t="str">
        <x:v>OP,SUSC-T(HEM)</x:v>
      </x:c>
      <x:c r="N53" s="19" t="n">
        <x:v>1</x:v>
      </x:c>
      <x:c r="O53" s="19" t="n">
        <x:f>--(LEN(M53)&gt;0)</x:f>
        <x:v>1</x:v>
      </x:c>
      <x:c r="P53" s="19" t="str">
        <x:v>ABSTAIN_IDENTITY</x:v>
      </x:c>
      <x:c r="Q53" s="19" t="str"/>
      <x:c r="R53" s="19" t="n">
        <x:v>0</x:v>
      </x:c>
      <x:c r="S53" s="19" t="str">
        <x:v>PRESENT</x:v>
      </x:c>
      <x:c r="T53" s="19" t="str">
        <x:v>SUSC-T,OP(MAGN,HEM)</x:v>
      </x:c>
      <x:c r="U53" s="19" t="n">
        <x:v>1</x:v>
      </x:c>
      <x:c r="V53" s="19" t="str">
        <x:v>PAPER_ROW_MATCH</x:v>
      </x:c>
      <x:c r="W53" s="19" t="str">
        <x:v>direction, pole</x:v>
      </x:c>
      <x:c r="X53" s="19" t="n">
        <x:f>--(O53=--(LEN(Q53)&gt;0))</x:f>
        <x:v>0</x:v>
      </x:c>
      <x:c r="Y53" s="19" t="n">
        <x:f>--(O53=--(LEN(T53)&gt;0))</x:f>
        <x:v>1</x:v>
      </x:c>
      <x:c r="Z53" s="19" t="n">
        <x:f>--(N53=R53)</x:f>
        <x:v>0</x:v>
      </x:c>
      <x:c r="AA53" s="19" t="n">
        <x:f>--(N53=U53)</x:f>
        <x:v>1</x:v>
      </x:c>
      <x:c r="AB53" s="19" t="str">
        <x:f>IF(X53=Y53,"UNCHANGED",IF(Y53=1,"IMPROVED","REGRESSED"))</x:f>
        <x:v>IMPROVED</x:v>
      </x:c>
      <x:c r="AC53" s="19" t="str">
        <x:f>IF(Z53=AA53,"UNCHANGED",IF(AA53=1,"IMPROVED","REGRESSED"))</x:f>
        <x:v>IMPROVED</x:v>
      </x:c>
      <x:c r="AD53" s="19" t="str">
        <x:v>SEMANTIC_MATCH</x:v>
      </x:c>
      <x:c r="AE53" s="19" t="str">
        <x:v>HIGH</x:v>
      </x:c>
      <x:c r="AF53" s="19" t="str">
        <x:v>6, 4, 5, 2, 9, 11</x:v>
      </x:c>
      <x:c r="AG53" s="19" t="str">
        <x:v>thin section | temperature depen- point of 560–580°C probably corresponding to non- dence of the magnetic susceptibility | thin section | magnetite</x:v>
      </x:c>
      <x:c r="AH53" s="19" t="str">
        <x:v>/Users/lihd/discovery/paleomagnetic-r3-workflow/dist/paleomagnetic-r357-calibrated-workflow-full/data/parsed_mds/4298.txt</x:v>
      </x:c>
      <x:c r="AI53" s="13" t="n">
        <x:f>--(O53=N53)</x:f>
        <x:v>1</x:v>
      </x:c>
    </x:row>
    <x:row r="54" ht="54" customHeight="1">
      <x:c r="A54" s="13" t="str">
        <x:v>4324</x:v>
      </x:c>
      <x:c r="B54" s="13" t="str">
        <x:v>10236</x:v>
      </x:c>
      <x:c r="C54" s="13" t="str">
        <x:v>8453</x:v>
      </x:c>
      <x:c r="D54" s="19" t="str">
        <x:v>Kiuruvesi Gabbrodiorite</x:v>
      </x:c>
      <x:c r="E54" s="19" t="str"/>
      <x:c r="F54" s="19" t="str">
        <x:v>63.549999</x:v>
      </x:c>
      <x:c r="G54" s="19" t="str">
        <x:v>26.58</x:v>
      </x:c>
      <x:c r="H54" s="19" t="str">
        <x:v>342.29999</x:v>
      </x:c>
      <x:c r="I54" s="19" t="str">
        <x:v>33.299999</x:v>
      </x:c>
      <x:c r="J54" s="19" t="str">
        <x:v>43</x:v>
      </x:c>
      <x:c r="K54" s="19" t="str">
        <x:v>229.89999</x:v>
      </x:c>
      <x:c r="L54" s="19" t="str">
        <x:v>V</x:v>
      </x:c>
      <x:c r="M54" s="19" t="str">
        <x:v>SUSC-T,3-axis Jrs-T(MAGN)</x:v>
      </x:c>
      <x:c r="N54" s="19" t="n">
        <x:v>1</x:v>
      </x:c>
      <x:c r="O54" s="19" t="n">
        <x:f>--(LEN(M54)&gt;0)</x:f>
        <x:v>1</x:v>
      </x:c>
      <x:c r="P54" s="19" t="str">
        <x:v>PRESENT</x:v>
      </x:c>
      <x:c r="Q54" s="19" t="str">
        <x:v>IRM,3-axis Jrs-T,HYST(MAGN,MAGH,TM)</x:v>
      </x:c>
      <x:c r="R54" s="19" t="n">
        <x:v>1</x:v>
      </x:c>
      <x:c r="S54" s="19" t="str">
        <x:v>PRESENT</x:v>
      </x:c>
      <x:c r="T54" s="19" t="str">
        <x:v>IRM,3-axis Jrs-T,HYST(MAGN,MAGH,TM)</x:v>
      </x:c>
      <x:c r="U54" s="19" t="n">
        <x:v>1</x:v>
      </x:c>
      <x:c r="V54" s="19" t="str">
        <x:v>METADATA_UNIQUE</x:v>
      </x:c>
      <x:c r="W54" s="19" t="str"/>
      <x:c r="X54" s="19" t="n">
        <x:f>--(O54=--(LEN(Q54)&gt;0))</x:f>
        <x:v>1</x:v>
      </x:c>
      <x:c r="Y54" s="19" t="n">
        <x:f>--(O54=--(LEN(T54)&gt;0))</x:f>
        <x:v>1</x:v>
      </x:c>
      <x:c r="Z54" s="19" t="n">
        <x:f>--(N54=R54)</x:f>
        <x:v>1</x:v>
      </x:c>
      <x:c r="AA54" s="19" t="n">
        <x:f>--(N54=U54)</x:f>
        <x:v>1</x:v>
      </x:c>
      <x:c r="AB54" s="19" t="str">
        <x:f>IF(X54=Y54,"UNCHANGED",IF(Y54=1,"IMPROVED","REGRESSED"))</x:f>
        <x:v>UNCHANGED</x:v>
      </x:c>
      <x:c r="AC54" s="19" t="str">
        <x:f>IF(Z54=AA54,"UNCHANGED",IF(AA54=1,"IMPROVED","REGRESSED"))</x:f>
        <x:v>UNCHANGED</x:v>
      </x:c>
      <x:c r="AD54" s="19" t="str">
        <x:v>SEMANTIC_MATCH</x:v>
      </x:c>
      <x:c r="AE54" s="19" t="str">
        <x:v>MEDIUM</x:v>
      </x:c>
      <x:c r="AF54" s="19" t="str">
        <x:v>4, 6, 5</x:v>
      </x:c>
      <x:c r="AG54" s="19" t="str">
        <x:v>IRM was imparted in Kiuruvesi gabbrodiorite, although the susceptibility decrease at ca . | The Lowrie–Fuller test demonstrated significantly x -direction. | hysteresis | Hysteresis</x:v>
      </x:c>
      <x:c r="AH54" s="19" t="str">
        <x:v>/Users/lihd/discovery/paleomagnetic-r3-workflow/dist/paleomagnetic-r357-calibrated-workflow-full/data/parsed_mds/4324.txt</x:v>
      </x:c>
      <x:c r="AI54" s="13" t="n">
        <x:f>--(O54=N54)</x:f>
        <x:v>1</x:v>
      </x:c>
    </x:row>
    <x:row r="55" ht="54" customHeight="1">
      <x:c r="A55" s="13" t="str">
        <x:v>4324</x:v>
      </x:c>
      <x:c r="B55" s="13" t="str">
        <x:v>10237</x:v>
      </x:c>
      <x:c r="C55" s="13" t="str">
        <x:v>8454</x:v>
      </x:c>
      <x:c r="D55" s="19" t="str">
        <x:v>Ylivieska Gabbro</x:v>
      </x:c>
      <x:c r="E55" s="19" t="str"/>
      <x:c r="F55" s="19" t="str">
        <x:v>64.040001</x:v>
      </x:c>
      <x:c r="G55" s="19" t="str">
        <x:v>24.379999</x:v>
      </x:c>
      <x:c r="H55" s="19" t="str">
        <x:v>330.60001</x:v>
      </x:c>
      <x:c r="I55" s="19" t="str">
        <x:v>43.700001</x:v>
      </x:c>
      <x:c r="J55" s="19" t="str">
        <x:v>47.700001</x:v>
      </x:c>
      <x:c r="K55" s="19" t="str">
        <x:v>245.7</x:v>
      </x:c>
      <x:c r="L55" s="19" t="str">
        <x:v>V</x:v>
      </x:c>
      <x:c r="M55" s="19" t="str">
        <x:v>SUSC-T,3-axis Jrs-T(SD MAGN)</x:v>
      </x:c>
      <x:c r="N55" s="19" t="n">
        <x:v>1</x:v>
      </x:c>
      <x:c r="O55" s="19" t="n">
        <x:f>--(LEN(M55)&gt;0)</x:f>
        <x:v>1</x:v>
      </x:c>
      <x:c r="P55" s="19" t="str">
        <x:v>PRESENT</x:v>
      </x:c>
      <x:c r="Q55" s="19" t="str">
        <x:v>IRM,3-axis Jrs-T,HYST(SD/MD MAGN)</x:v>
      </x:c>
      <x:c r="R55" s="19" t="n">
        <x:v>1</x:v>
      </x:c>
      <x:c r="S55" s="19" t="str">
        <x:v>PRESENT</x:v>
      </x:c>
      <x:c r="T55" s="19" t="str">
        <x:v>IRM,3-axis Jrs-T,HYST(SD/MD MAGN)</x:v>
      </x:c>
      <x:c r="U55" s="19" t="n">
        <x:v>1</x:v>
      </x:c>
      <x:c r="V55" s="19" t="str">
        <x:v>METADATA_UNIQUE</x:v>
      </x:c>
      <x:c r="W55" s="19" t="str"/>
      <x:c r="X55" s="19" t="n">
        <x:f>--(O55=--(LEN(Q55)&gt;0))</x:f>
        <x:v>1</x:v>
      </x:c>
      <x:c r="Y55" s="19" t="n">
        <x:f>--(O55=--(LEN(T55)&gt;0))</x:f>
        <x:v>1</x:v>
      </x:c>
      <x:c r="Z55" s="19" t="n">
        <x:f>--(N55=R55)</x:f>
        <x:v>1</x:v>
      </x:c>
      <x:c r="AA55" s="19" t="n">
        <x:f>--(N55=U55)</x:f>
        <x:v>1</x:v>
      </x:c>
      <x:c r="AB55" s="19" t="str">
        <x:f>IF(X55=Y55,"UNCHANGED",IF(Y55=1,"IMPROVED","REGRESSED"))</x:f>
        <x:v>UNCHANGED</x:v>
      </x:c>
      <x:c r="AC55" s="19" t="str">
        <x:f>IF(Z55=AA55,"UNCHANGED",IF(AA55=1,"IMPROVED","REGRESSED"))</x:f>
        <x:v>UNCHANGED</x:v>
      </x:c>
      <x:c r="AD55" s="19" t="str">
        <x:v>SEMANTIC_MATCH</x:v>
      </x:c>
      <x:c r="AE55" s="19" t="str">
        <x:v>MEDIUM</x:v>
      </x:c>
      <x:c r="AF55" s="19" t="str">
        <x:v>11, 4, 5</x:v>
      </x:c>
      <x:c r="AG55" s="19" t="str">
        <x:v>Fur ther more, the Lowrie test demonstrates that magnetite is palaeomagnetic poles of several cratons display large back-and- present in three coercivity fractions (Fig. 4 ). | Fur ther more, the Lowrie test demonstrates that magnetite is palaeomagnetic poles of several cratons display large back-and- present in three coercivity fractions (Fig. 4 ). | hysteresis | IRM</x:v>
      </x:c>
      <x:c r="AH55" s="19" t="str">
        <x:v>/Users/lihd/discovery/paleomagnetic-r3-workflow/dist/paleomagnetic-r357-calibrated-workflow-full/data/parsed_mds/4324.txt</x:v>
      </x:c>
      <x:c r="AI55" s="13" t="n">
        <x:f>--(O55=N55)</x:f>
        <x:v>1</x:v>
      </x:c>
    </x:row>
    <x:row r="56" ht="54" customHeight="1">
      <x:c r="A56" s="13" t="str">
        <x:v>4324</x:v>
      </x:c>
      <x:c r="B56" s="13" t="str">
        <x:v>10238</x:v>
      </x:c>
      <x:c r="C56" s="13" t="str">
        <x:v>8455</x:v>
      </x:c>
      <x:c r="D56" s="19" t="str">
        <x:v>Mertuanoja Gabbro</x:v>
      </x:c>
      <x:c r="E56" s="19" t="str"/>
      <x:c r="F56" s="19" t="str">
        <x:v>64.110001</x:v>
      </x:c>
      <x:c r="G56" s="19" t="str">
        <x:v>24.57</x:v>
      </x:c>
      <x:c r="H56" s="19" t="str">
        <x:v>338.89999</x:v>
      </x:c>
      <x:c r="I56" s="19" t="str">
        <x:v>43.599998</x:v>
      </x:c>
      <x:c r="J56" s="19" t="str">
        <x:v>49.099998</x:v>
      </x:c>
      <x:c r="K56" s="19" t="str">
        <x:v>234.7</x:v>
      </x:c>
      <x:c r="L56" s="19" t="str">
        <x:v>V</x:v>
      </x:c>
      <x:c r="M56" s="19" t="str">
        <x:v>SUSC-T,3-axis Jrs-T(SD MAGN)</x:v>
      </x:c>
      <x:c r="N56" s="19" t="n">
        <x:v>1</x:v>
      </x:c>
      <x:c r="O56" s="19" t="n">
        <x:f>--(LEN(M56)&gt;0)</x:f>
        <x:v>1</x:v>
      </x:c>
      <x:c r="P56" s="19" t="str">
        <x:v>PRESENT</x:v>
      </x:c>
      <x:c r="Q56" s="19" t="str">
        <x:v>IRM,HYST(MAGN,MAGH,TM)</x:v>
      </x:c>
      <x:c r="R56" s="19" t="n">
        <x:v>1</x:v>
      </x:c>
      <x:c r="S56" s="19" t="str">
        <x:v>PRESENT</x:v>
      </x:c>
      <x:c r="T56" s="19" t="str">
        <x:v>IRM,HYST(MAGN,MAGH,TM)</x:v>
      </x:c>
      <x:c r="U56" s="19" t="n">
        <x:v>1</x:v>
      </x:c>
      <x:c r="V56" s="19" t="str">
        <x:v>PAPER_ROW_MATCH</x:v>
      </x:c>
      <x:c r="W56" s="19" t="str">
        <x:v>direction</x:v>
      </x:c>
      <x:c r="X56" s="19" t="n">
        <x:f>--(O56=--(LEN(Q56)&gt;0))</x:f>
        <x:v>1</x:v>
      </x:c>
      <x:c r="Y56" s="19" t="n">
        <x:f>--(O56=--(LEN(T56)&gt;0))</x:f>
        <x:v>1</x:v>
      </x:c>
      <x:c r="Z56" s="19" t="n">
        <x:f>--(N56=R56)</x:f>
        <x:v>1</x:v>
      </x:c>
      <x:c r="AA56" s="19" t="n">
        <x:f>--(N56=U56)</x:f>
        <x:v>1</x:v>
      </x:c>
      <x:c r="AB56" s="19" t="str">
        <x:f>IF(X56=Y56,"UNCHANGED",IF(Y56=1,"IMPROVED","REGRESSED"))</x:f>
        <x:v>UNCHANGED</x:v>
      </x:c>
      <x:c r="AC56" s="19" t="str">
        <x:f>IF(Z56=AA56,"UNCHANGED",IF(AA56=1,"IMPROVED","REGRESSED"))</x:f>
        <x:v>UNCHANGED</x:v>
      </x:c>
      <x:c r="AD56" s="19" t="str">
        <x:v>CODE_MISMATCH</x:v>
      </x:c>
      <x:c r="AE56" s="19" t="str">
        <x:v>HIGH</x:v>
      </x:c>
      <x:c r="AF56" s="19" t="str">
        <x:v>4, 5, 6</x:v>
      </x:c>
      <x:c r="AG56" s="19" t="str">
        <x:v>IRM | hysteresis | Hysteresis | MD magnetite grains</x:v>
      </x:c>
      <x:c r="AH56" s="19" t="str">
        <x:v>/Users/lihd/discovery/paleomagnetic-r3-workflow/dist/paleomagnetic-r357-calibrated-workflow-full/data/parsed_mds/4324.txt</x:v>
      </x:c>
      <x:c r="AI56" s="13" t="n">
        <x:f>--(O56=N56)</x:f>
        <x:v>1</x:v>
      </x:c>
    </x:row>
    <x:row r="57" ht="54" customHeight="1">
      <x:c r="A57" s="13" t="str">
        <x:v>4324</x:v>
      </x:c>
      <x:c r="B57" s="13" t="str">
        <x:v>10239</x:v>
      </x:c>
      <x:c r="C57" s="13" t="str">
        <x:v>8456</x:v>
      </x:c>
      <x:c r="D57" s="19" t="str">
        <x:v>Svecofennian Gabbros Combined</x:v>
      </x:c>
      <x:c r="E57" s="19" t="str">
        <x:v>Combined result</x:v>
      </x:c>
      <x:c r="F57" s="19" t="str">
        <x:v>64</x:v>
      </x:c>
      <x:c r="G57" s="19" t="str">
        <x:v>25</x:v>
      </x:c>
      <x:c r="H57" s="19" t="str"/>
      <x:c r="I57" s="19" t="str"/>
      <x:c r="J57" s="19" t="str">
        <x:v>47</x:v>
      </x:c>
      <x:c r="K57" s="19" t="str">
        <x:v>238</x:v>
      </x:c>
      <x:c r="L57" s="19" t="str">
        <x:v>V</x:v>
      </x:c>
      <x:c r="M57" s="19" t="str">
        <x:v>SUSC-T,3-axis Jrs-T(SD MAGN)</x:v>
      </x:c>
      <x:c r="N57" s="19" t="n">
        <x:v>1</x:v>
      </x:c>
      <x:c r="O57" s="19" t="n">
        <x:f>--(LEN(M57)&gt;0)</x:f>
        <x:v>1</x:v>
      </x:c>
      <x:c r="P57" s="19" t="str">
        <x:v>ABSTAIN_INSUFFICIENT</x:v>
      </x:c>
      <x:c r="Q57" s="19" t="str"/>
      <x:c r="R57" s="19" t="n">
        <x:v>0</x:v>
      </x:c>
      <x:c r="S57" s="19" t="str">
        <x:v>ABSTAIN_INSUFFICIENT</x:v>
      </x:c>
      <x:c r="T57" s="19" t="str"/>
      <x:c r="U57" s="19" t="n">
        <x:v>0</x:v>
      </x:c>
      <x:c r="V57" s="19" t="str">
        <x:v>METADATA_UNIQUE</x:v>
      </x:c>
      <x:c r="W57" s="19" t="str"/>
      <x:c r="X57" s="19" t="n">
        <x:f>--(O57=--(LEN(Q57)&gt;0))</x:f>
        <x:v>0</x:v>
      </x:c>
      <x:c r="Y57" s="19" t="n">
        <x:f>--(O57=--(LEN(T57)&gt;0))</x:f>
        <x:v>0</x:v>
      </x:c>
      <x:c r="Z57" s="19" t="n">
        <x:f>--(N57=R57)</x:f>
        <x:v>0</x:v>
      </x:c>
      <x:c r="AA57" s="19" t="n">
        <x:f>--(N57=U57)</x:f>
        <x:v>0</x:v>
      </x:c>
      <x:c r="AB57" s="19" t="str">
        <x:f>IF(X57=Y57,"UNCHANGED",IF(Y57=1,"IMPROVED","REGRESSED"))</x:f>
        <x:v>UNCHANGED</x:v>
      </x:c>
      <x:c r="AC57" s="19" t="str">
        <x:f>IF(Z57=AA57,"UNCHANGED",IF(AA57=1,"IMPROVED","REGRESSED"))</x:f>
        <x:v>UNCHANGED</x:v>
      </x:c>
      <x:c r="AD57" s="19" t="str">
        <x:v>EVIDENCE_CHAIN_INCOMPLETE</x:v>
      </x:c>
      <x:c r="AE57" s="19" t="str">
        <x:v>LOW</x:v>
      </x:c>
      <x:c r="AF57" s="19" t="str"/>
      <x:c r="AG57" s="19" t="str"/>
      <x:c r="AH57" s="19" t="str">
        <x:v>/Users/lihd/discovery/paleomagnetic-r3-workflow/dist/paleomagnetic-r357-calibrated-workflow-full/data/parsed_mds/4324.txt</x:v>
      </x:c>
      <x:c r="AI57" s="13" t="n">
        <x:f>--(O57=N57)</x:f>
        <x:v>1</x:v>
      </x:c>
    </x:row>
    <x:row r="58" ht="54" customHeight="1">
      <x:c r="A58" s="13" t="str">
        <x:v>4324</x:v>
      </x:c>
      <x:c r="B58" s="13" t="str">
        <x:v>10240</x:v>
      </x:c>
      <x:c r="C58" s="13" t="str">
        <x:v>8457</x:v>
      </x:c>
      <x:c r="D58" s="19" t="str">
        <x:v>Jalokoski Gabbro</x:v>
      </x:c>
      <x:c r="E58" s="19" t="str"/>
      <x:c r="F58" s="19" t="str">
        <x:v>67.480003</x:v>
      </x:c>
      <x:c r="G58" s="19" t="str">
        <x:v>23.41</x:v>
      </x:c>
      <x:c r="H58" s="19" t="str">
        <x:v>335.5</x:v>
      </x:c>
      <x:c r="I58" s="19" t="str">
        <x:v>41.400002</x:v>
      </x:c>
      <x:c r="J58" s="19" t="str">
        <x:v>44</x:v>
      </x:c>
      <x:c r="K58" s="19" t="str">
        <x:v>235.5</x:v>
      </x:c>
      <x:c r="L58" s="19" t="str">
        <x:v>V</x:v>
      </x:c>
      <x:c r="M58" s="19" t="str"/>
      <x:c r="N58" s="19" t="n">
        <x:v>1</x:v>
      </x:c>
      <x:c r="O58" s="19" t="n">
        <x:f>--(LEN(M58)&gt;0)</x:f>
        <x:v>0</x:v>
      </x:c>
      <x:c r="P58" s="19" t="str">
        <x:v>PRESENT</x:v>
      </x:c>
      <x:c r="Q58" s="19" t="str">
        <x:v>HYST(MAGN,MAGH,TM)</x:v>
      </x:c>
      <x:c r="R58" s="19" t="n">
        <x:v>1</x:v>
      </x:c>
      <x:c r="S58" s="19" t="str">
        <x:v>PRESENT</x:v>
      </x:c>
      <x:c r="T58" s="19" t="str">
        <x:v>HYST(MAGN,MAGH,TM)</x:v>
      </x:c>
      <x:c r="U58" s="19" t="n">
        <x:v>1</x:v>
      </x:c>
      <x:c r="V58" s="19" t="str">
        <x:v>METADATA_UNIQUE</x:v>
      </x:c>
      <x:c r="W58" s="19" t="str"/>
      <x:c r="X58" s="19" t="n">
        <x:f>--(O58=--(LEN(Q58)&gt;0))</x:f>
        <x:v>0</x:v>
      </x:c>
      <x:c r="Y58" s="19" t="n">
        <x:f>--(O58=--(LEN(T58)&gt;0))</x:f>
        <x:v>0</x:v>
      </x:c>
      <x:c r="Z58" s="19" t="n">
        <x:f>--(N58=R58)</x:f>
        <x:v>1</x:v>
      </x:c>
      <x:c r="AA58" s="19" t="n">
        <x:f>--(N58=U58)</x:f>
        <x:v>1</x:v>
      </x:c>
      <x:c r="AB58" s="19" t="str">
        <x:f>IF(X58=Y58,"UNCHANGED",IF(Y58=1,"IMPROVED","REGRESSED"))</x:f>
        <x:v>UNCHANGED</x:v>
      </x:c>
      <x:c r="AC58" s="19" t="str">
        <x:f>IF(Z58=AA58,"UNCHANGED",IF(AA58=1,"IMPROVED","REGRESSED"))</x:f>
        <x:v>UNCHANGED</x:v>
      </x:c>
      <x:c r="AD58" s="19" t="str">
        <x:v>PREDICTED_FIELD_OR_GOLD_OMISSION</x:v>
      </x:c>
      <x:c r="AE58" s="19" t="str">
        <x:v>MEDIUM</x:v>
      </x:c>
      <x:c r="AF58" s="19" t="str">
        <x:v>5, 4</x:v>
      </x:c>
      <x:c r="AG58" s="19" t="str">
        <x:v>hysteresis | hysteresis | Hysteresis | MD magnetite grains</x:v>
      </x:c>
      <x:c r="AH58" s="19" t="str">
        <x:v>/Users/lihd/discovery/paleomagnetic-r3-workflow/dist/paleomagnetic-r357-calibrated-workflow-full/data/parsed_mds/4324.txt</x:v>
      </x:c>
      <x:c r="AI58" s="13" t="n">
        <x:f>--(O58=N58)</x:f>
        <x:v>0</x:v>
      </x:c>
    </x:row>
    <x:row r="59" ht="54" customHeight="1">
      <x:c r="A59" s="13" t="str">
        <x:v>4324</x:v>
      </x:c>
      <x:c r="B59" s="13" t="str">
        <x:v>10241</x:v>
      </x:c>
      <x:c r="C59" s="13" t="str">
        <x:v>8458</x:v>
      </x:c>
      <x:c r="D59" s="19" t="str">
        <x:v>Nilsiä Lamprophyre Dyke</x:v>
      </x:c>
      <x:c r="E59" s="19" t="str"/>
      <x:c r="F59" s="19" t="str">
        <x:v>63.18</x:v>
      </x:c>
      <x:c r="G59" s="19" t="str">
        <x:v>28.309999</x:v>
      </x:c>
      <x:c r="H59" s="19" t="str">
        <x:v>343.10001</x:v>
      </x:c>
      <x:c r="I59" s="19" t="str">
        <x:v>41.099998</x:v>
      </x:c>
      <x:c r="J59" s="19" t="str">
        <x:v>48.799999</x:v>
      </x:c>
      <x:c r="K59" s="19" t="str">
        <x:v>232.10001</x:v>
      </x:c>
      <x:c r="L59" s="19" t="str">
        <x:v>V</x:v>
      </x:c>
      <x:c r="M59" s="19" t="str"/>
      <x:c r="N59" s="19" t="n">
        <x:v>0</x:v>
      </x:c>
      <x:c r="O59" s="19" t="n">
        <x:f>--(LEN(M59)&gt;0)</x:f>
        <x:v>0</x:v>
      </x:c>
      <x:c r="P59" s="19" t="str">
        <x:v>ABSTAIN_ANCHOR</x:v>
      </x:c>
      <x:c r="Q59" s="19" t="str"/>
      <x:c r="R59" s="19" t="n">
        <x:v>0</x:v>
      </x:c>
      <x:c r="S59" s="19" t="str">
        <x:v>ABSTAIN_INSUFFICIENT</x:v>
      </x:c>
      <x:c r="T59" s="19" t="str"/>
      <x:c r="U59" s="19" t="n">
        <x:v>0</x:v>
      </x:c>
      <x:c r="V59" s="19" t="str">
        <x:v>PAPER_ROW_MATCH</x:v>
      </x:c>
      <x:c r="W59" s="19" t="str">
        <x:v>direction</x:v>
      </x:c>
      <x:c r="X59" s="19" t="n">
        <x:f>--(O59=--(LEN(Q59)&gt;0))</x:f>
        <x:v>1</x:v>
      </x:c>
      <x:c r="Y59" s="19" t="n">
        <x:f>--(O59=--(LEN(T59)&gt;0))</x:f>
        <x:v>1</x:v>
      </x:c>
      <x:c r="Z59" s="19" t="n">
        <x:f>--(N59=R59)</x:f>
        <x:v>1</x:v>
      </x:c>
      <x:c r="AA59" s="19" t="n">
        <x:f>--(N59=U59)</x:f>
        <x:v>1</x:v>
      </x:c>
      <x:c r="AB59" s="19" t="str">
        <x:f>IF(X59=Y59,"UNCHANGED",IF(Y59=1,"IMPROVED","REGRESSED"))</x:f>
        <x:v>UNCHANGED</x:v>
      </x:c>
      <x:c r="AC59" s="19" t="str">
        <x:f>IF(Z59=AA59,"UNCHANGED",IF(AA59=1,"IMPROVED","REGRESSED"))</x:f>
        <x:v>UNCHANGED</x:v>
      </x:c>
      <x:c r="AD59" s="19" t="str">
        <x:v>TRUE_BLANK</x:v>
      </x:c>
      <x:c r="AE59" s="19" t="str">
        <x:v>LOW</x:v>
      </x:c>
      <x:c r="AF59" s="19" t="str">
        <x:v>5</x:v>
      </x:c>
      <x:c r="AG59" s="19" t="str">
        <x:v>ad- downward inclination ( D = 339 ◦, I = 44 ◦ with α95 = 5 ◦ and dition, their behaviour during AF demagnetization was typical for k = 106), similar to Ylivieska and Kiuruvesi gabbros (Figs 5 (titano)magnetite (Fig. 5 ). These curves indicate that the magnetic and 6 , Table 1 ). The remanent magnetization of the samples carrier is probably titanomagnetite with a low to medium Ti con- from the Mertuanoja gabbro behaved similarly to the samples tent. The dated 1790 ±3 Ma (Woodard et al. 2014 ) lamprophyre from the Ylivieska gabbro during thermal and alternating field dyke in Nilsi a¨ displayed a ChRM direction with a NNW declination demagnetization. and intermediate downward inclination ( D = 343 ◦, I = 41 ◦, α95 = Downloaded from https://academic.oup.com/gji/article/235/2/1810/7208013 by Curtin University Library user on 15 January 2024</x:v>
      </x:c>
      <x:c r="AH59" s="19" t="str">
        <x:v>/Users/lihd/discovery/paleomagnetic-r3-workflow/dist/paleomagnetic-r357-calibrated-workflow-full/data/parsed_mds/4324.txt</x:v>
      </x:c>
      <x:c r="AI59" s="13" t="n">
        <x:f>--(O59=N59)</x:f>
        <x:v>1</x:v>
      </x:c>
    </x:row>
    <x:row r="60" ht="54" customHeight="1">
      <x:c r="A60" s="13" t="str">
        <x:v>4324</x:v>
      </x:c>
      <x:c r="B60" s="13" t="str">
        <x:v>10242</x:v>
      </x:c>
      <x:c r="C60" s="13" t="str">
        <x:v>8459</x:v>
      </x:c>
      <x:c r="D60" s="19" t="str">
        <x:v>Nilsiä Microtonalite Dykes</x:v>
      </x:c>
      <x:c r="E60" s="19" t="str"/>
      <x:c r="F60" s="19" t="str">
        <x:v>63.139999</x:v>
      </x:c>
      <x:c r="G60" s="19" t="str">
        <x:v>28.23</x:v>
      </x:c>
      <x:c r="H60" s="19" t="str">
        <x:v>345.10001</x:v>
      </x:c>
      <x:c r="I60" s="19" t="str">
        <x:v>35.400002</x:v>
      </x:c>
      <x:c r="J60" s="19" t="str">
        <x:v>45.299999</x:v>
      </x:c>
      <x:c r="K60" s="19" t="str">
        <x:v>228.39999</x:v>
      </x:c>
      <x:c r="L60" s="19" t="str">
        <x:v>V</x:v>
      </x:c>
      <x:c r="M60" s="19" t="str"/>
      <x:c r="N60" s="19" t="n">
        <x:v>0</x:v>
      </x:c>
      <x:c r="O60" s="19" t="n">
        <x:f>--(LEN(M60)&gt;0)</x:f>
        <x:v>0</x:v>
      </x:c>
      <x:c r="P60" s="19" t="str">
        <x:v>ABSTAIN_ANCHOR</x:v>
      </x:c>
      <x:c r="Q60" s="19" t="str"/>
      <x:c r="R60" s="19" t="n">
        <x:v>0</x:v>
      </x:c>
      <x:c r="S60" s="19" t="str">
        <x:v>ABSTAIN_INSUFFICIENT</x:v>
      </x:c>
      <x:c r="T60" s="19" t="str"/>
      <x:c r="U60" s="19" t="n">
        <x:v>0</x:v>
      </x:c>
      <x:c r="V60" s="19" t="str">
        <x:v>PAPER_ROW_MATCH</x:v>
      </x:c>
      <x:c r="W60" s="19" t="str">
        <x:v>direction</x:v>
      </x:c>
      <x:c r="X60" s="19" t="n">
        <x:f>--(O60=--(LEN(Q60)&gt;0))</x:f>
        <x:v>1</x:v>
      </x:c>
      <x:c r="Y60" s="19" t="n">
        <x:f>--(O60=--(LEN(T60)&gt;0))</x:f>
        <x:v>1</x:v>
      </x:c>
      <x:c r="Z60" s="19" t="n">
        <x:f>--(N60=R60)</x:f>
        <x:v>1</x:v>
      </x:c>
      <x:c r="AA60" s="19" t="n">
        <x:f>--(N60=U60)</x:f>
        <x:v>1</x:v>
      </x:c>
      <x:c r="AB60" s="19" t="str">
        <x:f>IF(X60=Y60,"UNCHANGED",IF(Y60=1,"IMPROVED","REGRESSED"))</x:f>
        <x:v>UNCHANGED</x:v>
      </x:c>
      <x:c r="AC60" s="19" t="str">
        <x:f>IF(Z60=AA60,"UNCHANGED",IF(AA60=1,"IMPROVED","REGRESSED"))</x:f>
        <x:v>UNCHANGED</x:v>
      </x:c>
      <x:c r="AD60" s="19" t="str">
        <x:v>TRUE_BLANK</x:v>
      </x:c>
      <x:c r="AE60" s="19" t="str">
        <x:v>LOW</x:v>
      </x:c>
      <x:c r="AF60" s="19" t="str">
        <x:v>5</x:v>
      </x:c>
      <x:c r="AG60" s="19" t="str">
        <x:v>ating SD magnetite (Fig. 5 ). AF demagnetized specimens dis- played typical coercivities of SD magnetite, with an MDF be- low 50 mT, and no sign of a higher coercivity component with 4.4 Pa laeomagnetic re sults fo r the Nilsi a¨ 1860–1790 Ma a different magnetization direction. Most of the samples from microtonalite and 1790 Ma lamprophyre dykes the Ylivieska gabbro displayed remanence with a viscous com- Palaeomagnetic data from 13 microtonalite dykes in the Nilsi a¨ study ponent, probably carried by MD magnetite. This component was area display a ChRM direction with a NNW declination and inter- isolated below 10 mT or 300 ◦C, with highly scattered direc- mediate downward inclination ( D = 345 ◦, I = 35 ◦ with α95 = 2 ◦ tions. and k = 320; Figs 5 and 6 , Table 1 ). Thermally demagnetized micro- Palaeomagnetic data from the undated Mertuanoja gabbro dis- tonalite specimens yielded decay</x:v>
      </x:c>
      <x:c r="AH60" s="19" t="str">
        <x:v>/Users/lihd/discovery/paleomagnetic-r3-workflow/dist/paleomagnetic-r357-calibrated-workflow-full/data/parsed_mds/4324.txt</x:v>
      </x:c>
      <x:c r="AI60" s="13" t="n">
        <x:f>--(O60=N60)</x:f>
        <x:v>1</x:v>
      </x:c>
    </x:row>
    <x:row r="61" ht="54" customHeight="1">
      <x:c r="A61" s="13" t="str">
        <x:v>4339</x:v>
      </x:c>
      <x:c r="B61" s="13" t="str">
        <x:v>10263</x:v>
      </x:c>
      <x:c r="C61" s="13" t="str">
        <x:v>8479</x:v>
      </x:c>
      <x:c r="D61" s="19" t="str">
        <x:v>Northeastern Brazil Magmatism-1</x:v>
      </x:c>
      <x:c r="E61" s="19" t="str"/>
      <x:c r="F61" s="19" t="str">
        <x:v>-5.5</x:v>
      </x:c>
      <x:c r="G61" s="19" t="str">
        <x:v>-40</x:v>
      </x:c>
      <x:c r="H61" s="19" t="str">
        <x:v>3.3</x:v>
      </x:c>
      <x:c r="I61" s="19" t="str">
        <x:v>-17.6</x:v>
      </x:c>
      <x:c r="J61" s="19" t="str">
        <x:v>85.199997</x:v>
      </x:c>
      <x:c r="K61" s="19" t="str">
        <x:v>97.599998</x:v>
      </x:c>
      <x:c r="L61" s="19" t="str">
        <x:v>V</x:v>
      </x:c>
      <x:c r="M61" s="19" t="str">
        <x:v>OP(TM,MAGN)</x:v>
      </x:c>
      <x:c r="N61" s="19" t="n">
        <x:v>0</x:v>
      </x:c>
      <x:c r="O61" s="19" t="n">
        <x:f>--(LEN(M61)&gt;0)</x:f>
        <x:v>1</x:v>
      </x:c>
      <x:c r="P61" s="19" t="str">
        <x:v>ABSTAIN_INSUFFICIENT</x:v>
      </x:c>
      <x:c r="Q61" s="19" t="str"/>
      <x:c r="R61" s="19" t="n">
        <x:v>0</x:v>
      </x:c>
      <x:c r="S61" s="19" t="str">
        <x:v>ABSTAIN_INSUFFICIENT</x:v>
      </x:c>
      <x:c r="T61" s="19" t="str"/>
      <x:c r="U61" s="19" t="n">
        <x:v>0</x:v>
      </x:c>
      <x:c r="V61" s="19" t="str">
        <x:v>METADATA_UNIQUE</x:v>
      </x:c>
      <x:c r="W61" s="19" t="str"/>
      <x:c r="X61" s="19" t="n">
        <x:f>--(O61=--(LEN(Q61)&gt;0))</x:f>
        <x:v>0</x:v>
      </x:c>
      <x:c r="Y61" s="19" t="n">
        <x:f>--(O61=--(LEN(T61)&gt;0))</x:f>
        <x:v>0</x:v>
      </x:c>
      <x:c r="Z61" s="19" t="n">
        <x:f>--(N61=R61)</x:f>
        <x:v>1</x:v>
      </x:c>
      <x:c r="AA61" s="19" t="n">
        <x:f>--(N61=U61)</x:f>
        <x:v>1</x:v>
      </x:c>
      <x:c r="AB61" s="19" t="str">
        <x:f>IF(X61=Y61,"UNCHANGED",IF(Y61=1,"IMPROVED","REGRESSED"))</x:f>
        <x:v>UNCHANGED</x:v>
      </x:c>
      <x:c r="AC61" s="19" t="str">
        <x:f>IF(Z61=AA61,"UNCHANGED",IF(AA61=1,"IMPROVED","REGRESSED"))</x:f>
        <x:v>UNCHANGED</x:v>
      </x:c>
      <x:c r="AD61" s="19" t="str">
        <x:v>EVIDENCE_CHAIN_INCOMPLETE</x:v>
      </x:c>
      <x:c r="AE61" s="19" t="str">
        <x:v>LOW</x:v>
      </x:c>
      <x:c r="AF61" s="19" t="str"/>
      <x:c r="AG61" s="19" t="str"/>
      <x:c r="AH61" s="19" t="str">
        <x:v>/Users/lihd/discovery/paleomagnetic-r3-workflow/dist/paleomagnetic-r357-calibrated-workflow-full/data/parsed_mds/4339.txt</x:v>
      </x:c>
      <x:c r="AI61" s="13" t="n">
        <x:f>--(O61=N61)</x:f>
        <x:v>0</x:v>
      </x:c>
    </x:row>
    <x:row r="62" ht="54" customHeight="1">
      <x:c r="A62" s="13" t="str">
        <x:v>4339</x:v>
      </x:c>
      <x:c r="B62" s="13" t="str">
        <x:v>10264</x:v>
      </x:c>
      <x:c r="C62" s="13" t="str">
        <x:v>8480</x:v>
      </x:c>
      <x:c r="D62" s="19" t="str">
        <x:v>Northeastern Brazil Magmatism-2</x:v>
      </x:c>
      <x:c r="E62" s="19" t="str"/>
      <x:c r="F62" s="19" t="str">
        <x:v>-5.5</x:v>
      </x:c>
      <x:c r="G62" s="19" t="str">
        <x:v>-40</x:v>
      </x:c>
      <x:c r="H62" s="19" t="str">
        <x:v>348.10001</x:v>
      </x:c>
      <x:c r="I62" s="19" t="str">
        <x:v>-13.1</x:v>
      </x:c>
      <x:c r="J62" s="19" t="str">
        <x:v>78.099998</x:v>
      </x:c>
      <x:c r="K62" s="19" t="str">
        <x:v>223.89999</x:v>
      </x:c>
      <x:c r="L62" s="19" t="str">
        <x:v>V</x:v>
      </x:c>
      <x:c r="M62" s="19" t="str">
        <x:v>OP(TM,MAGN)</x:v>
      </x:c>
      <x:c r="N62" s="19" t="n">
        <x:v>0</x:v>
      </x:c>
      <x:c r="O62" s="19" t="n">
        <x:f>--(LEN(M62)&gt;0)</x:f>
        <x:v>1</x:v>
      </x:c>
      <x:c r="P62" s="19" t="str">
        <x:v>ABSTAIN_INSUFFICIENT</x:v>
      </x:c>
      <x:c r="Q62" s="19" t="str"/>
      <x:c r="R62" s="19" t="n">
        <x:v>0</x:v>
      </x:c>
      <x:c r="S62" s="19" t="str">
        <x:v>ABSTAIN_INSUFFICIENT</x:v>
      </x:c>
      <x:c r="T62" s="19" t="str"/>
      <x:c r="U62" s="19" t="n">
        <x:v>0</x:v>
      </x:c>
      <x:c r="V62" s="19" t="str">
        <x:v>METADATA_UNIQUE</x:v>
      </x:c>
      <x:c r="W62" s="19" t="str"/>
      <x:c r="X62" s="19" t="n">
        <x:f>--(O62=--(LEN(Q62)&gt;0))</x:f>
        <x:v>0</x:v>
      </x:c>
      <x:c r="Y62" s="19" t="n">
        <x:f>--(O62=--(LEN(T62)&gt;0))</x:f>
        <x:v>0</x:v>
      </x:c>
      <x:c r="Z62" s="19" t="n">
        <x:f>--(N62=R62)</x:f>
        <x:v>1</x:v>
      </x:c>
      <x:c r="AA62" s="19" t="n">
        <x:f>--(N62=U62)</x:f>
        <x:v>1</x:v>
      </x:c>
      <x:c r="AB62" s="19" t="str">
        <x:f>IF(X62=Y62,"UNCHANGED",IF(Y62=1,"IMPROVED","REGRESSED"))</x:f>
        <x:v>UNCHANGED</x:v>
      </x:c>
      <x:c r="AC62" s="19" t="str">
        <x:f>IF(Z62=AA62,"UNCHANGED",IF(AA62=1,"IMPROVED","REGRESSED"))</x:f>
        <x:v>UNCHANGED</x:v>
      </x:c>
      <x:c r="AD62" s="19" t="str">
        <x:v>EVIDENCE_CHAIN_INCOMPLETE</x:v>
      </x:c>
      <x:c r="AE62" s="19" t="str">
        <x:v>LOW</x:v>
      </x:c>
      <x:c r="AF62" s="19" t="str"/>
      <x:c r="AG62" s="19" t="str"/>
      <x:c r="AH62" s="19" t="str">
        <x:v>/Users/lihd/discovery/paleomagnetic-r3-workflow/dist/paleomagnetic-r357-calibrated-workflow-full/data/parsed_mds/4339.txt</x:v>
      </x:c>
      <x:c r="AI62" s="13" t="n">
        <x:f>--(O62=N62)</x:f>
        <x:v>0</x:v>
      </x:c>
    </x:row>
    <x:row r="63" ht="54" customHeight="1">
      <x:c r="A63" s="13" t="str">
        <x:v>4339</x:v>
      </x:c>
      <x:c r="B63" s="13" t="str">
        <x:v>10265</x:v>
      </x:c>
      <x:c r="C63" s="13" t="str">
        <x:v>8481</x:v>
      </x:c>
      <x:c r="D63" s="19" t="str">
        <x:v>Ceara-Mirim Dikes II</x:v>
      </x:c>
      <x:c r="E63" s="19" t="str"/>
      <x:c r="F63" s="19" t="str">
        <x:v>-5.5</x:v>
      </x:c>
      <x:c r="G63" s="19" t="str">
        <x:v>-40</x:v>
      </x:c>
      <x:c r="H63" s="19" t="str">
        <x:v>350.29999</x:v>
      </x:c>
      <x:c r="I63" s="19" t="str">
        <x:v>32.200001</x:v>
      </x:c>
      <x:c r="J63" s="19" t="str">
        <x:v>65.099998</x:v>
      </x:c>
      <x:c r="K63" s="19" t="str">
        <x:v>297.5</x:v>
      </x:c>
      <x:c r="L63" s="19" t="str">
        <x:v>V</x:v>
      </x:c>
      <x:c r="M63" s="19" t="str"/>
      <x:c r="N63" s="19" t="n">
        <x:v>0</x:v>
      </x:c>
      <x:c r="O63" s="19" t="n">
        <x:f>--(LEN(M63)&gt;0)</x:f>
        <x:v>0</x:v>
      </x:c>
      <x:c r="P63" s="19" t="str">
        <x:v>ABSTAIN_INSUFFICIENT</x:v>
      </x:c>
      <x:c r="Q63" s="19" t="str"/>
      <x:c r="R63" s="19" t="n">
        <x:v>0</x:v>
      </x:c>
      <x:c r="S63" s="19" t="str">
        <x:v>ABSTAIN_INSUFFICIENT</x:v>
      </x:c>
      <x:c r="T63" s="19" t="str"/>
      <x:c r="U63" s="19" t="n">
        <x:v>0</x:v>
      </x:c>
      <x:c r="V63" s="19" t="str">
        <x:v>METADATA_UNIQUE</x:v>
      </x:c>
      <x:c r="W63" s="19" t="str"/>
      <x:c r="X63" s="19" t="n">
        <x:f>--(O63=--(LEN(Q63)&gt;0))</x:f>
        <x:v>1</x:v>
      </x:c>
      <x:c r="Y63" s="19" t="n">
        <x:f>--(O63=--(LEN(T63)&gt;0))</x:f>
        <x:v>1</x:v>
      </x:c>
      <x:c r="Z63" s="19" t="n">
        <x:f>--(N63=R63)</x:f>
        <x:v>1</x:v>
      </x:c>
      <x:c r="AA63" s="19" t="n">
        <x:f>--(N63=U63)</x:f>
        <x:v>1</x:v>
      </x:c>
      <x:c r="AB63" s="19" t="str">
        <x:f>IF(X63=Y63,"UNCHANGED",IF(Y63=1,"IMPROVED","REGRESSED"))</x:f>
        <x:v>UNCHANGED</x:v>
      </x:c>
      <x:c r="AC63" s="19" t="str">
        <x:f>IF(Z63=AA63,"UNCHANGED",IF(AA63=1,"IMPROVED","REGRESSED"))</x:f>
        <x:v>UNCHANGED</x:v>
      </x:c>
      <x:c r="AD63" s="19" t="str">
        <x:v>TRUE_BLANK</x:v>
      </x:c>
      <x:c r="AE63" s="19" t="str">
        <x:v>LOW</x:v>
      </x:c>
      <x:c r="AF63" s="19" t="str"/>
      <x:c r="AG63" s="19" t="str"/>
      <x:c r="AH63" s="19" t="str">
        <x:v>/Users/lihd/discovery/paleomagnetic-r3-workflow/dist/paleomagnetic-r357-calibrated-workflow-full/data/parsed_mds/4339.txt</x:v>
      </x:c>
      <x:c r="AI63" s="13" t="n">
        <x:f>--(O63=N63)</x:f>
        <x:v>1</x:v>
      </x:c>
    </x:row>
  </x:sheetData>
  <x:conditionalFormatting sqref="X2:AA63">
    <x:cfRule type="cellIs" dxfId="0" priority="1" operator="equal">
      <x:formula>1</x:formula>
    </x:cfRule>
    <x:cfRule type="cellIs" dxfId="1" priority="2" operator="equal">
      <x:formula>0</x:formula>
    </x:cfRule>
  </x:conditionalFormatting>
  <x:conditionalFormatting sqref="AB2:AC63">
    <x:cfRule type="containsText" dxfId="2" priority="3" operator="containsText" text="IMPROVED"/>
    <x:cfRule type="containsText" dxfId="3" priority="4" operator="containsText" text="REGRESSED"/>
  </x:conditionalFormatting>
  <x:conditionalFormatting sqref="P2:P63">
    <x:cfRule type="containsText" dxfId="4" priority="5" operator="containsText" text="ABSTAIN"/>
  </x:conditionalFormatting>
  <x:conditionalFormatting sqref="S2:S63">
    <x:cfRule type="containsText" dxfId="5" priority="6" operator="containsText" text="ABSTAIN"/>
  </x:conditionalFormatting>
  <x:pageMargins left="0.7" right="0.7" top="0.75" bottom="0.75" header="0.3" footer="0.3"/>
  <x:tableParts count="1">
    <x:tablePart xmlns:r="http://schemas.openxmlformats.org/officeDocument/2006/relationships" r:id="R21a49ac5babb404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4" hidden="0" customWidth="1"/>
    <x:col min="4" max="4" width="20" hidden="0" customWidth="1"/>
    <x:col min="5" max="5" width="13" hidden="0" customWidth="1"/>
    <x:col min="6" max="6" width="13" hidden="0" customWidth="1"/>
    <x:col min="7" max="7" width="13" hidden="0" customWidth="1"/>
    <x:col min="8" max="8" width="13" hidden="0" customWidth="1"/>
    <x:col min="9" max="9" width="22" hidden="0" customWidth="1"/>
    <x:col min="10" max="10" width="22" hidden="0" customWidth="1"/>
    <x:col min="11" max="11" width="34" hidden="0" customWidth="1"/>
    <x:col min="12" max="12" width="34" hidden="0" customWidth="1"/>
    <x:col min="13" max="13" width="20" hidden="0" customWidth="1"/>
    <x:col min="14" max="14" width="20" hidden="0" customWidth="1"/>
    <x:col min="15" max="15" width="20" hidden="0" customWidth="1"/>
    <x:col min="16" max="16" width="20" hidden="0" customWidth="1"/>
    <x:col min="17" max="17" width="74" hidden="0" customWidth="1"/>
  </x:cols>
  <x:sheetData>
    <x:row r="1" ht="30" customHeight="1">
      <x:c r="A1" s="21" t="str">
        <x:v>REFNO</x:v>
      </x:c>
      <x:c r="B1" s="21" t="str">
        <x:v>RESULTNO</x:v>
      </x:c>
      <x:c r="C1" s="21" t="str">
        <x:v>ROCKNAME</x:v>
      </x:c>
      <x:c r="D1" s="21" t="str">
        <x:v>COMPONENT</x:v>
      </x:c>
      <x:c r="E1" s="21" t="str">
        <x:v>DEC</x:v>
      </x:c>
      <x:c r="F1" s="21" t="str">
        <x:v>INC</x:v>
      </x:c>
      <x:c r="G1" s="21" t="str">
        <x:v>PLAT</x:v>
      </x:c>
      <x:c r="H1" s="21" t="str">
        <x:v>PLONG</x:v>
      </x:c>
      <x:c r="I1" s="21" t="str">
        <x:v>BASE_STATUS</x:v>
      </x:c>
      <x:c r="J1" s="21" t="str">
        <x:v>LOCATOR_STATUS</x:v>
      </x:c>
      <x:c r="K1" s="21" t="str">
        <x:v>LOCATOR_ROCKMAG</x:v>
      </x:c>
      <x:c r="L1" s="21" t="str">
        <x:v>HIST_ROCKMAG</x:v>
      </x:c>
      <x:c r="M1" s="21" t="str">
        <x:v>FIELD_MATCH</x:v>
      </x:c>
      <x:c r="N1" s="21" t="str">
        <x:v>R3_MATCH</x:v>
      </x:c>
      <x:c r="O1" s="21" t="str">
        <x:v>LOCATOR_RESOLUTION</x:v>
      </x:c>
      <x:c r="P1" s="21" t="str">
        <x:v>EVIDENCE_PAGES</x:v>
      </x:c>
      <x:c r="Q1" s="21" t="str">
        <x:v>EVIDENCE_QUOTE</x:v>
      </x:c>
    </x:row>
    <x:row r="2" ht="58" customHeight="1">
      <x:c r="A2" s="19" t="str">
        <x:v>1152</x:v>
      </x:c>
      <x:c r="B2" s="19" t="str">
        <x:v>29</x:v>
      </x:c>
      <x:c r="C2" s="19" t="str">
        <x:v>Armorican redbeds</x:v>
      </x:c>
      <x:c r="D2" s="19" t="str">
        <x:v>C component</x:v>
      </x:c>
      <x:c r="E2" s="19" t="str">
        <x:v>228</x:v>
      </x:c>
      <x:c r="F2" s="19" t="str">
        <x:v>63</x:v>
      </x:c>
      <x:c r="G2" s="19" t="str">
        <x:v>11</x:v>
      </x:c>
      <x:c r="H2" s="19" t="str">
        <x:v>325</x:v>
      </x:c>
      <x:c r="I2" s="19" t="str">
        <x:v>ABSTAIN_IDENTITY</x:v>
      </x:c>
      <x:c r="J2" s="19" t="str">
        <x:v>PRESENT</x:v>
      </x:c>
      <x:c r="K2" s="19" t="str">
        <x:v>IRM,SUSC-T(HEM)</x:v>
      </x:c>
      <x:c r="L2" s="19" t="str">
        <x:v>IRM(compar.of leached &amp; unleached:mag.in insol.specularite).</x:v>
      </x:c>
      <x:c r="M2" s="19" t="n">
        <x:v>1</x:v>
      </x:c>
      <x:c r="N2" s="19" t="n">
        <x:v>1</x:v>
      </x:c>
      <x:c r="O2" s="19" t="str">
        <x:v>PAPER_ROW_MATCH</x:v>
      </x:c>
      <x:c r="P2" s="19" t="str">
        <x:v>7, 10, 11, 13, 14, 15, 8, 9</x:v>
      </x:c>
      <x:c r="Q2" s="19" t="str">
        <x:v>eaning temperatures suggested by Briden's (1972) stability index (100-200°C) removes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 |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carrying component B3 is acid soluble in some sites (e.g. Fig. 5(g)) but not in others (Fig. 5(h)). Component C has the highest Downloaded from https://academic.oup.com/gji/article/59/2/345/645148 by Curtin University Library user on 21 August 2020 | the vector subtraction (B1 + B2) - B2 (Table 4)</x:v>
      </x:c>
    </x:row>
    <x:row r="3" ht="58" customHeight="1">
      <x:c r="A3" s="19" t="str">
        <x:v>1152</x:v>
      </x:c>
      <x:c r="B3" s="19" t="str">
        <x:v>30</x:v>
      </x:c>
      <x:c r="C3" s="19" t="str">
        <x:v>Armorican redbeds</x:v>
      </x:c>
      <x:c r="D3" s="19" t="str">
        <x:v>B3 component</x:v>
      </x:c>
      <x:c r="E3" s="19" t="str">
        <x:v>216</x:v>
      </x:c>
      <x:c r="F3" s="19" t="str">
        <x:v>41</x:v>
      </x:c>
      <x:c r="G3" s="19" t="str">
        <x:v>11</x:v>
      </x:c>
      <x:c r="H3" s="19" t="str">
        <x:v>144</x:v>
      </x:c>
      <x:c r="I3" s="19" t="str">
        <x:v>ABSTAIN_IDENTITY</x:v>
      </x:c>
      <x:c r="J3" s="19" t="str">
        <x:v>PRESENT</x:v>
      </x:c>
      <x:c r="K3" s="19" t="str">
        <x:v>IRM,SUSC-T(HEM)</x:v>
      </x:c>
      <x:c r="L3" s="19" t="str">
        <x:v>IRM(leached &amp; unleached:B3 comp.in soluble HEM pigment)</x:v>
      </x:c>
      <x:c r="M3" s="19" t="n">
        <x:v>1</x:v>
      </x:c>
      <x:c r="N3" s="19" t="n">
        <x:v>1</x:v>
      </x:c>
      <x:c r="O3" s="19" t="str">
        <x:v>PAPER_ROW_MATCH</x:v>
      </x:c>
      <x:c r="P3" s="19" t="str">
        <x:v>1, 7, 10, 11, 14, 15, 8</x:v>
      </x:c>
      <x:c r="Q3" s="19" t="str">
        <x:v>ambro- Ordovician redbeds, the Erquy Spilite Series and the Trt5gasteLPloumanac'h granite complex, Armorican Massif (France and the Channel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 | eaning temperatures suggested by Briden's (1972) stability index (100-200°C) removes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x:v>
      </x:c>
    </x:row>
    <x:row r="4" ht="58" customHeight="1">
      <x:c r="A4" s="19" t="str">
        <x:v>3434</x:v>
      </x:c>
      <x:c r="B4" s="19" t="str">
        <x:v>8731</x:v>
      </x:c>
      <x:c r="C4" s="19" t="str">
        <x:v>Lochness Formation</x:v>
      </x:c>
      <x:c r="D4" s="19" t="str">
        <x:v>A Component</x:v>
      </x:c>
      <x:c r="E4" s="19" t="str">
        <x:v>6.8000002</x:v>
      </x:c>
      <x:c r="F4" s="19" t="str">
        <x:v>-40.599998</x:v>
      </x:c>
      <x:c r="G4" s="19" t="str">
        <x:v>-82.300003</x:v>
      </x:c>
      <x:c r="H4" s="19" t="str">
        <x:v>86.800003</x:v>
      </x:c>
      <x:c r="I4" s="19" t="str">
        <x:v>ABSTAIN_IDENTITY</x:v>
      </x:c>
      <x:c r="J4" s="19" t="str">
        <x:v>ABSTAIN_INSUFFICIENT</x:v>
      </x:c>
      <x:c r="K4" s="19" t="str"/>
      <x:c r="L4" s="19" t="str"/>
      <x:c r="M4" s="19" t="n">
        <x:v>1</x:v>
      </x:c>
      <x:c r="N4" s="19" t="n">
        <x:v>1</x:v>
      </x:c>
      <x:c r="O4" s="19" t="str">
        <x:v>METADATA_UNIQUE</x:v>
      </x:c>
      <x:c r="P4" s="19" t="str"/>
      <x:c r="Q4" s="19" t="str"/>
    </x:row>
    <x:row r="5" ht="58" customHeight="1">
      <x:c r="A5" s="19" t="str">
        <x:v>3434</x:v>
      </x:c>
      <x:c r="B5" s="19" t="str">
        <x:v>8732</x:v>
      </x:c>
      <x:c r="C5" s="19" t="str">
        <x:v>Lochness Formation</x:v>
      </x:c>
      <x:c r="D5" s="19" t="str">
        <x:v>A Component</x:v>
      </x:c>
      <x:c r="E5" s="19" t="str">
        <x:v>118.9</x:v>
      </x:c>
      <x:c r="F5" s="19" t="str">
        <x:v>24.200001</x:v>
      </x:c>
      <x:c r="G5" s="19" t="str">
        <x:v>-31.200001</x:v>
      </x:c>
      <x:c r="H5" s="19" t="str">
        <x:v>225.60001</x:v>
      </x:c>
      <x:c r="I5" s="19" t="str">
        <x:v>ABSTAIN_IDENTITY</x:v>
      </x:c>
      <x:c r="J5" s="19" t="str">
        <x:v>ABSTAIN_INSUFFICIENT</x:v>
      </x:c>
      <x:c r="K5" s="19" t="str"/>
      <x:c r="L5" s="19" t="str"/>
      <x:c r="M5" s="19" t="n">
        <x:v>1</x:v>
      </x:c>
      <x:c r="N5" s="19" t="n">
        <x:v>1</x:v>
      </x:c>
      <x:c r="O5" s="19" t="str">
        <x:v>METADATA_UNIQUE</x:v>
      </x:c>
      <x:c r="P5" s="19" t="str"/>
      <x:c r="Q5" s="19" t="str"/>
    </x:row>
    <x:row r="6" ht="58" customHeight="1">
      <x:c r="A6" s="19" t="str">
        <x:v>3434</x:v>
      </x:c>
      <x:c r="B6" s="19" t="str">
        <x:v>8733</x:v>
      </x:c>
      <x:c r="C6" s="19" t="str">
        <x:v>Fiery Creek Formation</x:v>
      </x:c>
      <x:c r="D6" s="19" t="str">
        <x:v>A Component</x:v>
      </x:c>
      <x:c r="E6" s="19" t="str">
        <x:v>1</x:v>
      </x:c>
      <x:c r="F6" s="19" t="str">
        <x:v>-38.700001</x:v>
      </x:c>
      <x:c r="G6" s="19" t="str">
        <x:v>-87.300003</x:v>
      </x:c>
      <x:c r="H6" s="19" t="str">
        <x:v>119.6</x:v>
      </x:c>
      <x:c r="I6" s="19" t="str">
        <x:v>ABSTAIN_IDENTITY</x:v>
      </x:c>
      <x:c r="J6" s="19" t="str">
        <x:v>ABSTAIN_INSUFFICIENT</x:v>
      </x:c>
      <x:c r="K6" s="19" t="str"/>
      <x:c r="L6" s="19" t="str"/>
      <x:c r="M6" s="19" t="n">
        <x:v>1</x:v>
      </x:c>
      <x:c r="N6" s="19" t="n">
        <x:v>1</x:v>
      </x:c>
      <x:c r="O6" s="19" t="str">
        <x:v>PAPER_ROW_MATCH</x:v>
      </x:c>
      <x:c r="P6" s="19" t="str">
        <x:v>13, 14</x:v>
      </x:c>
      <x:c r="Q6" s="19" t="str">
        <x:v>oss-bedded fluvial sandstones. The second spread between the A and C directions (Figure 9d). This interval was a dark red-brown, weathered (ocherous),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 | 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siliciclastics and subordin- the overprint B in the Peters Creek Volcanics and is there- ate carbonates.Also present are tuffaceous beds contain</x:v>
      </x:c>
    </x:row>
    <x:row r="7" ht="58" customHeight="1">
      <x:c r="A7" s="19" t="str">
        <x:v>3434</x:v>
      </x:c>
      <x:c r="B7" s="19" t="str">
        <x:v>8734</x:v>
      </x:c>
      <x:c r="C7" s="19" t="str">
        <x:v>Fiery Creek Formation</x:v>
      </x:c>
      <x:c r="D7" s="19" t="str">
        <x:v>B Component</x:v>
      </x:c>
      <x:c r="E7" s="19" t="str">
        <x:v>108</x:v>
      </x:c>
      <x:c r="F7" s="19" t="str">
        <x:v>40.099998</x:v>
      </x:c>
      <x:c r="G7" s="19" t="str">
        <x:v>-23.9</x:v>
      </x:c>
      <x:c r="H7" s="19" t="str">
        <x:v>211.8</x:v>
      </x:c>
      <x:c r="I7" s="19" t="str">
        <x:v>ABSTAIN_IDENTITY</x:v>
      </x:c>
      <x:c r="J7" s="19" t="str">
        <x:v>ABSTAIN_INSUFFICIENT</x:v>
      </x:c>
      <x:c r="K7" s="19" t="str"/>
      <x:c r="L7" s="19" t="str"/>
      <x:c r="M7" s="19" t="n">
        <x:v>1</x:v>
      </x:c>
      <x:c r="N7" s="19" t="n">
        <x:v>1</x:v>
      </x:c>
      <x:c r="O7" s="19" t="str">
        <x:v>PAPER_ROW_MATCH</x:v>
      </x:c>
      <x:c r="P7" s="19" t="str">
        <x:v>13, 14, 15</x:v>
      </x:c>
      <x:c r="Q7" s="19" t="str">
        <x:v>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siliciclastics and subordin- the overprint B in the Peters Creek Volcanics and is there- ate carbonates.Also present are tuffaceous beds containing fore likewise an overprint. zircons that have been dated by the U–Pb SHRIMP tech- The Pff2 site contains component B (pole FSHO3 in nique at 164067Ma (Page &amp; Sweet 1998). The formation Table 2) that unblocks at 640–660°C and is bipolar with a was sampled in the lower ~25m of a cliff where Wire Creek mode | 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x:v>
      </x:c>
    </x:row>
    <x:row r="8" ht="58" customHeight="1">
      <x:c r="A8" s="19" t="str">
        <x:v>3434</x:v>
      </x:c>
      <x:c r="B8" s="19" t="str">
        <x:v>8735</x:v>
      </x:c>
      <x:c r="C8" s="19" t="str">
        <x:v>Gunpowder Creek Formation</x:v>
      </x:c>
      <x:c r="D8" s="19" t="str">
        <x:v>B Component</x:v>
      </x:c>
      <x:c r="E8" s="19" t="str">
        <x:v>123.4</x:v>
      </x:c>
      <x:c r="F8" s="19" t="str">
        <x:v>54.200001</x:v>
      </x:c>
      <x:c r="G8" s="19" t="str">
        <x:v>-38.5</x:v>
      </x:c>
      <x:c r="H8" s="19" t="str">
        <x:v>198.89999</x:v>
      </x:c>
      <x:c r="I8" s="19" t="str">
        <x:v>ABSTAIN_IDENTITY</x:v>
      </x:c>
      <x:c r="J8" s="19" t="str">
        <x:v>ABSTAIN_INSUFFICIENT</x:v>
      </x:c>
      <x:c r="K8" s="19" t="str"/>
      <x:c r="L8" s="19" t="str"/>
      <x:c r="M8" s="19" t="n">
        <x:v>1</x:v>
      </x:c>
      <x:c r="N8" s="19" t="n">
        <x:v>1</x:v>
      </x:c>
      <x:c r="O8" s="19" t="str">
        <x:v>PAPER_ROW_MATCH</x:v>
      </x:c>
      <x:c r="P8" s="19" t="str">
        <x:v>15, 12, 13, 14</x:v>
      </x:c>
      <x:c r="Q8" s="19" t="str">
        <x:v>emanence intensity plot (inset) at this temperature suggests that the change is due to the removal of a small magnetite remanence.Symbols as in Figure 3. That component was,however,too poorly defined to give a west-downward inclined group in a background of highly reliable pole. scattered directions (Figure 13a).Tilt corrections dispersed the group (Figure 13b),indicating that the magnetisation is post-deformational,i.e.an overprint.Its mean direction GUNPOWDER CREEK FORMATION (declination 250.0°,inclination 66.8°) gives the pole GPRO1. The Gunpowder Creek Formation near the base of the The latter falls near the OP3 group of overprints. McNamara Group consists of fine-grained,shallow-marine Component B unblocked at ~685°C and was found in siliciclastics and minor dolomites.The formation is divided 11 sandstone samples from the upper Gunpowder Creek into two sedimentary packages by an ero | nit (they straddle the Gun 2.1f surface of conglomerates.Zircons from a tuffaceous bed in the lower Southgate et al.2000).At both sites the beds were distin- Gunpowder Creek Formation give a SHRIMP U–Pb age of guished from drab adjacent lithologies by their dark red- 169463Ma (Page et al. 2000). The age of the upper brown colour. Before tilt corrections the directions from Gunpowder Creek Formation is constrained by U–Pb zircon these localities differed widely;after corrections they con- dates ranging from 165863Ma to 165367Ma in the con- verged (Figure 13c,d),indicating that this component pre- formably overlying Paradise Creek Formation (Pageet al. dates the Isan and earlier orogenies.The B component pole 2000). Resumption of sedimentation after the long depo- (GPRO2) lies on the apparent polar wander path at the sitional break is attributed to thermal relaxation following younger s</x:v>
      </x:c>
    </x:row>
    <x:row r="9" ht="58" customHeight="1">
      <x:c r="A9" s="19" t="str">
        <x:v>3434</x:v>
      </x:c>
      <x:c r="B9" s="19" t="str">
        <x:v>8736</x:v>
      </x:c>
      <x:c r="C9" s="19" t="str">
        <x:v>Gunpowder Creek Formation</x:v>
      </x:c>
      <x:c r="D9" s="19" t="str">
        <x:v>C Component</x:v>
      </x:c>
      <x:c r="E9" s="19" t="str">
        <x:v>1.9</x:v>
      </x:c>
      <x:c r="F9" s="19" t="str">
        <x:v>-39.200001</x:v>
      </x:c>
      <x:c r="G9" s="19" t="str">
        <x:v>-86.699997</x:v>
      </x:c>
      <x:c r="H9" s="19" t="str">
        <x:v>105.4</x:v>
      </x:c>
      <x:c r="I9" s="19" t="str">
        <x:v>ABSTAIN_IDENTITY</x:v>
      </x:c>
      <x:c r="J9" s="19" t="str">
        <x:v>ABSTAIN_INSUFFICIENT</x:v>
      </x:c>
      <x:c r="K9" s="19" t="str"/>
      <x:c r="L9" s="19" t="str"/>
      <x:c r="M9" s="19" t="n">
        <x:v>1</x:v>
      </x:c>
      <x:c r="N9" s="19" t="n">
        <x:v>1</x:v>
      </x:c>
      <x:c r="O9" s="19" t="str">
        <x:v>PAPER_ROW_MATCH</x:v>
      </x:c>
      <x:c r="P9" s="19" t="str">
        <x:v>15, 8, 12, 13</x:v>
      </x:c>
      <x:c r="Q9" s="19" t="str">
        <x:v>emanence intensity plot (inset) at this temperature suggests that the change is due to the removal of a small magnetite remanence.Symbols as in Figure 3. That component was,however,too poorly defined to give a west-downward inclined group in a background of highly reliable pole. scattered directions (Figure 13a).Tilt corrections dispersed the group (Figure 13b),indicating that the magnetisation is post-deformational,i.e.an overprint.Its mean direction GUNPOWDER CREEK FORMATION (declination 250.0°,inclination 66.8°) gives the pole GPRO1. The Gunpowder Creek Formation near the base of the The latter falls near the OP3 group of overprints. McNamara Group consists of fine-grained,shallow-marine Component B unblocked at ~685°C and was found in siliciclastics and minor dolomites.The formation is divided 11 sandstone samples from the upper Gunpowder Creek into two sedimentary packages by an ero | t (L15 &amp; L16,Figure 1).Moderately steep to near- fluids.As noted in the discussion,the circulation may have vertical bedding dips at the first two localities contrast with been caused by tectonism related to the bend at ca1650Ma moderate dips at the third and provide a good opportunity on the apparent polar wander path. The timing and geo- for fold tests. Rock colour ranged from dark grey to buff chemistry of the alteration suggest that the fluids may have and,less commonly,red-brown.The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x:v>
      </x:c>
    </x:row>
    <x:row r="10" ht="58" customHeight="1">
      <x:c r="A10" s="19" t="str">
        <x:v>3434</x:v>
      </x:c>
      <x:c r="B10" s="19" t="str">
        <x:v>8737</x:v>
      </x:c>
      <x:c r="C10" s="19" t="str">
        <x:v>Gunpowder Creek Formation</x:v>
      </x:c>
      <x:c r="D10" s="19" t="str">
        <x:v>D Component</x:v>
      </x:c>
      <x:c r="E10" s="19" t="str">
        <x:v>282.10001</x:v>
      </x:c>
      <x:c r="F10" s="19" t="str">
        <x:v>-1.1</x:v>
      </x:c>
      <x:c r="G10" s="19" t="str">
        <x:v>-11.6</x:v>
      </x:c>
      <x:c r="H10" s="19" t="str">
        <x:v>232.89999</x:v>
      </x:c>
      <x:c r="I10" s="19" t="str">
        <x:v>ABSTAIN_IDENTITY</x:v>
      </x:c>
      <x:c r="J10" s="19" t="str">
        <x:v>ABSTAIN_INSUFFICIENT</x:v>
      </x:c>
      <x:c r="K10" s="19" t="str"/>
      <x:c r="L10" s="19" t="str"/>
      <x:c r="M10" s="19" t="n">
        <x:v>1</x:v>
      </x:c>
      <x:c r="N10" s="19" t="n">
        <x:v>1</x:v>
      </x:c>
      <x:c r="O10" s="19" t="str">
        <x:v>PAPER_ROW_MATCH</x:v>
      </x:c>
      <x:c r="P10" s="19" t="str">
        <x:v>15, 12, 14, 16</x:v>
      </x:c>
      <x:c r="Q10" s="19" t="str">
        <x:v>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 | 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x:v>
      </x:c>
    </x:row>
    <x:row r="11" ht="58" customHeight="1">
      <x:c r="A11" s="19" t="str">
        <x:v>3774</x:v>
      </x:c>
      <x:c r="B11" s="19" t="str">
        <x:v>9410</x:v>
      </x:c>
      <x:c r="C11" s="19" t="str">
        <x:v>Modipe Gabbro</x:v>
      </x:c>
      <x:c r="D11" s="19" t="str"/>
      <x:c r="E11" s="19" t="str">
        <x:v>192</x:v>
      </x:c>
      <x:c r="F11" s="19" t="str">
        <x:v>70</x:v>
      </x:c>
      <x:c r="G11" s="19" t="str">
        <x:v>59.400002</x:v>
      </x:c>
      <x:c r="H11" s="19" t="str">
        <x:v>192.3</x:v>
      </x:c>
      <x:c r="I11" s="19" t="str">
        <x:v>ABSTAIN_IDENTITY</x:v>
      </x:c>
      <x:c r="J11" s="19" t="str">
        <x:v>PRESENT</x:v>
      </x:c>
      <x:c r="K11" s="19" t="str">
        <x:v>HYST,FORC(PSD/SD MAGN)</x:v>
      </x:c>
      <x:c r="L11" s="19" t="str"/>
      <x:c r="M11" s="19" t="n">
        <x:v>0</x:v>
      </x:c>
      <x:c r="N11" s="19" t="n">
        <x:v>0</x:v>
      </x:c>
      <x:c r="O11" s="19" t="str">
        <x:v>PAPER_ROW_MATCH</x:v>
      </x:c>
      <x:c r="P11" s="19" t="str">
        <x:v>3, 8, 1, 4, 2</x:v>
      </x:c>
      <x:c r="Q11" s="19" t="str">
        <x:v>hysteresis | Hysteresis | FORC | Indeed, and7 Cresults.Anexamplefrom eachcategoryis occasional large magnetite grains are present in the shown in Figure 6, and the results for all 25 speci- Modipe Gabbro [Evans et al., 1968].</x:v>
      </x:c>
    </x:row>
    <x:row r="12" ht="58" customHeight="1">
      <x:c r="A12" s="19" t="str">
        <x:v>3774</x:v>
      </x:c>
      <x:c r="B12" s="19" t="str">
        <x:v>9411</x:v>
      </x:c>
      <x:c r="C12" s="19" t="str">
        <x:v>Modipe Gabbro</x:v>
      </x:c>
      <x:c r="D12" s="19" t="str">
        <x:v>Combined result</x:v>
      </x:c>
      <x:c r="E12" s="19" t="str">
        <x:v>165.10001</x:v>
      </x:c>
      <x:c r="F12" s="19" t="str">
        <x:v>84.099998</x:v>
      </x:c>
      <x:c r="G12" s="19" t="str">
        <x:v>35.400002</x:v>
      </x:c>
      <x:c r="H12" s="19" t="str">
        <x:v>209.8</x:v>
      </x:c>
      <x:c r="I12" s="19" t="str">
        <x:v>ABSTAIN_IDENTITY</x:v>
      </x:c>
      <x:c r="J12" s="19" t="str">
        <x:v>PRESENT</x:v>
      </x:c>
      <x:c r="K12" s="19" t="str">
        <x:v>HYST,FORC(PSD/SD MAGN)</x:v>
      </x:c>
      <x:c r="L12" s="19" t="str">
        <x:v>IRM(sat.0.3T),OP(fine MAGN - see REFNO 605),Hc(45mT)</x:v>
      </x:c>
      <x:c r="M12" s="19" t="n">
        <x:v>1</x:v>
      </x:c>
      <x:c r="N12" s="19" t="n">
        <x:v>1</x:v>
      </x:c>
      <x:c r="O12" s="19" t="str">
        <x:v>METADATA_UNIQUE</x:v>
      </x:c>
      <x:c r="P12" s="19" t="str">
        <x:v>3, 8, 1, 4</x:v>
      </x:c>
      <x:c r="Q12" s="19" t="str">
        <x:v>hysteresis | Hysteresis | FORC | Indeed, and7 Cresults.Anexamplefrom eachcategoryis occasional large magnetite grains are present in the shown in Figure 6, and the results for all 25 speci- Modipe Gabbro [Evans et al., 1968].</x:v>
      </x:c>
    </x:row>
    <x:row r="13" ht="58" customHeight="1">
      <x:c r="A13" s="19" t="str">
        <x:v>4298</x:v>
      </x:c>
      <x:c r="B13" s="19" t="str">
        <x:v>10190</x:v>
      </x:c>
      <x:c r="C13" s="19" t="str">
        <x:v>Visean Sediments</x:v>
      </x:c>
      <x:c r="D13" s="19" t="str">
        <x:v>Component P</x:v>
      </x:c>
      <x:c r="E13" s="19" t="str">
        <x:v>217</x:v>
      </x:c>
      <x:c r="F13" s="19" t="str">
        <x:v>-54</x:v>
      </x:c>
      <x:c r="G13" s="19" t="str">
        <x:v>56</x:v>
      </x:c>
      <x:c r="H13" s="19" t="str">
        <x:v>152</x:v>
      </x:c>
      <x:c r="I13" s="19" t="str">
        <x:v>ABSTAIN_IDENTITY</x:v>
      </x:c>
      <x:c r="J13" s="19" t="str">
        <x:v>PRESENT</x:v>
      </x:c>
      <x:c r="K13" s="19" t="str">
        <x:v>OP(HEM,MAGN)</x:v>
      </x:c>
      <x:c r="L13" s="19" t="str">
        <x:v>OP,SUSC-T(HEM)</x:v>
      </x:c>
      <x:c r="M13" s="19" t="n">
        <x:v>1</x:v>
      </x:c>
      <x:c r="N13" s="19" t="n">
        <x:v>1</x:v>
      </x:c>
      <x:c r="O13" s="19" t="str">
        <x:v>PAPER_ROW_MATCH</x:v>
      </x:c>
      <x:c r="P13" s="19" t="str">
        <x:v>6, 5, 7, 9</x:v>
      </x:c>
      <x:c r="Q13" s="19" t="str">
        <x:v>thin section | time of formation of clay deposits and subsequently the studied limestones (Visean/Serpukhovian bound- The structural features of hematite are very diverse ary and the beginning of the Serpukhovian Age) is and depend on the conditions in which hematite is marked by a change of the predominantly shallow sea formed. | hematite | Hematite</x:v>
      </x:c>
    </x:row>
    <x:row r="14" ht="58" customHeight="1">
      <x:c r="A14" s="19" t="str">
        <x:v>4298</x:v>
      </x:c>
      <x:c r="B14" s="19" t="str">
        <x:v>10191</x:v>
      </x:c>
      <x:c r="C14" s="19" t="str">
        <x:v>Visean Sediments</x:v>
      </x:c>
      <x:c r="D14" s="19" t="str">
        <x:v>Component C1</x:v>
      </x:c>
      <x:c r="E14" s="19" t="str">
        <x:v>225</x:v>
      </x:c>
      <x:c r="F14" s="19" t="str">
        <x:v>-20</x:v>
      </x:c>
      <x:c r="G14" s="19" t="str">
        <x:v>31</x:v>
      </x:c>
      <x:c r="H14" s="19" t="str">
        <x:v>160</x:v>
      </x:c>
      <x:c r="I14" s="19" t="str">
        <x:v>ABSTAIN_IDENTITY</x:v>
      </x:c>
      <x:c r="J14" s="19" t="str">
        <x:v>PRESENT</x:v>
      </x:c>
      <x:c r="K14" s="19" t="str">
        <x:v>OP(HEM,MAGN)</x:v>
      </x:c>
      <x:c r="L14" s="19" t="str">
        <x:v>OP,SUSC-T(HEM)</x:v>
      </x:c>
      <x:c r="M14" s="19" t="n">
        <x:v>1</x:v>
      </x:c>
      <x:c r="N14" s="19" t="n">
        <x:v>1</x:v>
      </x:c>
      <x:c r="O14" s="19" t="str">
        <x:v>PAPER_ROW_MATCH</x:v>
      </x:c>
      <x:c r="P14" s="19" t="str">
        <x:v>6, 5, 7, 9, 10</x:v>
      </x:c>
      <x:c r="Q14" s="19" t="str">
        <x:v>thin section | time of formation of clay deposits and subsequently the studied limestones (Visean/Serpukhovian bound- The structural features of hematite are very diverse ary and the beginning of the Serpukhovian Age) is and depend on the conditions in which hematite is marked by a change of the predominantly shallow sea formed. | hematite | Hematite</x:v>
      </x:c>
    </x:row>
    <x:row r="15" ht="58" customHeight="1">
      <x:c r="A15" s="19" t="str">
        <x:v>4298</x:v>
      </x:c>
      <x:c r="B15" s="19" t="str">
        <x:v>10192</x:v>
      </x:c>
      <x:c r="C15" s="19" t="str">
        <x:v>Visean Sediments, Priksha River</x:v>
      </x:c>
      <x:c r="D15" s="19" t="str">
        <x:v>Component P</x:v>
      </x:c>
      <x:c r="E15" s="19" t="str">
        <x:v>39</x:v>
      </x:c>
      <x:c r="F15" s="19" t="str">
        <x:v>51</x:v>
      </x:c>
      <x:c r="G15" s="19" t="str">
        <x:v>53</x:v>
      </x:c>
      <x:c r="H15" s="19" t="str">
        <x:v>152</x:v>
      </x:c>
      <x:c r="I15" s="19" t="str">
        <x:v>ABSTAIN_IDENTITY</x:v>
      </x:c>
      <x:c r="J15" s="19" t="str">
        <x:v>PRESENT</x:v>
      </x:c>
      <x:c r="K15" s="19" t="str">
        <x:v>SUSC-T,OP(MAGN,HEM)</x:v>
      </x:c>
      <x:c r="L15" s="19" t="str">
        <x:v>OP,SUSC-T(HEM)</x:v>
      </x:c>
      <x:c r="M15" s="19" t="n">
        <x:v>1</x:v>
      </x:c>
      <x:c r="N15" s="19" t="n">
        <x:v>1</x:v>
      </x:c>
      <x:c r="O15" s="19" t="str">
        <x:v>PAPER_ROW_MATCH</x:v>
      </x:c>
      <x:c r="P15" s="19" t="str">
        <x:v>6, 4, 5, 9, 11</x:v>
      </x:c>
      <x:c r="Q15" s="19" t="str">
        <x:v>thin section | temperature depen- point of 560–580°C probably corresponding to non- dence of the magnetic susceptibility | thin section | magnetite</x:v>
      </x:c>
    </x:row>
    <x:row r="16" ht="58" customHeight="1">
      <x:c r="A16" s="19" t="str">
        <x:v>4298</x:v>
      </x:c>
      <x:c r="B16" s="19" t="str">
        <x:v>10193</x:v>
      </x:c>
      <x:c r="C16" s="19" t="str">
        <x:v>Visean Sediments, Priksha River</x:v>
      </x:c>
      <x:c r="D16" s="19" t="str">
        <x:v>Component P</x:v>
      </x:c>
      <x:c r="E16" s="19" t="str">
        <x:v>218</x:v>
      </x:c>
      <x:c r="F16" s="19" t="str">
        <x:v>-43</x:v>
      </x:c>
      <x:c r="G16" s="19" t="str">
        <x:v>47</x:v>
      </x:c>
      <x:c r="H16" s="19" t="str">
        <x:v>158</x:v>
      </x:c>
      <x:c r="I16" s="19" t="str">
        <x:v>ABSTAIN_IDENTITY</x:v>
      </x:c>
      <x:c r="J16" s="19" t="str">
        <x:v>PRESENT</x:v>
      </x:c>
      <x:c r="K16" s="19" t="str">
        <x:v>SUSC-T,OP(MAGN,HEM)</x:v>
      </x:c>
      <x:c r="L16" s="19" t="str">
        <x:v>OP,SUSC-T(HEM)</x:v>
      </x:c>
      <x:c r="M16" s="19" t="n">
        <x:v>1</x:v>
      </x:c>
      <x:c r="N16" s="19" t="n">
        <x:v>1</x:v>
      </x:c>
      <x:c r="O16" s="19" t="str">
        <x:v>PAPER_ROW_MATCH</x:v>
      </x:c>
      <x:c r="P16" s="19" t="str">
        <x:v>6, 4, 5, 9, 11</x:v>
      </x:c>
      <x:c r="Q16" s="19" t="str">
        <x:v>thin section | temperature depen- point of 560–580°C probably corresponding to non- dence of the magnetic susceptibility | thin section | magnetite</x:v>
      </x:c>
    </x:row>
    <x:row r="17" ht="58" customHeight="1">
      <x:c r="A17" s="19" t="str">
        <x:v>4298</x:v>
      </x:c>
      <x:c r="B17" s="19" t="str">
        <x:v>10194</x:v>
      </x:c>
      <x:c r="C17" s="19" t="str">
        <x:v>Visean Sediments, Priksha River</x:v>
      </x:c>
      <x:c r="D17" s="19" t="str">
        <x:v>Component C1</x:v>
      </x:c>
      <x:c r="E17" s="19" t="str">
        <x:v>222</x:v>
      </x:c>
      <x:c r="F17" s="19" t="str">
        <x:v>-15</x:v>
      </x:c>
      <x:c r="G17" s="19" t="str">
        <x:v>30</x:v>
      </x:c>
      <x:c r="H17" s="19" t="str">
        <x:v>164</x:v>
      </x:c>
      <x:c r="I17" s="19" t="str">
        <x:v>ABSTAIN_IDENTITY</x:v>
      </x:c>
      <x:c r="J17" s="19" t="str">
        <x:v>PRESENT</x:v>
      </x:c>
      <x:c r="K17" s="19" t="str">
        <x:v>SUSC-T,OP(MAGN,HEM)</x:v>
      </x:c>
      <x:c r="L17" s="19" t="str">
        <x:v>OP,SUSC-T(HEM)</x:v>
      </x:c>
      <x:c r="M17" s="19" t="n">
        <x:v>1</x:v>
      </x:c>
      <x:c r="N17" s="19" t="n">
        <x:v>1</x:v>
      </x:c>
      <x:c r="O17" s="19" t="str">
        <x:v>PAPER_ROW_MATCH</x:v>
      </x:c>
      <x:c r="P17" s="19" t="str">
        <x:v>6, 4, 5, 2, 9, 11</x:v>
      </x:c>
      <x:c r="Q17" s="19" t="str">
        <x:v>thin section | temperature depen- point of 560–580°C probably corresponding to non- dence of the magnetic susceptibility | thin section | magnetite</x:v>
      </x:c>
    </x:row>
  </x:sheetData>
  <x:conditionalFormatting sqref="M2:N17">
    <x:cfRule type="cellIs" dxfId="10" priority="1" operator="equal">
      <x:formula>1</x:formula>
    </x:cfRule>
    <x:cfRule type="cellIs" dxfId="11" priority="2" operator="equal">
      <x:formula>0</x:formula>
    </x:cfRule>
  </x:conditionalFormatting>
  <x:pageMargins left="0.7" right="0.7" top="0.75" bottom="0.75" header="0.3" footer="0.3"/>
  <x:tableParts count="1">
    <x:tablePart xmlns:r="http://schemas.openxmlformats.org/officeDocument/2006/relationships" r:id="Rda495c49c1a0472b"/>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34" hidden="0" customWidth="1"/>
    <x:col min="4" max="4" width="20" hidden="0" customWidth="1"/>
    <x:col min="5" max="5" width="24" hidden="0" customWidth="1"/>
    <x:col min="6" max="6" width="24" hidden="0" customWidth="1"/>
    <x:col min="7" max="7" width="24" hidden="0" customWidth="1"/>
    <x:col min="8" max="8" width="18" hidden="0" customWidth="1"/>
    <x:col min="9" max="9" width="18" hidden="0" customWidth="1"/>
    <x:col min="10" max="10" width="18" hidden="0" customWidth="1"/>
    <x:col min="11" max="11" width="76" hidden="0" customWidth="1"/>
    <x:col min="12" max="12" width="48" hidden="0" customWidth="1"/>
  </x:cols>
  <x:sheetData>
    <x:row r="1" ht="30" customHeight="1">
      <x:c r="A1" s="21" t="str">
        <x:v>REFNO</x:v>
      </x:c>
      <x:c r="B1" s="21" t="str">
        <x:v>RESULTNO</x:v>
      </x:c>
      <x:c r="C1" s="21" t="str">
        <x:v>ROCKNAME</x:v>
      </x:c>
      <x:c r="D1" s="21" t="str">
        <x:v>COMPONENT</x:v>
      </x:c>
      <x:c r="E1" s="21" t="str">
        <x:v>STATUS</x:v>
      </x:c>
      <x:c r="F1" s="21" t="str">
        <x:v>PREDICTED_ROCKMAG</x:v>
      </x:c>
      <x:c r="G1" s="21" t="str">
        <x:v>LOCATOR_RESOLUTION</x:v>
      </x:c>
      <x:c r="H1" s="21" t="str">
        <x:v>CATEGORY</x:v>
      </x:c>
      <x:c r="I1" s="21" t="str">
        <x:v>PAGE</x:v>
      </x:c>
      <x:c r="J1" s="21" t="str">
        <x:v>TARGET_BINDING</x:v>
      </x:c>
      <x:c r="K1" s="21" t="str">
        <x:v>QUOTE</x:v>
      </x:c>
      <x:c r="L1" s="21" t="str">
        <x:v>SOURCE_TEXT</x:v>
      </x:c>
    </x:row>
    <x:row r="2" ht="52" customHeight="1">
      <x:c r="A2" s="19" t="str">
        <x:v>1152</x:v>
      </x:c>
      <x:c r="B2" s="19" t="str">
        <x:v>29</x:v>
      </x:c>
      <x:c r="C2" s="19" t="str">
        <x:v>Armorican redbeds</x:v>
      </x:c>
      <x:c r="D2" s="19" t="str">
        <x:v>C component</x:v>
      </x:c>
      <x:c r="E2" s="19" t="str">
        <x:v>PRESENT</x:v>
      </x:c>
      <x:c r="F2" s="19" t="str">
        <x:v>IRM,SUSC-T(HEM)</x:v>
      </x:c>
      <x:c r="G2" s="19" t="str">
        <x:v>PAPER_ROW_MATCH</x:v>
      </x:c>
      <x:c r="H2" s="19" t="str">
        <x:v>diagnostic</x:v>
      </x:c>
      <x:c r="I2" s="19" t="n">
        <x:v>7</x:v>
      </x:c>
      <x:c r="J2" s="19" t="str">
        <x:v>locator_component_context</x:v>
      </x:c>
      <x:c r="K2" s="19" t="str">
        <x:v>eaning temperatures suggested by Briden's (1972) stability index (100-200°C) removes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x:v>
      </x:c>
      <x:c r="L2" s="19" t="str">
        <x:v>/Users/lihd/discovery/paleomagnetic-r3-workflow/dist/paleomagnetic-r357-calibrated-workflow-full/data/parsed_mds/1152.txt</x:v>
      </x:c>
    </x:row>
    <x:row r="3" ht="52" customHeight="1">
      <x:c r="A3" s="19" t="str">
        <x:v>1152</x:v>
      </x:c>
      <x:c r="B3" s="19" t="str">
        <x:v>29</x:v>
      </x:c>
      <x:c r="C3" s="19" t="str">
        <x:v>Armorican redbeds</x:v>
      </x:c>
      <x:c r="D3" s="19" t="str">
        <x:v>C component</x:v>
      </x:c>
      <x:c r="E3" s="19" t="str">
        <x:v>PRESENT</x:v>
      </x:c>
      <x:c r="F3" s="19" t="str">
        <x:v>IRM,SUSC-T(HEM)</x:v>
      </x:c>
      <x:c r="G3" s="19" t="str">
        <x:v>PAPER_ROW_MATCH</x:v>
      </x:c>
      <x:c r="H3" s="19" t="str">
        <x:v>diagnostic</x:v>
      </x:c>
      <x:c r="I3" s="19" t="n">
        <x:v>7</x:v>
      </x:c>
      <x:c r="J3" s="19" t="str">
        <x:v>locator_component_context</x:v>
      </x:c>
      <x:c r="K3" s="19" t="str">
        <x:v>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carrying component B3 is acid soluble in some sites (e.g. Fig. 5(g)) but not in others (Fig. 5(h)). Component C has the highest Downloaded from https://academic.oup.com/gji/article/59/2/345/645148 by Curtin University Library user on 21 August 2020</x:v>
      </x:c>
      <x:c r="L3" s="19" t="str">
        <x:v>/Users/lihd/discovery/paleomagnetic-r3-workflow/dist/paleomagnetic-r357-calibrated-workflow-full/data/parsed_mds/1152.txt</x:v>
      </x:c>
    </x:row>
    <x:row r="4" ht="52" customHeight="1">
      <x:c r="A4" s="19" t="str">
        <x:v>1152</x:v>
      </x:c>
      <x:c r="B4" s="19" t="str">
        <x:v>29</x:v>
      </x:c>
      <x:c r="C4" s="19" t="str">
        <x:v>Armorican redbeds</x:v>
      </x:c>
      <x:c r="D4" s="19" t="str">
        <x:v>C component</x:v>
      </x:c>
      <x:c r="E4" s="19" t="str">
        <x:v>PRESENT</x:v>
      </x:c>
      <x:c r="F4" s="19" t="str">
        <x:v>IRM,SUSC-T(HEM)</x:v>
      </x:c>
      <x:c r="G4" s="19" t="str">
        <x:v>PAPER_ROW_MATCH</x:v>
      </x:c>
      <x:c r="H4" s="19" t="str">
        <x:v>carrier</x:v>
      </x:c>
      <x:c r="I4" s="19" t="n">
        <x:v>10</x:v>
      </x:c>
      <x:c r="J4" s="19" t="str">
        <x:v>locator_component_context</x:v>
      </x:c>
      <x:c r="K4" s="19" t="str">
        <x:v>the vector subtraction (B1 + B2) - B2 (Table 4). 1.5 ORIGINS OF THE VARIOUS COMPONENTS 1.5.1 Component A The theoretical blocking temperature curves for hematite (Pullaiah et al. 1975) suggest that magnetizations with blocking temperatures less than 15OoC can be unblocked and remag- netized in less than a day at room temperature. Component A is probably therefore of recent viscous origin, and this is consistent with a storage test which showed that many specimens changed their direction and intensity of total NRM over a period of a few months. 1.5.2 Components B3, BI and B2 The maximum blocking temperatures of component B3 (in sites with type 1 NRM) of 400-5OO0C reflect the extent to which component C with higher blocking temperatures Downloaded from https://academic.oup.com/gji/article/59/2/345/645148 by Curtin University Library user on 21 August 2020</x:v>
      </x:c>
      <x:c r="L4" s="19" t="str">
        <x:v>/Users/lihd/discovery/paleomagnetic-r3-workflow/dist/paleomagnetic-r357-calibrated-workflow-full/data/parsed_mds/1152.txt</x:v>
      </x:c>
    </x:row>
    <x:row r="5" ht="52" customHeight="1">
      <x:c r="A5" s="19" t="str">
        <x:v>1152</x:v>
      </x:c>
      <x:c r="B5" s="19" t="str">
        <x:v>29</x:v>
      </x:c>
      <x:c r="C5" s="19" t="str">
        <x:v>Armorican redbeds</x:v>
      </x:c>
      <x:c r="D5" s="19" t="str">
        <x:v>C component</x:v>
      </x:c>
      <x:c r="E5" s="19" t="str">
        <x:v>PRESENT</x:v>
      </x:c>
      <x:c r="F5" s="19" t="str">
        <x:v>IRM,SUSC-T(HEM)</x:v>
      </x:c>
      <x:c r="G5" s="19" t="str">
        <x:v>PAPER_ROW_MATCH</x:v>
      </x:c>
      <x:c r="H5" s="19" t="str">
        <x:v>carrier</x:v>
      </x:c>
      <x:c r="I5" s="19" t="n">
        <x:v>11</x:v>
      </x:c>
      <x:c r="J5" s="19" t="str">
        <x:v>locator_component_context</x:v>
      </x:c>
      <x:c r="K5" s="19" t="str">
        <x:v>Palaeomagnetism of the Amorican Massif 355 w *+ SPECIMENS WITH TYPE 1 NRM: Component C (dip corrected) determined by 300 thermal (0)a nd acid (+) demagnetization H Component 83 (dip corrected) SPECIMENS WITH TYPE 2 NRM: A&amp; 61 in situ t v 81 dip corrected b 0 82 In SltU (3 82 dtp corrected w c 1' I I I I I I I C + l ! ' l I I I I -/I00 I 5 Figure 6. Directions of components B3 and C from specimens with type I NRM, and of components B1 and B2 from specimens with type 2 NRM.T he circles of 95 per cent confidence for the overall means of seven site mean directions are shown for B3 and C. Dashed tie lies connect B1 and B2 directions from a single specimen; the arrow is toward B2. Closed symbols: downward directions; open symbols: upward directions (stereographic projections). has been overprinted by conponent B3 (Fig. 5). The blocking curves for hematite (Pullaiah et al. 1975) imply that temp</x:v>
      </x:c>
      <x:c r="L5" s="19" t="str">
        <x:v>/Users/lihd/discovery/paleomagnetic-r3-workflow/dist/paleomagnetic-r357-calibrated-workflow-full/data/parsed_mds/1152.txt</x:v>
      </x:c>
    </x:row>
    <x:row r="6" ht="52" customHeight="1">
      <x:c r="A6" s="19" t="str">
        <x:v>1152</x:v>
      </x:c>
      <x:c r="B6" s="19" t="str">
        <x:v>29</x:v>
      </x:c>
      <x:c r="C6" s="19" t="str">
        <x:v>Armorican redbeds</x:v>
      </x:c>
      <x:c r="D6" s="19" t="str">
        <x:v>C component</x:v>
      </x:c>
      <x:c r="E6" s="19" t="str">
        <x:v>PRESENT</x:v>
      </x:c>
      <x:c r="F6" s="19" t="str">
        <x:v>IRM,SUSC-T(HEM)</x:v>
      </x:c>
      <x:c r="G6" s="19" t="str">
        <x:v>PAPER_ROW_MATCH</x:v>
      </x:c>
      <x:c r="H6" s="19" t="str">
        <x:v>carrier</x:v>
      </x:c>
      <x:c r="I6" s="19" t="n">
        <x:v>11</x:v>
      </x:c>
      <x:c r="J6" s="19" t="str">
        <x:v>locator_component_context</x:v>
      </x:c>
      <x:c r="K6" s="19" t="str">
        <x:v>5 Figure 6. Directions of components B3 and C from specimens with type I NRM, and of components B1 and B2 from specimens with type 2 NRM.T he circles of 95 per cent confidence for the overall means of seven site mean directions are shown for B3 and C. Dashed tie lies connect B1 and B2 directions from a single specimen; the arrow is toward B2. Closed symbols: downward directions; open symbols: upward directions (stereographic projections). has been overprinted by conponent B3 (Fig. 5). The blocking curves for hematite (Pullaiah et al. 1975) imply that temperatures of about 200°C (burial metamorphic facies) over a prolonged period (&gt; 1 1.4yr) would have been sufficient to partially overprint component C in type 1 sites, and for B3 to have been acquired as a viscous PTRM. Component B3 was probably therefore stabilized on uplift after acquisition during burial. In some speci- mens, B3 occupi</x:v>
      </x:c>
      <x:c r="L6" s="19" t="str">
        <x:v>/Users/lihd/discovery/paleomagnetic-r3-workflow/dist/paleomagnetic-r357-calibrated-workflow-full/data/parsed_mds/1152.txt</x:v>
      </x:c>
    </x:row>
    <x:row r="7" ht="52" customHeight="1">
      <x:c r="A7" s="19" t="str">
        <x:v>1152</x:v>
      </x:c>
      <x:c r="B7" s="19" t="str">
        <x:v>29</x:v>
      </x:c>
      <x:c r="C7" s="19" t="str">
        <x:v>Armorican redbeds</x:v>
      </x:c>
      <x:c r="D7" s="19" t="str">
        <x:v>C component</x:v>
      </x:c>
      <x:c r="E7" s="19" t="str">
        <x:v>PRESENT</x:v>
      </x:c>
      <x:c r="F7" s="19" t="str">
        <x:v>IRM,SUSC-T(HEM)</x:v>
      </x:c>
      <x:c r="G7" s="19" t="str">
        <x:v>PAPER_ROW_MATCH</x:v>
      </x:c>
      <x:c r="H7" s="19" t="str">
        <x:v>carrier</x:v>
      </x:c>
      <x:c r="I7" s="19" t="n">
        <x:v>13</x:v>
      </x:c>
      <x:c r="J7" s="19" t="str">
        <x:v>locator_component_context</x:v>
      </x:c>
      <x:c r="K7" s="19" t="str">
        <x:v>tions of the Cbtes-du-Nord redbeds about vertical axes. Coherent rotations about a Euler axis in or near Europe however, is consistent with results from the Bohemian Massif (Birkenmajer, Krs &amp; Nairn 1968) and with Carboni- ferous palaeomagnetic pole positions from elsewhere in Europe (Duff 1978b). It suggests that if components B 1 and B2 have been correctly separated, they must have been acquired at least partly during rotation to explain the great variability in their declination difference (either in situ or dip-corrected). Coherent rotation could be consistent with the variable easterly or westerly declination of B2 relative to B1 if these components were of variable relative age. 1.5.3 Component C Comparison of the maximum blocking temperatures of component C (about 600-650°C) with the theoretical blocking curves for hematite (Pullaiah et al. 1975) implies that the redbeds would hav</x:v>
      </x:c>
      <x:c r="L7" s="19" t="str">
        <x:v>/Users/lihd/discovery/paleomagnetic-r3-workflow/dist/paleomagnetic-r357-calibrated-workflow-full/data/parsed_mds/1152.txt</x:v>
      </x:c>
    </x:row>
    <x:row r="8" ht="52" customHeight="1">
      <x:c r="A8" s="19" t="str">
        <x:v>1152</x:v>
      </x:c>
      <x:c r="B8" s="19" t="str">
        <x:v>29</x:v>
      </x:c>
      <x:c r="C8" s="19" t="str">
        <x:v>Armorican redbeds</x:v>
      </x:c>
      <x:c r="D8" s="19" t="str">
        <x:v>C component</x:v>
      </x:c>
      <x:c r="E8" s="19" t="str">
        <x:v>PRESENT</x:v>
      </x:c>
      <x:c r="F8" s="19" t="str">
        <x:v>IRM,SUSC-T(HEM)</x:v>
      </x:c>
      <x:c r="G8" s="19" t="str">
        <x:v>PAPER_ROW_MATCH</x:v>
      </x:c>
      <x:c r="H8" s="19" t="str">
        <x:v>carrier</x:v>
      </x:c>
      <x:c r="I8" s="19" t="n">
        <x:v>13</x:v>
      </x:c>
      <x:c r="J8" s="19" t="str">
        <x:v>locator_component_context</x:v>
      </x:c>
      <x:c r="K8" s="19" t="str">
        <x:v>t rotations about a Euler axis in or near Europe however, is consistent with results from the Bohemian Massif (Birkenmajer, Krs &amp; Nairn 1968) and with Carboni- ferous palaeomagnetic pole positions from elsewhere in Europe (Duff 1978b). It suggests that if components B 1 and B2 have been correctly separated, they must have been acquired at least partly during rotation to explain the great variability in their declination difference (either in situ or dip-corrected). Coherent rotation could be consistent with the variable easterly or westerly declination of B2 relative to B1 if these components were of variable relative age. 1.5.3 Component C Comparison of the maximum blocking temperatures of component C (about 600-650°C) with the theoretical blocking curves for hematite (Pullaiah et al. 1975) implies that the redbeds would have had to have been heated to greater than 500°C for a sustained</x:v>
      </x:c>
      <x:c r="L8" s="19" t="str">
        <x:v>/Users/lihd/discovery/paleomagnetic-r3-workflow/dist/paleomagnetic-r357-calibrated-workflow-full/data/parsed_mds/1152.txt</x:v>
      </x:c>
    </x:row>
    <x:row r="9" ht="52" customHeight="1">
      <x:c r="A9" s="19" t="str">
        <x:v>1152</x:v>
      </x:c>
      <x:c r="B9" s="19" t="str">
        <x:v>29</x:v>
      </x:c>
      <x:c r="C9" s="19" t="str">
        <x:v>Armorican redbeds</x:v>
      </x:c>
      <x:c r="D9" s="19" t="str">
        <x:v>C component</x:v>
      </x:c>
      <x:c r="E9" s="19" t="str">
        <x:v>PRESENT</x:v>
      </x:c>
      <x:c r="F9" s="19" t="str">
        <x:v>IRM,SUSC-T(HEM)</x:v>
      </x:c>
      <x:c r="G9" s="19" t="str">
        <x:v>PAPER_ROW_MATCH</x:v>
      </x:c>
      <x:c r="H9" s="19" t="str">
        <x:v>method</x:v>
      </x:c>
      <x:c r="I9" s="19" t="n">
        <x:v>14</x:v>
      </x:c>
      <x:c r="J9" s="19" t="str">
        <x:v>locator_component_context</x:v>
      </x:c>
      <x:c r="K9" s="19" t="str">
        <x:v>lower values, so that the bulk of IRM resides in the range 0-600 mT (Fig. 8). This implies that the harder IRM in the red shales is carried by the red pigment leached out by acid, and that residual specularite probably carries the bulk of IRM in the leached specimen. These results are consistent with high field thermomagnetic analyses and imply that NRM in the red shale is carried by pure hematite, which is present both as pigment and specularite. Although the pigment is magnetically harder that the specularite, thermal de- magnetization in conjunction with acid leaching suggests that most of the pigment has lower blocking temperatures than the specularite. Concurrence of endpoints with the component C direction after both acid and thermal demagnetization, and the similar leaching and thermal demagnetization trends imply that components A and B3 are carried by soluble hematite pigment, a</x:v>
      </x:c>
      <x:c r="L9" s="19" t="str">
        <x:v>/Users/lihd/discovery/paleomagnetic-r3-workflow/dist/paleomagnetic-r357-calibrated-workflow-full/data/parsed_mds/1152.txt</x:v>
      </x:c>
    </x:row>
    <x:row r="10" ht="52" customHeight="1">
      <x:c r="A10" s="19" t="str">
        <x:v>1152</x:v>
      </x:c>
      <x:c r="B10" s="19" t="str">
        <x:v>29</x:v>
      </x:c>
      <x:c r="C10" s="19" t="str">
        <x:v>Armorican redbeds</x:v>
      </x:c>
      <x:c r="D10" s="19" t="str">
        <x:v>C component</x:v>
      </x:c>
      <x:c r="E10" s="19" t="str">
        <x:v>PRESENT</x:v>
      </x:c>
      <x:c r="F10" s="19" t="str">
        <x:v>IRM,SUSC-T(HEM)</x:v>
      </x:c>
      <x:c r="G10" s="19" t="str">
        <x:v>PAPER_ROW_MATCH</x:v>
      </x:c>
      <x:c r="H10" s="19" t="str">
        <x:v>carrier</x:v>
      </x:c>
      <x:c r="I10" s="19" t="n">
        <x:v>15</x:v>
      </x:c>
      <x:c r="J10" s="19" t="str">
        <x:v>locator_component_context</x:v>
      </x:c>
      <x:c r="K10" s="19" t="str">
        <x:v>nostic of this process. The specularite may also have crystal- lized during post-depositional processes (Turner &amp; Ixer 1977). Acquisition of CRM associated with authigenic growth of the pigment and specularite from detrital grains is consistent with the absence of a Cambro-Ordovician DRM in the redbed sites. 1.7 MAGNETIZATIONH ISTORY OF THE ARMORICAN REDBEDS The palaeomagnetic results from the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x:v>
      </x:c>
      <x:c r="L10" s="19" t="str">
        <x:v>/Users/lihd/discovery/paleomagnetic-r3-workflow/dist/paleomagnetic-r357-calibrated-workflow-full/data/parsed_mds/1152.txt</x:v>
      </x:c>
    </x:row>
    <x:row r="11" ht="52" customHeight="1">
      <x:c r="A11" s="19" t="str">
        <x:v>1152</x:v>
      </x:c>
      <x:c r="B11" s="19" t="str">
        <x:v>29</x:v>
      </x:c>
      <x:c r="C11" s="19" t="str">
        <x:v>Armorican redbeds</x:v>
      </x:c>
      <x:c r="D11" s="19" t="str">
        <x:v>C component</x:v>
      </x:c>
      <x:c r="E11" s="19" t="str">
        <x:v>PRESENT</x:v>
      </x:c>
      <x:c r="F11" s="19" t="str">
        <x:v>IRM,SUSC-T(HEM)</x:v>
      </x:c>
      <x:c r="G11" s="19" t="str">
        <x:v>PAPER_ROW_MATCH</x:v>
      </x:c>
      <x:c r="H11" s="19" t="str">
        <x:v>locator_component</x:v>
      </x:c>
      <x:c r="I11" s="19" t="n">
        <x:v>8</x:v>
      </x:c>
      <x:c r="J11" s="19" t="str">
        <x:v>result_locator</x:v>
      </x:c>
      <x:c r="K11" s="19" t="str">
        <x:v>352 B. A. Duff 20 40 60 20 40 M lrnmrsim time (days) Immers~mti me (days) Figure 4. Demagnetization of the NRM in some Armorican redbed sites by acid leaching in 10N HC1. The normalized decay of susceptibility and the components removed by varying amounts of leaching are also shown. In Fig. 4a the susceptbility curve refers to specimen 4f. blocking temperature of up to about 600 or 650°C. The critical blocking temperature above which only C is recorded and below which B3 and C have overlapping spectra varies between and within type 1 sites from about 400 to 500°C. The magnetic fraction carrying component C is resistant to acid leaching. Demagnetization trends for type 1 sites are characteristically V shaped (e.g. Fig. 5(a) and (b)). On thermal demagnetization the resultant NRM vector rotates toward the resultant NRM direction (B3 + C) of the two higher blocking temperature components in </x:v>
      </x:c>
      <x:c r="L11" s="19" t="str">
        <x:v>/Users/lihd/discovery/paleomagnetic-r3-workflow/dist/paleomagnetic-r357-calibrated-workflow-full/data/parsed_mds/1152.txt</x:v>
      </x:c>
    </x:row>
    <x:row r="12" ht="52" customHeight="1">
      <x:c r="A12" s="19" t="str">
        <x:v>1152</x:v>
      </x:c>
      <x:c r="B12" s="19" t="str">
        <x:v>29</x:v>
      </x:c>
      <x:c r="C12" s="19" t="str">
        <x:v>Armorican redbeds</x:v>
      </x:c>
      <x:c r="D12" s="19" t="str">
        <x:v>C component</x:v>
      </x:c>
      <x:c r="E12" s="19" t="str">
        <x:v>PRESENT</x:v>
      </x:c>
      <x:c r="F12" s="19" t="str">
        <x:v>IRM,SUSC-T(HEM)</x:v>
      </x:c>
      <x:c r="G12" s="19" t="str">
        <x:v>PAPER_ROW_MATCH</x:v>
      </x:c>
      <x:c r="H12" s="19" t="str">
        <x:v>locator_component</x:v>
      </x:c>
      <x:c r="I12" s="19" t="n">
        <x:v>9</x:v>
      </x:c>
      <x:c r="J12" s="19" t="str">
        <x:v>result_locator</x:v>
      </x:c>
      <x:c r="K12" s="19" t="str">
        <x:v>Palaeomagnetism of the Amorican Massif 353 Table 3. Thermal demagnetization of type 1 NRM in the Armorican redbeds. Site Specimen Resultant B3 + C Component C Component B3 M D I * M D I* M D I* TH 1-2D 4.1 204 53 2.1 274 80 2.6 196 27 1-9C 4.7 205 62 2.2 209 79 2.6 204 48 1-20B 4.0 192 51 1.9 221 64 2.9 179 37 MN1 1-5 7.7 197 20 4.8 237 50 5.4 175 -10 MN2 2- 1 3.0 205 52 0.7 221 58 2.3 206 50 2-4 83 endpoint atD = 210, I = 53 CDlO 10-1 0.6 202 29 0.2 231 63 0.4 215 41 CD26 26-2 4.1 184 36 2.6 113 17t 3.8 227 26 CP 1-11 6.4 218 48 2.8 216 57 3.7 219 41 1-12 6.7 229 44 2.3 226 57 4.5 230 37 CR 4 B3 endpoint at D = 234, I = 39 (227 9)t LV 1-3 3.8 229 31 1.8 217 73 2.7 231 4 (228 5)'t 1-7 3.8 231 29 2.0 218 71 2S 231 -1 SR2 2-4 3.8 223 50 1.6 242 56 3.1 206 43 (197 -7)t 2-7 2.8 202 53 2.4 233 65 0'9 176 5 Notes: Dip corrected directions unless brac</x:v>
      </x:c>
      <x:c r="L12" s="19" t="str">
        <x:v>/Users/lihd/discovery/paleomagnetic-r3-workflow/dist/paleomagnetic-r357-calibrated-workflow-full/data/parsed_mds/1152.txt</x:v>
      </x:c>
    </x:row>
    <x:row r="13" ht="52" customHeight="1">
      <x:c r="A13" s="19" t="str">
        <x:v>1152</x:v>
      </x:c>
      <x:c r="B13" s="19" t="str">
        <x:v>29</x:v>
      </x:c>
      <x:c r="C13" s="19" t="str">
        <x:v>Armorican redbeds</x:v>
      </x:c>
      <x:c r="D13" s="19" t="str">
        <x:v>C component</x:v>
      </x:c>
      <x:c r="E13" s="19" t="str">
        <x:v>PRESENT</x:v>
      </x:c>
      <x:c r="F13" s="19" t="str">
        <x:v>IRM,SUSC-T(HEM)</x:v>
      </x:c>
      <x:c r="G13" s="19" t="str">
        <x:v>PAPER_ROW_MATCH</x:v>
      </x:c>
      <x:c r="H13" s="19" t="str">
        <x:v>locator_component</x:v>
      </x:c>
      <x:c r="I13" s="19" t="n">
        <x:v>11</x:v>
      </x:c>
      <x:c r="J13" s="19" t="str">
        <x:v>result_locator</x:v>
      </x:c>
      <x:c r="K13" s="19" t="str">
        <x:v>Palaeomagnetism of the Amorican Massif 355 w *+ SPECIMENS WITH TYPE 1 NRM: Component C (dip corrected) determined by 300 thermal (0)a nd acid (+) demagnetization H Component 83 (dip corrected) SPECIMENS WITH TYPE 2 NRM: A&amp; 61 in situ t v 81 dip corrected b 0 82 In SltU (3 82 dtp corrected w c 1' I I I I I I I C + l ! ' l I I I I -/I00 I 5 Figure 6. Directions of components B3 and C from specimens with type I NRM, and of components B1 and B2 from specimens with type 2 NRM.T he circles of 95 per cent confidence for the overall means of seven site mean directions are shown for B3 and C. Dashed tie lies connect B1 and B2 directions from a single specimen; the arrow is toward B2. Closed symbols: downward directions; open symbols: upward directions (stereographic projections). has</x:v>
      </x:c>
      <x:c r="L13" s="19" t="str">
        <x:v>/Users/lihd/discovery/paleomagnetic-r3-workflow/dist/paleomagnetic-r357-calibrated-workflow-full/data/parsed_mds/1152.txt</x:v>
      </x:c>
    </x:row>
    <x:row r="14" ht="52" customHeight="1">
      <x:c r="A14" s="19" t="str">
        <x:v>1152</x:v>
      </x:c>
      <x:c r="B14" s="19" t="str">
        <x:v>30</x:v>
      </x:c>
      <x:c r="C14" s="19" t="str">
        <x:v>Armorican redbeds</x:v>
      </x:c>
      <x:c r="D14" s="19" t="str">
        <x:v>B3 component</x:v>
      </x:c>
      <x:c r="E14" s="19" t="str">
        <x:v>PRESENT</x:v>
      </x:c>
      <x:c r="F14" s="19" t="str">
        <x:v>IRM,SUSC-T(HEM)</x:v>
      </x:c>
      <x:c r="G14" s="19" t="str">
        <x:v>PAPER_ROW_MATCH</x:v>
      </x:c>
      <x:c r="H14" s="19" t="str">
        <x:v>carrier</x:v>
      </x:c>
      <x:c r="I14" s="19" t="n">
        <x:v>1</x:v>
      </x:c>
      <x:c r="J14" s="19" t="str">
        <x:v>locator_component_context</x:v>
      </x:c>
      <x:c r="K14" s="19" t="str">
        <x:v>ambro- Ordovician redbeds, the Erquy Spilite Series and the Trt5gasteLPloumanac'h granite complex, Armorican Massif (France and the Channel Islands) B. A. Duff Department ofEarth Sciences, University of Leeds, Leeds LS2 9JT, England Received 1979 April 9; in original form 1978 November 2 Summary. In addition to a component (A) of recent origin, two NRM com- ponents are distinguished in the Cambro-Ordovician redbeds of the Armorican Massif. In most sites other than those from northern Brittany the oldest (C) is probably Silurian or early Devonian, and is mainly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x:v>
      </x:c>
      <x:c r="L14" s="19" t="str">
        <x:v>/Users/lihd/discovery/paleomagnetic-r3-workflow/dist/paleomagnetic-r357-calibrated-workflow-full/data/parsed_mds/1152.txt</x:v>
      </x:c>
    </x:row>
    <x:row r="15" ht="52" customHeight="1">
      <x:c r="A15" s="19" t="str">
        <x:v>1152</x:v>
      </x:c>
      <x:c r="B15" s="19" t="str">
        <x:v>30</x:v>
      </x:c>
      <x:c r="C15" s="19" t="str">
        <x:v>Armorican redbeds</x:v>
      </x:c>
      <x:c r="D15" s="19" t="str">
        <x:v>B3 component</x:v>
      </x:c>
      <x:c r="E15" s="19" t="str">
        <x:v>PRESENT</x:v>
      </x:c>
      <x:c r="F15" s="19" t="str">
        <x:v>IRM,SUSC-T(HEM)</x:v>
      </x:c>
      <x:c r="G15" s="19" t="str">
        <x:v>PAPER_ROW_MATCH</x:v>
      </x:c>
      <x:c r="H15" s="19" t="str">
        <x:v>diagnostic</x:v>
      </x:c>
      <x:c r="I15" s="19" t="n">
        <x:v>7</x:v>
      </x:c>
      <x:c r="J15" s="19" t="str">
        <x:v>locator_component_context</x:v>
      </x:c>
      <x:c r="K15" s="19" t="str">
        <x:v>eaning temperatures suggested by Briden's (1972) stability index (100-200°C) removes a low blocking temperature component A, but fails to separate 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x:v>
      </x:c>
      <x:c r="L15" s="19" t="str">
        <x:v>/Users/lihd/discovery/paleomagnetic-r3-workflow/dist/paleomagnetic-r357-calibrated-workflow-full/data/parsed_mds/1152.txt</x:v>
      </x:c>
    </x:row>
    <x:row r="16" ht="52" customHeight="1">
      <x:c r="A16" s="19" t="str">
        <x:v>1152</x:v>
      </x:c>
      <x:c r="B16" s="19" t="str">
        <x:v>30</x:v>
      </x:c>
      <x:c r="C16" s="19" t="str">
        <x:v>Armorican redbeds</x:v>
      </x:c>
      <x:c r="D16" s="19" t="str">
        <x:v>B3 component</x:v>
      </x:c>
      <x:c r="E16" s="19" t="str">
        <x:v>PRESENT</x:v>
      </x:c>
      <x:c r="F16" s="19" t="str">
        <x:v>IRM,SUSC-T(HEM)</x:v>
      </x:c>
      <x:c r="G16" s="19" t="str">
        <x:v>PAPER_ROW_MATCH</x:v>
      </x:c>
      <x:c r="H16" s="19" t="str">
        <x:v>diagnostic</x:v>
      </x:c>
      <x:c r="I16" s="19" t="n">
        <x:v>7</x:v>
      </x:c>
      <x:c r="J16" s="19" t="str">
        <x:v>locator_component_context</x:v>
      </x:c>
      <x:c r="K16" s="19" t="str">
        <x:v>two or more intermediate and hgh blocking temperature components of the remaining NRM. 1.4 ANALYSIS OF MULTICOMPONENT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carrying component B3 is acid soluble in some sites (e.g. Fig. 5(g)) but not in others (Fig. 5(h)</x:v>
      </x:c>
      <x:c r="L16" s="19" t="str">
        <x:v>/Users/lihd/discovery/paleomagnetic-r3-workflow/dist/paleomagnetic-r357-calibrated-workflow-full/data/parsed_mds/1152.txt</x:v>
      </x:c>
    </x:row>
    <x:row r="17" ht="52" customHeight="1">
      <x:c r="A17" s="19" t="str">
        <x:v>1152</x:v>
      </x:c>
      <x:c r="B17" s="19" t="str">
        <x:v>30</x:v>
      </x:c>
      <x:c r="C17" s="19" t="str">
        <x:v>Armorican redbeds</x:v>
      </x:c>
      <x:c r="D17" s="19" t="str">
        <x:v>B3 component</x:v>
      </x:c>
      <x:c r="E17" s="19" t="str">
        <x:v>PRESENT</x:v>
      </x:c>
      <x:c r="F17" s="19" t="str">
        <x:v>IRM,SUSC-T(HEM)</x:v>
      </x:c>
      <x:c r="G17" s="19" t="str">
        <x:v>PAPER_ROW_MATCH</x:v>
      </x:c>
      <x:c r="H17" s="19" t="str">
        <x:v>diagnostic</x:v>
      </x:c>
      <x:c r="I17" s="19" t="n">
        <x:v>7</x:v>
      </x:c>
      <x:c r="J17" s="19" t="str">
        <x:v>locator_component_context</x:v>
      </x:c>
      <x:c r="K17" s="19" t="str">
        <x:v>ONENT NRM The thermal, acid and af demagnetization trends suggest that two groups of redbed sites with different types of NRM can be distinguished by the different directions of the medium and high blocking temperature (or less soluble or higher remanent-coercivity) components of the NRM. Type 1 NRM is recognized in all sites except those from the Plourivo-BrChec succession and Normandy sites MN3 and LN4, and consists generally of three components A, B3 and C. Component A has low remanent-coercivities (&lt; 20 mT), blocking temperatures less than 150°C and scattered steep directions. Component B3 has intermediate blocking temperatures of 150-400 or 500°C (Fig. 5 (a)-(c)). The fraction carrying component B3 is acid soluble in some sites (e.g. Fig. 5(g)) but not in others (Fig. 5(h)). Component C has the highest Downloaded from https://academic.oup.com/gji/article/59/2/345/645148 by Curtin Un</x:v>
      </x:c>
      <x:c r="L17" s="19" t="str">
        <x:v>/Users/lihd/discovery/paleomagnetic-r3-workflow/dist/paleomagnetic-r357-calibrated-workflow-full/data/parsed_mds/1152.txt</x:v>
      </x:c>
    </x:row>
    <x:row r="18" ht="52" customHeight="1">
      <x:c r="A18" s="19" t="str">
        <x:v>1152</x:v>
      </x:c>
      <x:c r="B18" s="19" t="str">
        <x:v>30</x:v>
      </x:c>
      <x:c r="C18" s="19" t="str">
        <x:v>Armorican redbeds</x:v>
      </x:c>
      <x:c r="D18" s="19" t="str">
        <x:v>B3 component</x:v>
      </x:c>
      <x:c r="E18" s="19" t="str">
        <x:v>PRESENT</x:v>
      </x:c>
      <x:c r="F18" s="19" t="str">
        <x:v>IRM,SUSC-T(HEM)</x:v>
      </x:c>
      <x:c r="G18" s="19" t="str">
        <x:v>PAPER_ROW_MATCH</x:v>
      </x:c>
      <x:c r="H18" s="19" t="str">
        <x:v>carrier</x:v>
      </x:c>
      <x:c r="I18" s="19" t="n">
        <x:v>10</x:v>
      </x:c>
      <x:c r="J18" s="19" t="str">
        <x:v>locator_component_context</x:v>
      </x:c>
      <x:c r="K18" s="19" t="str">
        <x:v>354 B. A. Duff + v[ ' CMO-3 ,..4 + + '[ ' cD*-9 Figure 5. (a) - (f) Thermal demagnetization characteristics of type 1 (a) - (c) and type 2 (d) - (f) multi- component NRM in the Armorican redbeds, showing the correspondence between blocking temperature spectra and directional changes for each component. (g) - (i) Characteristic directional NRM changes during acid leaching of one (h) or more (g) of components A and B3 (or B1 and B2: i). The relative 'solubility' spectra of each component are shown schematically. Closed symbols: downward directions; open symb 01s: upward directions (stereographic projections). (e.g. Fig. 5(i)). Similar declination swings occur during thermal demagnetization of some specimens (e.g. Fig. 5(e) and (0). The direction of component B2 was determined from the endpoints of demagnetization, and the direction of component B1 by the vector subtraction (B1 + B2) - B2 (</x:v>
      </x:c>
      <x:c r="L18" s="19" t="str">
        <x:v>/Users/lihd/discovery/paleomagnetic-r3-workflow/dist/paleomagnetic-r357-calibrated-workflow-full/data/parsed_mds/1152.txt</x:v>
      </x:c>
    </x:row>
    <x:row r="19" ht="52" customHeight="1">
      <x:c r="A19" s="19" t="str">
        <x:v>1152</x:v>
      </x:c>
      <x:c r="B19" s="19" t="str">
        <x:v>30</x:v>
      </x:c>
      <x:c r="C19" s="19" t="str">
        <x:v>Armorican redbeds</x:v>
      </x:c>
      <x:c r="D19" s="19" t="str">
        <x:v>B3 component</x:v>
      </x:c>
      <x:c r="E19" s="19" t="str">
        <x:v>PRESENT</x:v>
      </x:c>
      <x:c r="F19" s="19" t="str">
        <x:v>IRM,SUSC-T(HEM)</x:v>
      </x:c>
      <x:c r="G19" s="19" t="str">
        <x:v>PAPER_ROW_MATCH</x:v>
      </x:c>
      <x:c r="H19" s="19" t="str">
        <x:v>carrier</x:v>
      </x:c>
      <x:c r="I19" s="19" t="n">
        <x:v>10</x:v>
      </x:c>
      <x:c r="J19" s="19" t="str">
        <x:v>locator_component_context</x:v>
      </x:c>
      <x:c r="K19" s="19" t="str">
        <x:v>.g. Fig. 5(e) and (0). The direction of component B2 was determined from the endpoints of demagnetization, and the direction of component B1 by the vector subtraction (B1 + B2) - B2 (Table 4). 1.5 ORIGINS OF THE VARIOUS COMPONENTS 1.5.1 Component A The theoretical blocking temperature curves for hematite (Pullaiah et al. 1975) suggest that magnetizations with blocking temperatures less than 15OoC can be unblocked and remag- netized in less than a day at room temperature. Component A is probably therefore of recent viscous origin, and this is consistent with a storage test which showed that many specimens changed their direction and intensity of total NRM over a period of a few months. 1.5.2 Components B3, BI and B2 The maximum blocking temperatures of component B3 (in sites with type 1 NRM) of 400-5OO0C reflect the extent to which component C with higher blocking temperatures Downloaded </x:v>
      </x:c>
      <x:c r="L19" s="19" t="str">
        <x:v>/Users/lihd/discovery/paleomagnetic-r3-workflow/dist/paleomagnetic-r357-calibrated-workflow-full/data/parsed_mds/1152.txt</x:v>
      </x:c>
    </x:row>
    <x:row r="20" ht="52" customHeight="1">
      <x:c r="A20" s="19" t="str">
        <x:v>1152</x:v>
      </x:c>
      <x:c r="B20" s="19" t="str">
        <x:v>30</x:v>
      </x:c>
      <x:c r="C20" s="19" t="str">
        <x:v>Armorican redbeds</x:v>
      </x:c>
      <x:c r="D20" s="19" t="str">
        <x:v>B3 component</x:v>
      </x:c>
      <x:c r="E20" s="19" t="str">
        <x:v>PRESENT</x:v>
      </x:c>
      <x:c r="F20" s="19" t="str">
        <x:v>IRM,SUSC-T(HEM)</x:v>
      </x:c>
      <x:c r="G20" s="19" t="str">
        <x:v>PAPER_ROW_MATCH</x:v>
      </x:c>
      <x:c r="H20" s="19" t="str">
        <x:v>carrier</x:v>
      </x:c>
      <x:c r="I20" s="19" t="n">
        <x:v>10</x:v>
      </x:c>
      <x:c r="J20" s="19" t="str">
        <x:v>locator_component_context</x:v>
      </x:c>
      <x:c r="K20" s="19" t="str">
        <x:v>mined from the endpoints of demagnetization, and the direction of component B1 by the vector subtraction (B1 + B2) - B2 (Table 4). 1.5 ORIGINS OF THE VARIOUS COMPONENTS 1.5.1 Component A The theoretical blocking temperature curves for hematite (Pullaiah et al. 1975) suggest that magnetizations with blocking temperatures less than 15OoC can be unblocked and remag- netized in less than a day at room temperature. Component A is probably therefore of recent viscous origin, and this is consistent with a storage test which showed that many specimens changed their direction and intensity of total NRM over a period of a few months. 1.5.2 Components B3, BI and B2 The maximum blocking temperatures of component B3 (in sites with type 1 NRM) of 400-5OO0C reflect the extent to which component C with higher blocking temperatures Downloaded from https://academic.oup.com/gji/article/59/2/345/645148 by C</x:v>
      </x:c>
      <x:c r="L20" s="19" t="str">
        <x:v>/Users/lihd/discovery/paleomagnetic-r3-workflow/dist/paleomagnetic-r357-calibrated-workflow-full/data/parsed_mds/1152.txt</x:v>
      </x:c>
    </x:row>
    <x:row r="21" ht="52" customHeight="1">
      <x:c r="A21" s="19" t="str">
        <x:v>1152</x:v>
      </x:c>
      <x:c r="B21" s="19" t="str">
        <x:v>30</x:v>
      </x:c>
      <x:c r="C21" s="19" t="str">
        <x:v>Armorican redbeds</x:v>
      </x:c>
      <x:c r="D21" s="19" t="str">
        <x:v>B3 component</x:v>
      </x:c>
      <x:c r="E21" s="19" t="str">
        <x:v>PRESENT</x:v>
      </x:c>
      <x:c r="F21" s="19" t="str">
        <x:v>IRM,SUSC-T(HEM)</x:v>
      </x:c>
      <x:c r="G21" s="19" t="str">
        <x:v>PAPER_ROW_MATCH</x:v>
      </x:c>
      <x:c r="H21" s="19" t="str">
        <x:v>carrier</x:v>
      </x:c>
      <x:c r="I21" s="19" t="n">
        <x:v>11</x:v>
      </x:c>
      <x:c r="J21" s="19" t="str">
        <x:v>locator_component_context</x:v>
      </x:c>
      <x:c r="K21" s="19" t="str">
        <x:v>Palaeomagnetism of the Amorican Massif 355 w *+ SPECIMENS WITH TYPE 1 NRM: Component C (dip corrected) determined by 300 thermal (0)a nd acid (+) demagnetization H Component 83 (dip corrected) SPECIMENS WITH TYPE 2 NRM: A&amp; 61 in situ t v 81 dip corrected b 0 82 In SltU (3 82 dtp corrected w c 1' I I I I I I I C + l ! ' l I I I I -/I00 I 5 Figure 6. Directions of components B3 and C from specimens with type I NRM, and of components B1 and B2 from specimens with type 2 NRM.T he circles of 95 per cent confidence for the overall means of seven site mean directions are shown for B3 and C. Dashed tie lies connect B1 and B2 directions from a single specimen; the arrow is toward B2. Closed symbols: downward directions; open symbols: upward directions (stereographic projections). has been overprinted by conponent B3 (Fig. 5). The blocking curves for hematite (Pullaiah et al. 1975) imply that temp</x:v>
      </x:c>
      <x:c r="L21" s="19" t="str">
        <x:v>/Users/lihd/discovery/paleomagnetic-r3-workflow/dist/paleomagnetic-r357-calibrated-workflow-full/data/parsed_mds/1152.txt</x:v>
      </x:c>
    </x:row>
    <x:row r="22" ht="52" customHeight="1">
      <x:c r="A22" s="19" t="str">
        <x:v>1152</x:v>
      </x:c>
      <x:c r="B22" s="19" t="str">
        <x:v>30</x:v>
      </x:c>
      <x:c r="C22" s="19" t="str">
        <x:v>Armorican redbeds</x:v>
      </x:c>
      <x:c r="D22" s="19" t="str">
        <x:v>B3 component</x:v>
      </x:c>
      <x:c r="E22" s="19" t="str">
        <x:v>PRESENT</x:v>
      </x:c>
      <x:c r="F22" s="19" t="str">
        <x:v>IRM,SUSC-T(HEM)</x:v>
      </x:c>
      <x:c r="G22" s="19" t="str">
        <x:v>PAPER_ROW_MATCH</x:v>
      </x:c>
      <x:c r="H22" s="19" t="str">
        <x:v>carrier</x:v>
      </x:c>
      <x:c r="I22" s="19" t="n">
        <x:v>11</x:v>
      </x:c>
      <x:c r="J22" s="19" t="str">
        <x:v>locator_component_context</x:v>
      </x:c>
      <x:c r="K22" s="19" t="str">
        <x:v>d of components B1 and B2 from specimens with type 2 NRM.T he circles of 95 per cent confidence for the overall means of seven site mean directions are shown for B3 and C. Dashed tie lies connect B1 and B2 directions from a single specimen; the arrow is toward B2. Closed symbols: downward directions; open symbols: upward directions (stereographic projections). has been overprinted by conponent B3 (Fig. 5). The blocking curves for hematite (Pullaiah et al. 1975) imply that temperatures of about 200°C (burial metamorphic facies) over a prolonged period (&gt; 1 1.4yr) would have been sufficient to partially overprint component C in type 1 sites, and for B3 to have been acquired as a viscous PTRM. Component B3 was probably therefore stabilized on uplift after acquisition during burial. In some speci- mens, B3 occupies the entire blocking temperature range above about 150°C (e.g. Fig. 5(c)), and</x:v>
      </x:c>
      <x:c r="L22" s="19" t="str">
        <x:v>/Users/lihd/discovery/paleomagnetic-r3-workflow/dist/paleomagnetic-r357-calibrated-workflow-full/data/parsed_mds/1152.txt</x:v>
      </x:c>
    </x:row>
    <x:row r="23" ht="52" customHeight="1">
      <x:c r="A23" s="19" t="str">
        <x:v>1152</x:v>
      </x:c>
      <x:c r="B23" s="19" t="str">
        <x:v>30</x:v>
      </x:c>
      <x:c r="C23" s="19" t="str">
        <x:v>Armorican redbeds</x:v>
      </x:c>
      <x:c r="D23" s="19" t="str">
        <x:v>B3 component</x:v>
      </x:c>
      <x:c r="E23" s="19" t="str">
        <x:v>PRESENT</x:v>
      </x:c>
      <x:c r="F23" s="19" t="str">
        <x:v>IRM,SUSC-T(HEM)</x:v>
      </x:c>
      <x:c r="G23" s="19" t="str">
        <x:v>PAPER_ROW_MATCH</x:v>
      </x:c>
      <x:c r="H23" s="19" t="str">
        <x:v>carrier</x:v>
      </x:c>
      <x:c r="I23" s="19" t="n">
        <x:v>11</x:v>
      </x:c>
      <x:c r="J23" s="19" t="str">
        <x:v>locator_component_context</x:v>
      </x:c>
      <x:c r="K23" s="19" t="str">
        <x:v>s for hematite (Pullaiah et al. 1975) imply that temperatures of about 200°C (burial metamorphic facies) over a prolonged period (&gt; 1 1.4yr) would have been sufficient to partially overprint component C in type 1 sites, and for B3 to have been acquired as a viscous PTRM. Component B3 was probably therefore stabilized on uplift after acquisition during burial. In some speci- mens, B3 occupies the entire blocking temperature range above about 150°C (e.g. Fig. 5(c)), and this may reflect complete overprinting of C. Comparison of the precisions of in situ and dipcorrected groupings of B3 directions determined from endpoints and vector analysis implies with 95 per cent confidence (Cox 1969) that component B3 was acquired in most sites before Westphalian folding of the redbeds. The dip-corrected mean direction (Fig. 6) of B3 for seven sites (10 specimens) is D = 216", I = 41" (ag5= lo"), which</x:v>
      </x:c>
      <x:c r="L23" s="19" t="str">
        <x:v>/Users/lihd/discovery/paleomagnetic-r3-workflow/dist/paleomagnetic-r357-calibrated-workflow-full/data/parsed_mds/1152.txt</x:v>
      </x:c>
    </x:row>
    <x:row r="24" ht="52" customHeight="1">
      <x:c r="A24" s="19" t="str">
        <x:v>1152</x:v>
      </x:c>
      <x:c r="B24" s="19" t="str">
        <x:v>30</x:v>
      </x:c>
      <x:c r="C24" s="19" t="str">
        <x:v>Armorican redbeds</x:v>
      </x:c>
      <x:c r="D24" s="19" t="str">
        <x:v>B3 component</x:v>
      </x:c>
      <x:c r="E24" s="19" t="str">
        <x:v>PRESENT</x:v>
      </x:c>
      <x:c r="F24" s="19" t="str">
        <x:v>IRM,SUSC-T(HEM)</x:v>
      </x:c>
      <x:c r="G24" s="19" t="str">
        <x:v>PAPER_ROW_MATCH</x:v>
      </x:c>
      <x:c r="H24" s="19" t="str">
        <x:v>method</x:v>
      </x:c>
      <x:c r="I24" s="19" t="n">
        <x:v>14</x:v>
      </x:c>
      <x:c r="J24" s="19" t="str">
        <x:v>locator_component_context</x:v>
      </x:c>
      <x:c r="K24" s="19" t="str">
        <x:v>d by the red pigment leached out by acid, and that residual specularite probably carries the bulk of IRM in the leached specimen. These results are consistent with high field thermomagnetic analyses and imply that NRM in the red shale is carried by pure hematite, which is present both as pigment and specularite. Although the pigment is magnetically harder that the specularite, thermal de- magnetization in conjunction with acid leaching suggests that most of the pigment has lower blocking temperatures than the specularite. Concurrence of endpoints with the component C direction after both acid and thermal demagnetization, and the similar leaching and thermal demagnetization trends imply that components A and B3 are carried by soluble hematite pigment, and that the high blocking temperature component C is mainly carried by the insoluble specularite. 1.6.2 Origin and composition of the hema</x:v>
      </x:c>
      <x:c r="L24" s="19" t="str">
        <x:v>/Users/lihd/discovery/paleomagnetic-r3-workflow/dist/paleomagnetic-r357-calibrated-workflow-full/data/parsed_mds/1152.txt</x:v>
      </x:c>
    </x:row>
    <x:row r="25" ht="52" customHeight="1">
      <x:c r="A25" s="19" t="str">
        <x:v>1152</x:v>
      </x:c>
      <x:c r="B25" s="19" t="str">
        <x:v>30</x:v>
      </x:c>
      <x:c r="C25" s="19" t="str">
        <x:v>Armorican redbeds</x:v>
      </x:c>
      <x:c r="D25" s="19" t="str">
        <x:v>B3 component</x:v>
      </x:c>
      <x:c r="E25" s="19" t="str">
        <x:v>PRESENT</x:v>
      </x:c>
      <x:c r="F25" s="19" t="str">
        <x:v>IRM,SUSC-T(HEM)</x:v>
      </x:c>
      <x:c r="G25" s="19" t="str">
        <x:v>PAPER_ROW_MATCH</x:v>
      </x:c>
      <x:c r="H25" s="19" t="str">
        <x:v>carrier</x:v>
      </x:c>
      <x:c r="I25" s="19" t="n">
        <x:v>15</x:v>
      </x:c>
      <x:c r="J25" s="19" t="str">
        <x:v>locator_component_context</x:v>
      </x:c>
      <x:c r="K25" s="19" t="str">
        <x:v>uthigenic growth of the pigment and specularite from detrital grains is consistent with the absence of a Cambro-Ordovician DRM in the redbed sites. 1.7 MAGNETIZATIONH ISTORY OF THE ARMORICAN REDBEDS The palaeomagnetic results from the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Component B3 was probably acquired as a viscous PTRM durin</x:v>
      </x:c>
      <x:c r="L25" s="19" t="str">
        <x:v>/Users/lihd/discovery/paleomagnetic-r3-workflow/dist/paleomagnetic-r357-calibrated-workflow-full/data/parsed_mds/1152.txt</x:v>
      </x:c>
    </x:row>
    <x:row r="26" ht="52" customHeight="1">
      <x:c r="A26" s="19" t="str">
        <x:v>1152</x:v>
      </x:c>
      <x:c r="B26" s="19" t="str">
        <x:v>30</x:v>
      </x:c>
      <x:c r="C26" s="19" t="str">
        <x:v>Armorican redbeds</x:v>
      </x:c>
      <x:c r="D26" s="19" t="str">
        <x:v>B3 component</x:v>
      </x:c>
      <x:c r="E26" s="19" t="str">
        <x:v>PRESENT</x:v>
      </x:c>
      <x:c r="F26" s="19" t="str">
        <x:v>IRM,SUSC-T(HEM)</x:v>
      </x:c>
      <x:c r="G26" s="19" t="str">
        <x:v>PAPER_ROW_MATCH</x:v>
      </x:c>
      <x:c r="H26" s="19" t="str">
        <x:v>carrier</x:v>
      </x:c>
      <x:c r="I26" s="19" t="n">
        <x:v>15</x:v>
      </x:c>
      <x:c r="J26" s="19" t="str">
        <x:v>locator_component_context</x:v>
      </x:c>
      <x:c r="K26" s="19" t="str">
        <x:v>ites. 1.7 MAGNETIZATIONH ISTORY OF THE ARMORICAN REDBEDS The palaeomagnetic results from the Armorican redbeds and the more detailed studies of the red shale from the Rozel Conglomerate suggests the following history: (1) Clastic deposition of iron silicates, magnetites and possibly specularite during the Cambrian or early Ordovician. (2) Acquisition during Silurian or early Devonian times of component C, the oldest magnetization, probably as a CFW associated with the growth of specularite and possibly less soluble hematite pigment. (3) Acquisition of component B3 during remagnetization of most sites other than those in the PlouriveBrBhec succession in Devonian to early Carboniferous times. Component B3 was probably acquired as a viscous PTRM during burial, which variably overprinted the older component C and was stabilized on uplift - perhaps during the Bretonic phase of the Hercynian O</x:v>
      </x:c>
      <x:c r="L26" s="19" t="str">
        <x:v>/Users/lihd/discovery/paleomagnetic-r3-workflow/dist/paleomagnetic-r357-calibrated-workflow-full/data/parsed_mds/1152.txt</x:v>
      </x:c>
    </x:row>
    <x:row r="27" ht="52" customHeight="1">
      <x:c r="A27" s="19" t="str">
        <x:v>1152</x:v>
      </x:c>
      <x:c r="B27" s="19" t="str">
        <x:v>30</x:v>
      </x:c>
      <x:c r="C27" s="19" t="str">
        <x:v>Armorican redbeds</x:v>
      </x:c>
      <x:c r="D27" s="19" t="str">
        <x:v>B3 component</x:v>
      </x:c>
      <x:c r="E27" s="19" t="str">
        <x:v>PRESENT</x:v>
      </x:c>
      <x:c r="F27" s="19" t="str">
        <x:v>IRM,SUSC-T(HEM)</x:v>
      </x:c>
      <x:c r="G27" s="19" t="str">
        <x:v>PAPER_ROW_MATCH</x:v>
      </x:c>
      <x:c r="H27" s="19" t="str">
        <x:v>locator_component</x:v>
      </x:c>
      <x:c r="I27" s="19" t="n">
        <x:v>8</x:v>
      </x:c>
      <x:c r="J27" s="19" t="str">
        <x:v>result_locator</x:v>
      </x:c>
      <x:c r="K27" s="19" t="str">
        <x:v>curve refers to specimen 4f. blocking temperature of up to about 600 or 650°C. The critical blocking temperature above which only C is recorded and below which B3 and C have overlapping spectra varies between and within type 1 sites from about 400 to 500°C. The magnetic fraction carrying component C is resistant to acid leaching. Demagnetization trends for type 1 sites are characteristically V shaped (e.g. Fig. 5(a) and (b)). On thermal demagnetization the resultant NRM vector rotates toward the resultant NRM direction (B3 + C) of the two higher blocking temperature components in a plane containing this direction and the dinection of the total NRM (A + B3 + C). Further de- magnetization of component B3 causes the resultant vector to rotate in the plane con- taining B3 and C directions toward C (e.g. Fig. 5(a) and (b)). Component B3 was estimated by the vector subtraction (B3 + C) - C for</x:v>
      </x:c>
      <x:c r="L27" s="19" t="str">
        <x:v>/Users/lihd/discovery/paleomagnetic-r3-workflow/dist/paleomagnetic-r357-calibrated-workflow-full/data/parsed_mds/1152.txt</x:v>
      </x:c>
    </x:row>
    <x:row r="28" ht="52" customHeight="1">
      <x:c r="A28" s="19" t="str">
        <x:v>1152</x:v>
      </x:c>
      <x:c r="B28" s="19" t="str">
        <x:v>31</x:v>
      </x:c>
      <x:c r="C28" s="19" t="str">
        <x:v>Erquy spillite series</x:v>
      </x:c>
      <x:c r="D28" s="19" t="str"/>
      <x:c r="E28" s="19" t="str">
        <x:v>ABSTAIN_INSUFFICIENT</x:v>
      </x:c>
      <x:c r="F28" s="19" t="str"/>
      <x:c r="G28" s="19" t="str">
        <x:v>PAPER_ROW_MATCH</x:v>
      </x:c>
      <x:c r="H28" s="19" t="str">
        <x:v>locator_pole</x:v>
      </x:c>
      <x:c r="I28" s="19" t="n">
        <x:v>1</x:v>
      </x:c>
      <x:c r="J28" s="19" t="str">
        <x:v>result_locator</x:v>
      </x:c>
      <x:c r="K28" s="19" t="str">
        <x:v>ly carried by specularite with high blocking temperatures. This component was variably overprinted by a Devonian or early Carboniferous component (B3) which was probably acquired as a viscous PTRM on uplift after burial, and is carried by hematite pigment with intermediate to high blocking temperatures. In the red succession of Plourivo-Brehec (northern Brittany) declination scatter of two inter- mediate to high blocking temperature components (B1 and B2) is consistent with clockwise rotation of the bulk of Europe during the late Carboniferous, implied independently by published European Carboniferous palaeomagnetic data. Stable NRM in the Erquy Spilite Series yields a palaeomagnetic pole at 344" E, 35" N (dp = 21", dm = 22"), and was probably acquired during re- magnetization following Late Precambrian or early Cambrian folding. This is consistent with a middle to late Cambrian age of r</x:v>
      </x:c>
      <x:c r="L28" s="19" t="str">
        <x:v>/Users/lihd/discovery/paleomagnetic-r3-workflow/dist/paleomagnetic-r357-calibrated-workflow-full/data/parsed_mds/1152.txt</x:v>
      </x:c>
    </x:row>
    <x:row r="29" ht="52" customHeight="1">
      <x:c r="A29" s="19" t="str">
        <x:v>1152</x:v>
      </x:c>
      <x:c r="B29" s="19" t="str">
        <x:v>31</x:v>
      </x:c>
      <x:c r="C29" s="19" t="str">
        <x:v>Erquy spillite series</x:v>
      </x:c>
      <x:c r="D29" s="19" t="str"/>
      <x:c r="E29" s="19" t="str">
        <x:v>ABSTAIN_INSUFFICIENT</x:v>
      </x:c>
      <x:c r="F29" s="19" t="str"/>
      <x:c r="G29" s="19" t="str">
        <x:v>PAPER_ROW_MATCH</x:v>
      </x:c>
      <x:c r="H29" s="19" t="str">
        <x:v>locator_direction</x:v>
      </x:c>
      <x:c r="I29" s="19" t="n">
        <x:v>12</x:v>
      </x:c>
      <x:c r="J29" s="19" t="str">
        <x:v>result_locator</x:v>
      </x:c>
      <x:c r="K29" s="19" t="str">
        <x:v>356 B. A. Duff Table 5. Mean directions of NRM and palaeomagnetic pole positions of components B3 and C in the Armorican redbeds, the Erquy Spilite Series and the TrBgastel-Ploumanac’h granite. Component/rock unit N D I R k u95 Long. Lat. dp dm Redbed component B3 7sites 216 41 6.83 35.6 10 324 E 11 S 8 12 (dip-correc ted) 10spec. 214 43 9.72 31.7 9 326E 11s 7 11 Redbed component C 7 sites 228 63 6.91 70.6 7 325 E 11 N 9 1 I (dip-corrected) 16spec. 226 65 15.71 52.4 5 328E 13 N 7 8 Erquy Spilite Series 5 sites 221 82 4.92 47.2 11 344 E 35 N 21 22 (not dip-corrected) Trkgastel- Ploumanac’h 5 sites 200 9 4.97 121 7 332E 34 S 4 7 granite complex Abbreviations. D, I declination, inclination of NRM; K resultant of N unit vectors; k estimate of €,isher’s (1953) precision parameter; u9s semi-angle of the cone of 95 per cent confidence about the mean direction; dp, dm semi-angle subtended by maj</x:v>
      </x:c>
      <x:c r="L29" s="19" t="str">
        <x:v>/Users/lihd/discovery/paleomagnetic-r3-workflow/dist/paleomagnetic-r357-calibrated-workflow-full/data/parsed_mds/1152.txt</x:v>
      </x:c>
    </x:row>
    <x:row r="30" ht="52" customHeight="1">
      <x:c r="A30" s="19" t="str">
        <x:v>1152</x:v>
      </x:c>
      <x:c r="B30" s="19" t="str">
        <x:v>31</x:v>
      </x:c>
      <x:c r="C30" s="19" t="str">
        <x:v>Erquy spillite series</x:v>
      </x:c>
      <x:c r="D30" s="19" t="str"/>
      <x:c r="E30" s="19" t="str">
        <x:v>ABSTAIN_INSUFFICIENT</x:v>
      </x:c>
      <x:c r="F30" s="19" t="str"/>
      <x:c r="G30" s="19" t="str">
        <x:v>PAPER_ROW_MATCH</x:v>
      </x:c>
      <x:c r="H30" s="19" t="str">
        <x:v>locator_pole</x:v>
      </x:c>
      <x:c r="I30" s="19" t="n">
        <x:v>12</x:v>
      </x:c>
      <x:c r="J30" s="19" t="str">
        <x:v>result_locator</x:v>
      </x:c>
      <x:c r="K30" s="19" t="str">
        <x:v>356 B. A. Duff Table 5. Mean directions of NRM and palaeomagnetic pole positions of components B3 and C in the Armorican redbeds, the Erquy Spilite Series and the TrBgastel-Ploumanac’h granite. Component/rock unit N D I R k u95 Long. Lat. dp dm Redbed component B3 7sites 216 41 6.83 35.6 10 324 E 11 S 8 12 (dip-correc ted) 10spec. 214 43 9.72 31.7 9 326E 11s 7 11 Redbed component C 7 sites 228 63 6.91 70.6 7 325 E 11 N 9 1 I (dip-corrected) 16spec. 226 65 15.71 52.4 5 328E 13 N 7 8 Erquy Spilite Series 5 sites 221 82 4.92 47.2 11 344 E 35 N 21 22 (not dip-corrected) Trkgastel- Ploumanac’h 5 sites 200 9 4.97 121 7 332E 34 S 4 7 granite complex Abbreviations. D, I declination, inclination of NRM; K resultant of N unit vectors; k estimate of €,isher’s (1953) precision parameter; u9s semi-angle of the cone of 95 per cent confidence about the mean direction; dp, dm semi-angle subtended by maj</x:v>
      </x:c>
      <x:c r="L30" s="19" t="str">
        <x:v>/Users/lihd/discovery/paleomagnetic-r3-workflow/dist/paleomagnetic-r357-calibrated-workflow-full/data/parsed_mds/1152.txt</x:v>
      </x:c>
    </x:row>
    <x:row r="31" ht="52" customHeight="1">
      <x:c r="A31" s="19" t="str">
        <x:v>1152</x:v>
      </x:c>
      <x:c r="B31" s="19" t="str">
        <x:v>31</x:v>
      </x:c>
      <x:c r="C31" s="19" t="str">
        <x:v>Erquy spillite series</x:v>
      </x:c>
      <x:c r="D31" s="19" t="str"/>
      <x:c r="E31" s="19" t="str">
        <x:v>ABSTAIN_INSUFFICIENT</x:v>
      </x:c>
      <x:c r="F31" s="19" t="str"/>
      <x:c r="G31" s="19" t="str">
        <x:v>PAPER_ROW_MATCH</x:v>
      </x:c>
      <x:c r="H31" s="19" t="str">
        <x:v>locator_direction</x:v>
      </x:c>
      <x:c r="I31" s="19" t="n">
        <x:v>18</x:v>
      </x:c>
      <x:c r="J31" s="19" t="str">
        <x:v>result_locator</x:v>
      </x:c>
      <x:c r="K31" s="19" t="str">
        <x:v>basalt of CD4 and the sill of CD5 over the range of peak fields from 20 to 40mT, which reflects the separation of a soft component with low coercivities of remanence below 20mT from a harder component of NRM. The NRM of specimens from the other sites decayed continuously with increasing peak fields. The optimum peak field for site cleaning, corresponding to the maximum stability indices (indicated by arrows in Fig. 11) varied between sites according to the variation in the remanent-coercivity spectra of the harder component of NRM. 2.3 ANALYSIS OF NRM DIRECTIONS After demagnetization at the optimum peak fields in situ site mean directions of NRM converged toward an overall mean direction D = 221", I = 82" (ag5= 11"; Fig. 10, Table 5). Dipcorrected site mean directions (Fig. 10) yielded an overall mean direction D = 350". I=- 1" (ag5= 15"). A two-tier analysis of stable NRM directions (Wa</x:v>
      </x:c>
      <x:c r="L31" s="19" t="str">
        <x:v>/Users/lihd/discovery/paleomagnetic-r3-workflow/dist/paleomagnetic-r357-calibrated-workflow-full/data/parsed_mds/1152.txt</x:v>
      </x:c>
    </x:row>
    <x:row r="32" ht="52" customHeight="1">
      <x:c r="A32" s="19" t="str">
        <x:v>1152</x:v>
      </x:c>
      <x:c r="B32" s="19" t="str">
        <x:v>31</x:v>
      </x:c>
      <x:c r="C32" s="19" t="str">
        <x:v>Erquy spillite series</x:v>
      </x:c>
      <x:c r="D32" s="19" t="str"/>
      <x:c r="E32" s="19" t="str">
        <x:v>ABSTAIN_INSUFFICIENT</x:v>
      </x:c>
      <x:c r="F32" s="19" t="str"/>
      <x:c r="G32" s="19" t="str">
        <x:v>PAPER_ROW_MATCH</x:v>
      </x:c>
      <x:c r="H32" s="19" t="str">
        <x:v>locator_pole</x:v>
      </x:c>
      <x:c r="I32" s="19" t="n">
        <x:v>18</x:v>
      </x:c>
      <x:c r="J32" s="19" t="str">
        <x:v>result_locator</x:v>
      </x:c>
      <x:c r="K32" s="19" t="str">
        <x:v>nting the primary paragenesis occurred after this folding, and was associated with isotopic rehomogenization of the Rb-Sr system during the early Ordovician (Brown &amp; Roach 1972). It is very probably that stable NRM in the Erquy Spilites was acquired perhaps as a - PTRM - during this post-folding event, and this interpretation is consistent with a middle to late Cambrian age determined for the in siru magnetization by comparison of the corre- sponding pole with the polar wander path for Europe (Duff 1978b). The palaeomagnetically significant mean direction of NRM for the Erquy Spilites is therefore determined in siru as D = 221", I = 82", which corresponds to a palaeomagnetic pole position at 344" E 35" N (Table 5). 3 The TrCgastel-Ploumanac'h granite complex 3.1 INTRODUCTION The Tregastel-Ploumanac'h granite is a high level, subvolcanic complex on the north coast of Brittany west of Perr</x:v>
      </x:c>
      <x:c r="L32" s="19" t="str">
        <x:v>/Users/lihd/discovery/paleomagnetic-r3-workflow/dist/paleomagnetic-r357-calibrated-workflow-full/data/parsed_mds/1152.txt</x:v>
      </x:c>
    </x:row>
    <x:row r="33" ht="52" customHeight="1">
      <x:c r="A33" s="19" t="str">
        <x:v>3434</x:v>
      </x:c>
      <x:c r="B33" s="19" t="str">
        <x:v>8719</x:v>
      </x:c>
      <x:c r="C33" s="19" t="str">
        <x:v>West Branch Volcanics</x:v>
      </x:c>
      <x:c r="D33" s="19" t="str">
        <x:v>A Component</x:v>
      </x:c>
      <x:c r="E33" s="19" t="str">
        <x:v>PRESENT</x:v>
      </x:c>
      <x:c r="F33" s="19" t="str">
        <x:v>SUSC-T(MAGN,HEM)</x:v>
      </x:c>
      <x:c r="G33" s="19" t="str">
        <x:v>PAPER_ROW_MATCH</x:v>
      </x:c>
      <x:c r="H33" s="19" t="str">
        <x:v>method</x:v>
      </x:c>
      <x:c r="I33" s="19" t="n">
        <x:v>8</x:v>
      </x:c>
      <x:c r="J33" s="19" t="str">
        <x:v>near_target</x:v>
      </x:c>
      <x:c r="K33" s="19" t="str">
        <x:v>temperature changes of susceptibility</x:v>
      </x:c>
      <x:c r="L33" s="19" t="str">
        <x:v>/Users/lihd/discovery/paleomagnetic-r3-workflow/dist/paleomagnetic-r357-calibrated-workflow-full/data/parsed_mds/3434.txt</x:v>
      </x:c>
    </x:row>
    <x:row r="34" ht="52" customHeight="1">
      <x:c r="A34" s="19" t="str">
        <x:v>3434</x:v>
      </x:c>
      <x:c r="B34" s="19" t="str">
        <x:v>8719</x:v>
      </x:c>
      <x:c r="C34" s="19" t="str">
        <x:v>West Branch Volcanics</x:v>
      </x:c>
      <x:c r="D34" s="19" t="str">
        <x:v>A Component</x:v>
      </x:c>
      <x:c r="E34" s="19" t="str">
        <x:v>PRESENT</x:v>
      </x:c>
      <x:c r="F34" s="19" t="str">
        <x:v>SUSC-T(MAGN,HEM)</x:v>
      </x:c>
      <x:c r="G34" s="19" t="str">
        <x:v>PAPER_ROW_MATCH</x:v>
      </x:c>
      <x:c r="H34" s="19" t="str">
        <x:v>diagnostic</x:v>
      </x:c>
      <x:c r="I34" s="19" t="n">
        <x:v>5</x:v>
      </x:c>
      <x:c r="J34" s="19" t="str">
        <x:v>same_target_page</x:v>
      </x:c>
      <x:c r="K34" s="19" t="str">
        <x:v>yielding a total volcanics of a mineral with a Curie temperature of ≤580°C</x:v>
      </x:c>
      <x:c r="L34" s="19" t="str">
        <x:v>/Users/lihd/discovery/paleomagnetic-r3-workflow/dist/paleomagnetic-r357-calibrated-workflow-full/data/parsed_mds/3434.txt</x:v>
      </x:c>
    </x:row>
    <x:row r="35" ht="52" customHeight="1">
      <x:c r="A35" s="19" t="str">
        <x:v>3434</x:v>
      </x:c>
      <x:c r="B35" s="19" t="str">
        <x:v>8719</x:v>
      </x:c>
      <x:c r="C35" s="19" t="str">
        <x:v>West Branch Volcanics</x:v>
      </x:c>
      <x:c r="D35" s="19" t="str">
        <x:v>A Component</x:v>
      </x:c>
      <x:c r="E35" s="19" t="str">
        <x:v>PRESENT</x:v>
      </x:c>
      <x:c r="F35" s="19" t="str">
        <x:v>SUSC-T(MAGN,HEM)</x:v>
      </x:c>
      <x:c r="G35" s="19" t="str">
        <x:v>PAPER_ROW_MATCH</x:v>
      </x:c>
      <x:c r="H35" s="19" t="str">
        <x:v>carrier</x:v>
      </x:c>
      <x:c r="I35" s="19" t="n">
        <x:v>8</x:v>
      </x:c>
      <x:c r="J35" s="19" t="str">
        <x:v>near_target</x:v>
      </x:c>
      <x:c r="K35" s="19" t="str">
        <x:v>magnetite</x:v>
      </x:c>
      <x:c r="L35" s="19" t="str">
        <x:v>/Users/lihd/discovery/paleomagnetic-r3-workflow/dist/paleomagnetic-r357-calibrated-workflow-full/data/parsed_mds/3434.txt</x:v>
      </x:c>
    </x:row>
    <x:row r="36" ht="52" customHeight="1">
      <x:c r="A36" s="19" t="str">
        <x:v>3434</x:v>
      </x:c>
      <x:c r="B36" s="19" t="str">
        <x:v>8719</x:v>
      </x:c>
      <x:c r="C36" s="19" t="str">
        <x:v>West Branch Volcanics</x:v>
      </x:c>
      <x:c r="D36" s="19" t="str">
        <x:v>A Component</x:v>
      </x:c>
      <x:c r="E36" s="19" t="str">
        <x:v>PRESENT</x:v>
      </x:c>
      <x:c r="F36" s="19" t="str">
        <x:v>SUSC-T(MAGN,HEM)</x:v>
      </x:c>
      <x:c r="G36" s="19" t="str">
        <x:v>PAPER_ROW_MATCH</x:v>
      </x:c>
      <x:c r="H36" s="19" t="str">
        <x:v>carrier</x:v>
      </x:c>
      <x:c r="I36" s="19" t="n">
        <x:v>8</x:v>
      </x:c>
      <x:c r="J36" s="19" t="str">
        <x:v>target_context</x:v>
      </x:c>
      <x:c r="K36" s="19" t="str">
        <x:v>hematite</x:v>
      </x:c>
      <x:c r="L36" s="19" t="str">
        <x:v>/Users/lihd/discovery/paleomagnetic-r3-workflow/dist/paleomagnetic-r357-calibrated-workflow-full/data/parsed_mds/3434.txt</x:v>
      </x:c>
    </x:row>
    <x:row r="37" ht="52" customHeight="1">
      <x:c r="A37" s="19" t="str">
        <x:v>3434</x:v>
      </x:c>
      <x:c r="B37" s="19" t="str">
        <x:v>8719</x:v>
      </x:c>
      <x:c r="C37" s="19" t="str">
        <x:v>West Branch Volcanics</x:v>
      </x:c>
      <x:c r="D37" s="19" t="str">
        <x:v>A Component</x:v>
      </x:c>
      <x:c r="E37" s="19" t="str">
        <x:v>PRESENT</x:v>
      </x:c>
      <x:c r="F37" s="19" t="str">
        <x:v>SUSC-T(MAGN,HEM)</x:v>
      </x:c>
      <x:c r="G37" s="19" t="str">
        <x:v>PAPER_ROW_MATCH</x:v>
      </x:c>
      <x:c r="H37" s="19" t="str">
        <x:v>bridge</x:v>
      </x:c>
      <x:c r="I37" s="19" t="n">
        <x:v>8</x:v>
      </x:c>
      <x:c r="J37" s="19" t="str">
        <x:v>target_context</x:v>
      </x:c>
      <x:c r="K37" s="19" t="str">
        <x:v>magnetite, and another that unblocked at of the partial remagnetis</x:v>
      </x:c>
      <x:c r="L37" s="19" t="str">
        <x:v>/Users/lihd/discovery/paleomagnetic-r3-workflow/dist/paleomagnetic-r357-calibrated-workflow-full/data/parsed_mds/3434.txt</x:v>
      </x:c>
    </x:row>
    <x:row r="38" ht="52" customHeight="1">
      <x:c r="A38" s="19" t="str">
        <x:v>3434</x:v>
      </x:c>
      <x:c r="B38" s="19" t="str">
        <x:v>8719</x:v>
      </x:c>
      <x:c r="C38" s="19" t="str">
        <x:v>West Branch Volcanics</x:v>
      </x:c>
      <x:c r="D38" s="19" t="str">
        <x:v>A Component</x:v>
      </x:c>
      <x:c r="E38" s="19" t="str">
        <x:v>PRESENT</x:v>
      </x:c>
      <x:c r="F38" s="19" t="str">
        <x:v>SUSC-T(MAGN,HEM)</x:v>
      </x:c>
      <x:c r="G38" s="19" t="str">
        <x:v>PAPER_ROW_MATCH</x:v>
      </x:c>
      <x:c r="H38" s="19" t="str">
        <x:v>bridge</x:v>
      </x:c>
      <x:c r="I38" s="19" t="n">
        <x:v>8</x:v>
      </x:c>
      <x:c r="J38" s="19" t="str">
        <x:v>target_context</x:v>
      </x:c>
      <x:c r="K38" s="19" t="str">
        <x:v>overprint that affected magnetite but not the higher Curie MASTERTON SANDSTONE temperature hematite</x:v>
      </x:c>
      <x:c r="L38" s="19" t="str">
        <x:v>/Users/lihd/discovery/paleomagnetic-r3-workflow/dist/paleomagnetic-r357-calibrated-workflow-full/data/parsed_mds/3434.txt</x:v>
      </x:c>
    </x:row>
    <x:row r="39" ht="52" customHeight="1">
      <x:c r="A39" s="19" t="str">
        <x:v>3434</x:v>
      </x:c>
      <x:c r="B39" s="19" t="str">
        <x:v>8719</x:v>
      </x:c>
      <x:c r="C39" s="19" t="str">
        <x:v>West Branch Volcanics</x:v>
      </x:c>
      <x:c r="D39" s="19" t="str">
        <x:v>A Component</x:v>
      </x:c>
      <x:c r="E39" s="19" t="str">
        <x:v>PRESENT</x:v>
      </x:c>
      <x:c r="F39" s="19" t="str">
        <x:v>SUSC-T(MAGN,HEM)</x:v>
      </x:c>
      <x:c r="G39" s="19" t="str">
        <x:v>PAPER_ROW_MATCH</x:v>
      </x:c>
      <x:c r="H39" s="19" t="str">
        <x:v>bridge</x:v>
      </x:c>
      <x:c r="I39" s="19" t="n">
        <x:v>8</x:v>
      </x:c>
      <x:c r="J39" s="19" t="str">
        <x:v>target_context</x:v>
      </x:c>
      <x:c r="K39" s="19" t="str">
        <x:v>magnetite, and another that unblocked at of the partial remagnetisation</x:v>
      </x:c>
      <x:c r="L39" s="19" t="str">
        <x:v>/Users/lihd/discovery/paleomagnetic-r3-workflow/dist/paleomagnetic-r357-calibrated-workflow-full/data/parsed_mds/3434.txt</x:v>
      </x:c>
    </x:row>
    <x:row r="40" ht="52" customHeight="1">
      <x:c r="A40" s="19" t="str">
        <x:v>3434</x:v>
      </x:c>
      <x:c r="B40" s="19" t="str">
        <x:v>8719</x:v>
      </x:c>
      <x:c r="C40" s="19" t="str">
        <x:v>West Branch Volcanics</x:v>
      </x:c>
      <x:c r="D40" s="19" t="str">
        <x:v>A Component</x:v>
      </x:c>
      <x:c r="E40" s="19" t="str">
        <x:v>PRESENT</x:v>
      </x:c>
      <x:c r="F40" s="19" t="str">
        <x:v>SUSC-T(MAGN,HEM)</x:v>
      </x:c>
      <x:c r="G40" s="19" t="str">
        <x:v>PAPER_ROW_MATCH</x:v>
      </x:c>
      <x:c r="H40" s="19" t="str">
        <x:v>method</x:v>
      </x:c>
      <x:c r="I40" s="19" t="n">
        <x:v>5</x:v>
      </x:c>
      <x:c r="J40" s="19" t="str">
        <x:v>target_same_sentence</x:v>
      </x:c>
      <x:c r="K40" s="19" t="str">
        <x:v>Like most before demagnetisation by cooling in liquid nitrogen in Proterozoic volcanics in northern Australia, the West order to eliminate contributions of low-coercivity,multi- Branch Volcanics have been mildly to severely altered.</x:v>
      </x:c>
      <x:c r="L40" s="19" t="str">
        <x:v>/Users/lihd/discovery/paleomagnetic-r3-workflow/dist/paleomagnetic-r357-calibrated-workflow-full/data/parsed_mds/3434.txt</x:v>
      </x:c>
    </x:row>
    <x:row r="41" ht="52" customHeight="1">
      <x:c r="A41" s="19" t="str">
        <x:v>3434</x:v>
      </x:c>
      <x:c r="B41" s="19" t="str">
        <x:v>8719</x:v>
      </x:c>
      <x:c r="C41" s="19" t="str">
        <x:v>West Branch Volcanics</x:v>
      </x:c>
      <x:c r="D41" s="19" t="str">
        <x:v>A Component</x:v>
      </x:c>
      <x:c r="E41" s="19" t="str">
        <x:v>PRESENT</x:v>
      </x:c>
      <x:c r="F41" s="19" t="str">
        <x:v>SUSC-T(MAGN,HEM)</x:v>
      </x:c>
      <x:c r="G41" s="19" t="str">
        <x:v>PAPER_ROW_MATCH</x:v>
      </x:c>
      <x:c r="H41" s="19" t="str">
        <x:v>locator_pole</x:v>
      </x:c>
      <x:c r="I41" s="19" t="n">
        <x:v>4</x:v>
      </x:c>
      <x:c r="J41" s="19" t="str">
        <x:v>result_locator</x:v>
      </x:c>
      <x:c r="K41" s="19" t="str">
        <x:v>eek – 10 – Site 9 (Ptp1) L10.9 Mafic 17.74 138.10 Hedleys Creek – 22 – Fish River Formation Locality 11 Site 1 (Pff1) L11.1 Conglomerate (clasts) 17.78 138.13 Hedleys Creek 95AW–01 5 2 Site 2 (Pff1) L11.2 Sandstone 17.83 138.13 Hedleys Creek 95AW–01 25 33 Site 3 (Pff2) L11.3 Sandstone 17.79 138.14 Hedleys Creek 95AW–01 10 2 Mt Les Siltstone Locality 12 L12 Siltstone &amp; claystone 17.81 138.14 Hedleys Creek 95AW–02 30 25 Gunpowder Creek Formation Siliciclastics,dolomites &amp; regolith Locality 13 (Esperanza L13 19.71 139.33 Mammoth Mines 95JJ–02 61 294 W/H) Locality 14 (Barr Hole) L14 19.60 139.36 Mammoth Mines 95PS–01a 78 289 Locality 15 (Paradise Ck 1) L15 19.75 139.16 Mammoth Mines 96PC–01 11 ~20 Locality 16 (Paradise Ck 2) L16 19.78 139.19 Mammoth Mines 96PC–01a 25 114 9002 yraurbeF 21 80:01 :tA ]ailartsuA nretseW fO ytisrevinU[ :yB dedaolnwoD</x:v>
      </x:c>
      <x:c r="L41" s="19" t="str">
        <x:v>/Users/lihd/discovery/paleomagnetic-r3-workflow/dist/paleomagnetic-r357-calibrated-workflow-full/data/parsed_mds/3434.txt</x:v>
      </x:c>
    </x:row>
    <x:row r="42" ht="52" customHeight="1">
      <x:c r="A42" s="19" t="str">
        <x:v>3434</x:v>
      </x:c>
      <x:c r="B42" s="19" t="str">
        <x:v>8719</x:v>
      </x:c>
      <x:c r="C42" s="19" t="str">
        <x:v>West Branch Volcanics</x:v>
      </x:c>
      <x:c r="D42" s="19" t="str">
        <x:v>A Component</x:v>
      </x:c>
      <x:c r="E42" s="19" t="str">
        <x:v>PRESENT</x:v>
      </x:c>
      <x:c r="F42" s="19" t="str">
        <x:v>SUSC-T(MAGN,HEM)</x:v>
      </x:c>
      <x:c r="G42" s="19" t="str">
        <x:v>PAPER_ROW_MATCH</x:v>
      </x:c>
      <x:c r="H42" s="19" t="str">
        <x:v>locator_component</x:v>
      </x:c>
      <x:c r="I42" s="19" t="n">
        <x:v>17</x:v>
      </x:c>
      <x:c r="J42" s="19" t="str">
        <x:v>result_locator</x:v>
      </x:c>
      <x:c r="K42" s="19" t="str">
        <x:v>retreatments). AF demagnetisation failed to isolate any random components that may be Figure 17shows the updated apparent polar wander path. responsible for directional scatter; thermal demagnetis- Its oldest part is based on only three poles: PCVB ation yielded coherent remanence directions for localities (Buddawadda Basalt),PCVI (dolerite intruding the basalt) 25 (type section) and 26 (Silver King Pb–Zn mine area).Only and LNSO2 (Lochness Formation).Although their reman- the well-exposed Pmh6 was sampled at locality 25; Pmh1 ence directions are well grouped,each pole is based on a and Pmh2 were sampled at locality 26. single site and on relatively few samples.This segment is Two remanence components, A and B, were resolved therefore tentative as indicated in Figure 17 by the broken (Figure 16a). Component A, with steep southwest-down- band.The Peters Creek Volcanics poles PCVB and PCVI</x:v>
      </x:c>
      <x:c r="L42" s="19" t="str">
        <x:v>/Users/lihd/discovery/paleomagnetic-r3-workflow/dist/paleomagnetic-r357-calibrated-workflow-full/data/parsed_mds/3434.txt</x:v>
      </x:c>
    </x:row>
    <x:row r="43" ht="52" customHeight="1">
      <x:c r="A43" s="19" t="str">
        <x:v>3434</x:v>
      </x:c>
      <x:c r="B43" s="19" t="str">
        <x:v>8719</x:v>
      </x:c>
      <x:c r="C43" s="19" t="str">
        <x:v>West Branch Volcanics</x:v>
      </x:c>
      <x:c r="D43" s="19" t="str">
        <x:v>A Component</x:v>
      </x:c>
      <x:c r="E43" s="19" t="str">
        <x:v>PRESENT</x:v>
      </x:c>
      <x:c r="F43" s="19" t="str">
        <x:v>SUSC-T(MAGN,HEM)</x:v>
      </x:c>
      <x:c r="G43" s="19" t="str">
        <x:v>PAPER_ROW_MATCH</x:v>
      </x:c>
      <x:c r="H43" s="19" t="str">
        <x:v>locator_component</x:v>
      </x:c>
      <x:c r="I43" s="19" t="n">
        <x:v>17</x:v>
      </x:c>
      <x:c r="J43" s="19" t="str">
        <x:v>result_locator</x:v>
      </x:c>
      <x:c r="K43" s="19" t="str">
        <x:v>ted apparent polar wander path. responsible for directional scatter; thermal demagnetis- Its oldest part is based on only three poles: PCVB ation yielded coherent remanence directions for localities (Buddawadda Basalt),PCVI (dolerite intruding the basalt) 25 (type section) and 26 (Silver King Pb–Zn mine area).Only and LNSO2 (Lochness Formation).Although their reman- the well-exposed Pmh6 was sampled at locality 25; Pmh1 ence directions are well grouped,each pole is based on a and Pmh2 were sampled at locality 26. single site and on relatively few samples.This segment is Two remanence components, A and B, were resolved therefore tentative as indicated in Figure 17 by the broken (Figure 16a). Component A, with steep southwest-down- band.The Peters Creek Volcanics poles PCVB and PCVI are ward inclinations (Figure 16a,b),unblocked between 440°C interpreted to be primary since they were deter</x:v>
      </x:c>
      <x:c r="L43" s="19" t="str">
        <x:v>/Users/lihd/discovery/paleomagnetic-r3-workflow/dist/paleomagnetic-r357-calibrated-workflow-full/data/parsed_mds/3434.txt</x:v>
      </x:c>
    </x:row>
    <x:row r="44" ht="52" customHeight="1">
      <x:c r="A44" s="19" t="str">
        <x:v>3434</x:v>
      </x:c>
      <x:c r="B44" s="19" t="str">
        <x:v>8719</x:v>
      </x:c>
      <x:c r="C44" s="19" t="str">
        <x:v>West Branch Volcanics</x:v>
      </x:c>
      <x:c r="D44" s="19" t="str">
        <x:v>A Component</x:v>
      </x:c>
      <x:c r="E44" s="19" t="str">
        <x:v>PRESENT</x:v>
      </x:c>
      <x:c r="F44" s="19" t="str">
        <x:v>SUSC-T(MAGN,HEM)</x:v>
      </x:c>
      <x:c r="G44" s="19" t="str">
        <x:v>PAPER_ROW_MATCH</x:v>
      </x:c>
      <x:c r="H44" s="19" t="str">
        <x:v>locator_component</x:v>
      </x:c>
      <x:c r="I44" s="19" t="n">
        <x:v>18</x:v>
      </x:c>
      <x:c r="J44" s="19" t="str">
        <x:v>result_locator</x:v>
      </x:c>
      <x:c r="K44" s="19" t="str">
        <x:v>422 M. Idnurm Figure16 Lawn Hill Formation.Orthogonal projection plot (a) shows components A and B.Stereoplots (b) and (c) show the directions of the A and B components,respectively.Symbols as in Figure 3. correlated with the Eastern Creek Volcanics of the dated.However,the location of GPRR on the apparent polar Leichhardt Fold Belt (Scott et al.1998) which have a maxi- wander path and the stratigraphic position of the ferricrete mum age of ca1790Ma given by the stratigraphically older in the Gun 1 sequence (Southgate et al.2000) indicate that Bottletree Formation (Page 1983).A minimum age of 1755 the ferricrete formed towards the end of the hiatus within 63Ma is provided by the Ballara Quartzite (Page 1998), the Gunpowder Creek Formation.This makes the ferricrete which post-dates</x:v>
      </x:c>
      <x:c r="L44" s="19" t="str">
        <x:v>/Users/lihd/discovery/paleomagnetic-r3-workflow/dist/paleomagnetic-r357-calibrated-workflow-full/data/parsed_mds/3434.txt</x:v>
      </x:c>
    </x:row>
    <x:row r="45" ht="52" customHeight="1">
      <x:c r="A45" s="19" t="str">
        <x:v>3434</x:v>
      </x:c>
      <x:c r="B45" s="19" t="str">
        <x:v>8720</x:v>
      </x:c>
      <x:c r="C45" s="19" t="str">
        <x:v>Masterson Sandstone</x:v>
      </x:c>
      <x:c r="D45" s="19" t="str">
        <x:v>A Component</x:v>
      </x:c>
      <x:c r="E45" s="19" t="str">
        <x:v>ABSTAIN_INSUFFICIENT</x:v>
      </x:c>
      <x:c r="F45" s="19" t="str"/>
      <x:c r="G45" s="19" t="str">
        <x:v>PAPER_ROW_MATCH</x:v>
      </x:c>
      <x:c r="H45" s="19" t="str">
        <x:v>locator_component</x:v>
      </x:c>
      <x:c r="I45" s="19" t="n">
        <x:v>10</x:v>
      </x:c>
      <x:c r="J45" s="19" t="str">
        <x:v>result_locator</x:v>
      </x:c>
      <x:c r="K45" s="19" t="str">
        <x:v>olomitic samples. Plots (c) and (d) show reman- ence directions from the red samples before (F) and after (B) bedding corrections, both groups being distinctly elon- gate. The directions from the site adjacent to a fault are indi- cated by squares.Plot (e) shows site mean remanence direc- tions for grey and light-brown samples.Heavy cross and plus indicate the present dipole and present field directions at the sampling locality. Symbols as in Figure 3. siliciclastics. However, a combination of AF followed by the pole plots in stratigraphic sequence relative to other thermal demagnetisation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x:v>
      </x:c>
      <x:c r="L45" s="19" t="str">
        <x:v>/Users/lihd/discovery/paleomagnetic-r3-workflow/dist/paleomagnetic-r357-calibrated-workflow-full/data/parsed_mds/3434.txt</x:v>
      </x:c>
    </x:row>
    <x:row r="46" ht="52" customHeight="1">
      <x:c r="A46" s="19" t="str">
        <x:v>3434</x:v>
      </x:c>
      <x:c r="B46" s="19" t="str">
        <x:v>8720</x:v>
      </x:c>
      <x:c r="C46" s="19" t="str">
        <x:v>Masterson Sandstone</x:v>
      </x:c>
      <x:c r="D46" s="19" t="str">
        <x:v>A Component</x:v>
      </x:c>
      <x:c r="E46" s="19" t="str">
        <x:v>ABSTAIN_INSUFFICIENT</x:v>
      </x:c>
      <x:c r="F46" s="19" t="str"/>
      <x:c r="G46" s="19" t="str">
        <x:v>PAPER_ROW_MATCH</x:v>
      </x:c>
      <x:c r="H46" s="19" t="str">
        <x:v>locator_component</x:v>
      </x:c>
      <x:c r="I46" s="19" t="n">
        <x:v>10</x:v>
      </x:c>
      <x:c r="J46" s="19" t="str">
        <x:v>result_locator</x:v>
      </x:c>
      <x:c r="K46" s="19" t="str">
        <x:v>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the two directions—a characteristic of remanences due to lightning formations. strikes which may be expected at the exposed sampling site. The second component (LT) was removed at the initial BALBIRINI DOLOMITE (100°C) heating step,suggesting that it is carried by goethite and is therefore probably modern.The third,often small, A primary palaeomagnetic pole has been reported previ- component (A) unblocked in the temperature range ously for the Balbirini Dolomite (Idnurm et al. 1995). 400–650°C and had a moderate upward inclination to the However,the NABRE sequence-stratigraphy w</x:v>
      </x:c>
      <x:c r="L46" s="19" t="str">
        <x:v>/Users/lihd/discovery/paleomagnetic-r3-workflow/dist/paleomagnetic-r357-calibrated-workflow-full/data/parsed_mds/3434.txt</x:v>
      </x:c>
    </x:row>
    <x:row r="47" ht="52" customHeight="1">
      <x:c r="A47" s="19" t="str">
        <x:v>3434</x:v>
      </x:c>
      <x:c r="B47" s="19" t="str">
        <x:v>8720</x:v>
      </x:c>
      <x:c r="C47" s="19" t="str">
        <x:v>Masterson Sandstone</x:v>
      </x:c>
      <x:c r="D47" s="19" t="str">
        <x:v>A Component</x:v>
      </x:c>
      <x:c r="E47" s="19" t="str">
        <x:v>ABSTAIN_INSUFFICIENT</x:v>
      </x:c>
      <x:c r="F47" s="19" t="str"/>
      <x:c r="G47" s="19" t="str">
        <x:v>PAPER_ROW_MATCH</x:v>
      </x:c>
      <x:c r="H47" s="19" t="str">
        <x:v>locator_component</x:v>
      </x:c>
      <x:c r="I47" s="19" t="n">
        <x:v>10</x:v>
      </x:c>
      <x:c r="J47" s="19" t="str">
        <x:v>result_locator</x:v>
      </x:c>
      <x:c r="K47" s="19" t="str">
        <x:v>1.3°,inclination –51.9°.Although a fold test is not (Jackson et al. 2000). This is confirmed by the SHRIMP available,this component is interpreted as primary because U–Pb dates of 160963Ma and 161364Ma for zircons from Figure6 Amos Formation. Orthogonal projection plots show thermal (a) and alter- nating field (AF)-thermal (b) demagnetisations of two sepa- rate specimens from the same sample. Thermal treatment yielded only a single,spurious component, whereas AF fol- lowed by thermal treatment yielded three components:LC, low coercivity (probably light- ning induced);LT,low temper- ature (present-day goethite remanence); and A, inter- preted as primary remanence. Stereodiagram (c) shows the A component directions. Cross indicates present geomagnetic field direction and x indicates outlier directions omitted from the pole calculation. 9002 yraurbeF 21 80:01 :tA ]ailartsuA nretseW fO ytisr</x:v>
      </x:c>
      <x:c r="L47" s="19" t="str">
        <x:v>/Users/lihd/discovery/paleomagnetic-r3-workflow/dist/paleomagnetic-r357-calibrated-workflow-full/data/parsed_mds/3434.txt</x:v>
      </x:c>
    </x:row>
    <x:row r="48" ht="52" customHeight="1">
      <x:c r="A48" s="19" t="str">
        <x:v>3434</x:v>
      </x:c>
      <x:c r="B48" s="19" t="str">
        <x:v>8720</x:v>
      </x:c>
      <x:c r="C48" s="19" t="str">
        <x:v>Masterson Sandstone</x:v>
      </x:c>
      <x:c r="D48" s="19" t="str">
        <x:v>A Component</x:v>
      </x:c>
      <x:c r="E48" s="19" t="str">
        <x:v>ABSTAIN_INSUFFICIENT</x:v>
      </x:c>
      <x:c r="F48" s="19" t="str"/>
      <x:c r="G48" s="19" t="str">
        <x:v>PAPER_ROW_MATCH</x:v>
      </x:c>
      <x:c r="H48" s="19" t="str">
        <x:v>locator_component</x:v>
      </x:c>
      <x:c r="I48" s="19" t="n">
        <x:v>11</x:v>
      </x:c>
      <x:c r="J48" s="19" t="str">
        <x:v>result_locator</x:v>
      </x:c>
      <x:c r="K48" s="19" t="str">
        <x:v>ng apparent polar wander path. 690°C;however,for some the intensity–temperature plots showed pronounced inflections at ~580°C,suggesting the presence of a second, magnetite, component (Figure 8a). Lawn Hill Platform: North Usually these inflections corresponded to small slope changes in the orthogonal projection diagrams,but the net PETERS CREEK VOLCANICS difference was too small to be statistically significant.This The bimodal Peters Creek Volcanics,which include sedi- suggests that the magnetite and hematite were magnetised ments and intrusives,are subdivided into seven members at,or approximately,the same time.The felsic remanences Ptp1 to Ptp7 (Sweet et al. 1981). The basal Ptp1, named (component A,pole PCVU in Table 2) formed bipolar direc- Buddawadda Basalt,contains mafic intrusives.It is separ- tional groups in the east-southeast and west-northwest ated by a regional unconformity </x:v>
      </x:c>
      <x:c r="L48" s="19" t="str">
        <x:v>/Users/lihd/discovery/paleomagnetic-r3-workflow/dist/paleomagnetic-r357-calibrated-workflow-full/data/parsed_mds/3434.txt</x:v>
      </x:c>
    </x:row>
    <x:row r="49" ht="52" customHeight="1">
      <x:c r="A49" s="19" t="str">
        <x:v>3434</x:v>
      </x:c>
      <x:c r="B49" s="19" t="str">
        <x:v>8720</x:v>
      </x:c>
      <x:c r="C49" s="19" t="str">
        <x:v>Masterson Sandstone</x:v>
      </x:c>
      <x:c r="D49" s="19" t="str">
        <x:v>A Component</x:v>
      </x:c>
      <x:c r="E49" s="19" t="str">
        <x:v>ABSTAIN_INSUFFICIENT</x:v>
      </x:c>
      <x:c r="F49" s="19" t="str"/>
      <x:c r="G49" s="19" t="str">
        <x:v>PAPER_ROW_MATCH</x:v>
      </x:c>
      <x:c r="H49" s="19" t="str">
        <x:v>locator_component</x:v>
      </x:c>
      <x:c r="I49" s="19" t="n">
        <x:v>12</x:v>
      </x:c>
      <x:c r="J49" s="19" t="str">
        <x:v>result_locator</x:v>
      </x:c>
      <x:c r="K49" s="19" t="str">
        <x:v>416 M. 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x:v>
      </x:c>
      <x:c r="L49" s="19" t="str">
        <x:v>/Users/lihd/discovery/paleomagnetic-r3-workflow/dist/paleomagnetic-r357-calibrated-workflow-full/data/parsed_mds/3434.txt</x:v>
      </x:c>
    </x:row>
    <x:row r="50" ht="52" customHeight="1">
      <x:c r="A50" s="19" t="str">
        <x:v>3434</x:v>
      </x:c>
      <x:c r="B50" s="19" t="str">
        <x:v>8720</x:v>
      </x:c>
      <x:c r="C50" s="19" t="str">
        <x:v>Masterson Sandstone</x:v>
      </x:c>
      <x:c r="D50" s="19" t="str">
        <x:v>A Component</x:v>
      </x:c>
      <x:c r="E50" s="19" t="str">
        <x:v>ABSTAIN_INSUFFICIENT</x:v>
      </x:c>
      <x:c r="F50" s="19" t="str"/>
      <x:c r="G50" s="19" t="str">
        <x:v>PAPER_ROW_MATCH</x:v>
      </x:c>
      <x:c r="H50" s="19" t="str">
        <x:v>locator_component</x:v>
      </x:c>
      <x:c r="I50" s="19" t="n">
        <x:v>13</x:v>
      </x:c>
      <x:c r="J50" s="19" t="str">
        <x:v>result_locator</x:v>
      </x:c>
      <x:c r="K50" s="19" t="str">
        <x:v>oss-bedded fluvial sandstones. The second spread between the A and C directions (Figure 9d). This interval was a dark red-brown, weathered (ocherous),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x:v>
      </x:c>
      <x:c r="L50" s="19" t="str">
        <x:v>/Users/lihd/discovery/paleomagnetic-r3-workflow/dist/paleomagnetic-r357-calibrated-workflow-full/data/parsed_mds/3434.txt</x:v>
      </x:c>
    </x:row>
    <x:row r="51" ht="52" customHeight="1">
      <x:c r="A51" s="19" t="str">
        <x:v>3434</x:v>
      </x:c>
      <x:c r="B51" s="19" t="str">
        <x:v>8720</x:v>
      </x:c>
      <x:c r="C51" s="19" t="str">
        <x:v>Masterson Sandstone</x:v>
      </x:c>
      <x:c r="D51" s="19" t="str">
        <x:v>A Component</x:v>
      </x:c>
      <x:c r="E51" s="19" t="str">
        <x:v>ABSTAIN_INSUFFICIENT</x:v>
      </x:c>
      <x:c r="F51" s="19" t="str"/>
      <x:c r="G51" s="19" t="str">
        <x:v>PAPER_ROW_MATCH</x:v>
      </x:c>
      <x:c r="H51" s="19" t="str">
        <x:v>locator_component</x:v>
      </x:c>
      <x:c r="I51" s="19" t="n">
        <x:v>13</x:v>
      </x:c>
      <x:c r="J51" s="19" t="str">
        <x:v>result_locator</x:v>
      </x:c>
      <x:c r="K51" s="19" t="str">
        <x:v>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siliciclastics and subordin- the overprint B in the Peters Creek Volcanics and is there- ate carbonates.Also present are tuffaceous beds containing</x:v>
      </x:c>
      <x:c r="L51" s="19" t="str">
        <x:v>/Users/lihd/discovery/paleomagnetic-r3-workflow/dist/paleomagnetic-r357-calibrated-workflow-full/data/parsed_mds/3434.txt</x:v>
      </x:c>
    </x:row>
    <x:row r="52" ht="52" customHeight="1">
      <x:c r="A52" s="19" t="str">
        <x:v>3434</x:v>
      </x:c>
      <x:c r="B52" s="19" t="str">
        <x:v>8720</x:v>
      </x:c>
      <x:c r="C52" s="19" t="str">
        <x:v>Masterson Sandstone</x:v>
      </x:c>
      <x:c r="D52" s="19" t="str">
        <x:v>A Component</x:v>
      </x:c>
      <x:c r="E52" s="19" t="str">
        <x:v>ABSTAIN_INSUFFICIENT</x:v>
      </x:c>
      <x:c r="F52" s="19" t="str"/>
      <x:c r="G52" s="19" t="str">
        <x:v>PAPER_ROW_MATCH</x:v>
      </x:c>
      <x:c r="H52" s="19" t="str">
        <x:v>locator_component</x:v>
      </x:c>
      <x:c r="I52" s="19" t="n">
        <x:v>13</x:v>
      </x:c>
      <x:c r="J52" s="19" t="str">
        <x:v>result_locator</x:v>
      </x:c>
      <x:c r="K52" s="19" t="str">
        <x:v>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x:v>
      </x:c>
      <x:c r="L52" s="19" t="str">
        <x:v>/Users/lihd/discovery/paleomagnetic-r3-workflow/dist/paleomagnetic-r357-calibrated-workflow-full/data/parsed_mds/3434.txt</x:v>
      </x:c>
    </x:row>
    <x:row r="53" ht="52" customHeight="1">
      <x:c r="A53" s="19" t="str">
        <x:v>3434</x:v>
      </x:c>
      <x:c r="B53" s="19" t="str">
        <x:v>8720</x:v>
      </x:c>
      <x:c r="C53" s="19" t="str">
        <x:v>Masterson Sandstone</x:v>
      </x:c>
      <x:c r="D53" s="19" t="str">
        <x:v>A Component</x:v>
      </x:c>
      <x:c r="E53" s="19" t="str">
        <x:v>ABSTAIN_INSUFFICIENT</x:v>
      </x:c>
      <x:c r="F53" s="19" t="str"/>
      <x:c r="G53" s="19" t="str">
        <x:v>PAPER_ROW_MATCH</x:v>
      </x:c>
      <x:c r="H53" s="19" t="str">
        <x:v>locator_component</x:v>
      </x:c>
      <x:c r="I53" s="19" t="n">
        <x:v>14</x:v>
      </x:c>
      <x:c r="J53" s="19" t="str">
        <x:v>result_locator</x:v>
      </x:c>
      <x:c r="K53" s="19" t="str">
        <x:v>. Such an origin would be LOCHNESS FORMATION consistent with the interpretation,discussed below,that the The Lochness Formation, pre-dating the Calvert Buddawadda Basalt pre-dates the unconformity. Superbasin (Jackson et al.2000) is the oldest unit sampled Alternatively,B could be an earlier overprint or even the in the McArthur Basin and Lawn Hill Platform. Its age primary remanence.In view of the large tilt of the beds,it is poorly constrained by the date 179069Ma from the is important to know if bedding corrections should be stratigraphically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x:v>
      </x:c>
      <x:c r="L53" s="19" t="str">
        <x:v>/Users/lihd/discovery/paleomagnetic-r3-workflow/dist/paleomagnetic-r357-calibrated-workflow-full/data/parsed_mds/3434.txt</x:v>
      </x:c>
    </x:row>
    <x:row r="54" ht="52" customHeight="1">
      <x:c r="A54" s="19" t="str">
        <x:v>3434</x:v>
      </x:c>
      <x:c r="B54" s="19" t="str">
        <x:v>8721</x:v>
      </x:c>
      <x:c r="C54" s="19" t="str">
        <x:v>Lynott Formation</x:v>
      </x:c>
      <x:c r="D54" s="19" t="str">
        <x:v>A Component</x:v>
      </x:c>
      <x:c r="E54" s="19" t="str">
        <x:v>ABSTAIN_INSUFFICIENT</x:v>
      </x:c>
      <x:c r="F54" s="19" t="str"/>
      <x:c r="G54" s="19" t="str">
        <x:v>PAPER_ROW_MATCH</x:v>
      </x:c>
      <x:c r="H54" s="19" t="str">
        <x:v>locator_component</x:v>
      </x:c>
      <x:c r="I54" s="19" t="n">
        <x:v>10</x:v>
      </x:c>
      <x:c r="J54" s="19" t="str">
        <x:v>result_locator</x:v>
      </x:c>
      <x:c r="K54" s="19" t="str">
        <x:v>olomitic samples. Plots (c) and (d) show reman- ence directions from the red samples before (F) and after (B) bedding corrections, both groups being distinctly elon- gate. The directions from the site adjacent to a fault are indi- cated by squares.Plot (e) shows site mean remanence direc- tions for grey and light-brown samples.Heavy cross and plus indicate the present dipole and present field directions at the sampling locality. Symbols as in Figure 3. siliciclastics. However, a combination of AF followed by the pole plots in stratigraphic sequence relative to other thermal demagnetisation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x:v>
      </x:c>
      <x:c r="L54" s="19" t="str">
        <x:v>/Users/lihd/discovery/paleomagnetic-r3-workflow/dist/paleomagnetic-r357-calibrated-workflow-full/data/parsed_mds/3434.txt</x:v>
      </x:c>
    </x:row>
    <x:row r="55" ht="52" customHeight="1">
      <x:c r="A55" s="19" t="str">
        <x:v>3434</x:v>
      </x:c>
      <x:c r="B55" s="19" t="str">
        <x:v>8721</x:v>
      </x:c>
      <x:c r="C55" s="19" t="str">
        <x:v>Lynott Formation</x:v>
      </x:c>
      <x:c r="D55" s="19" t="str">
        <x:v>A Component</x:v>
      </x:c>
      <x:c r="E55" s="19" t="str">
        <x:v>ABSTAIN_INSUFFICIENT</x:v>
      </x:c>
      <x:c r="F55" s="19" t="str"/>
      <x:c r="G55" s="19" t="str">
        <x:v>PAPER_ROW_MATCH</x:v>
      </x:c>
      <x:c r="H55" s="19" t="str">
        <x:v>locator_component</x:v>
      </x:c>
      <x:c r="I55" s="19" t="n">
        <x:v>10</x:v>
      </x:c>
      <x:c r="J55" s="19" t="str">
        <x:v>result_locator</x:v>
      </x:c>
      <x:c r="K55" s="19" t="str">
        <x:v>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the two directions—a characteristic of remanences due to lightning formations. strikes which may be expected at the exposed sampling site. The second component (LT) was removed at the initial BALBIRINI DOLOMITE (100°C) heating step,suggesting that it is carried by goethite and is therefore probably modern.The third,often small, A primary palaeomagnetic pole has been reported previ- component (A) unblocked in the temperature range ously for the Balbirini Dolomite (Idnurm et al. 1995). 400–650°C and had a moderate upward inclination to the However,the NABRE sequence-stratigraphy w</x:v>
      </x:c>
      <x:c r="L55" s="19" t="str">
        <x:v>/Users/lihd/discovery/paleomagnetic-r3-workflow/dist/paleomagnetic-r357-calibrated-workflow-full/data/parsed_mds/3434.txt</x:v>
      </x:c>
    </x:row>
    <x:row r="56" ht="52" customHeight="1">
      <x:c r="A56" s="19" t="str">
        <x:v>3434</x:v>
      </x:c>
      <x:c r="B56" s="19" t="str">
        <x:v>8721</x:v>
      </x:c>
      <x:c r="C56" s="19" t="str">
        <x:v>Lynott Formation</x:v>
      </x:c>
      <x:c r="D56" s="19" t="str">
        <x:v>A Component</x:v>
      </x:c>
      <x:c r="E56" s="19" t="str">
        <x:v>ABSTAIN_INSUFFICIENT</x:v>
      </x:c>
      <x:c r="F56" s="19" t="str"/>
      <x:c r="G56" s="19" t="str">
        <x:v>PAPER_ROW_MATCH</x:v>
      </x:c>
      <x:c r="H56" s="19" t="str">
        <x:v>locator_component</x:v>
      </x:c>
      <x:c r="I56" s="19" t="n">
        <x:v>10</x:v>
      </x:c>
      <x:c r="J56" s="19" t="str">
        <x:v>result_locator</x:v>
      </x:c>
      <x:c r="K56" s="19" t="str">
        <x:v>1.3°,inclination –51.9°.Although a fold test is not (Jackson et al. 2000). This is confirmed by the SHRIMP available,this component is interpreted as primary because U–Pb dates of 160963Ma and 161364Ma for zircons from Figure6 Amos Formation. Orthogonal projection plots show thermal (a) and alter- nating field (AF)-thermal (b) demagnetisations of two sepa- rate specimens from the same sample. Thermal treatment yielded only a single,spurious component, whereas AF fol- lowed by thermal treatment yielded three components:LC, low coercivity (probably light- ning induced);LT,low temper- ature (present-day goethite remanence); and A, inter- preted as primary remanence. Stereodiagram (c) shows the A component directions. Cross indicates present geomagnetic field direction and x indicates outlier directions omitted from the pole calculation. 9002 yraurbeF 21 80:01 :tA ]ailartsuA nretseW fO ytisr</x:v>
      </x:c>
      <x:c r="L56" s="19" t="str">
        <x:v>/Users/lihd/discovery/paleomagnetic-r3-workflow/dist/paleomagnetic-r357-calibrated-workflow-full/data/parsed_mds/3434.txt</x:v>
      </x:c>
    </x:row>
    <x:row r="57" ht="52" customHeight="1">
      <x:c r="A57" s="19" t="str">
        <x:v>3434</x:v>
      </x:c>
      <x:c r="B57" s="19" t="str">
        <x:v>8721</x:v>
      </x:c>
      <x:c r="C57" s="19" t="str">
        <x:v>Lynott Formation</x:v>
      </x:c>
      <x:c r="D57" s="19" t="str">
        <x:v>A Component</x:v>
      </x:c>
      <x:c r="E57" s="19" t="str">
        <x:v>ABSTAIN_INSUFFICIENT</x:v>
      </x:c>
      <x:c r="F57" s="19" t="str"/>
      <x:c r="G57" s="19" t="str">
        <x:v>PAPER_ROW_MATCH</x:v>
      </x:c>
      <x:c r="H57" s="19" t="str">
        <x:v>locator_component</x:v>
      </x:c>
      <x:c r="I57" s="19" t="n">
        <x:v>11</x:v>
      </x:c>
      <x:c r="J57" s="19" t="str">
        <x:v>result_locator</x:v>
      </x:c>
      <x:c r="K57" s="19" t="str">
        <x:v>ng apparent polar wander path. 690°C;however,for some the intensity–temperature plots showed pronounced inflections at ~580°C,suggesting the presence of a second, magnetite, component (Figure 8a). Lawn Hill Platform: North Usually these inflections corresponded to small slope changes in the orthogonal projection diagrams,but the net PETERS CREEK VOLCANICS difference was too small to be statistically significant.This The bimodal Peters Creek Volcanics,which include sedi- suggests that the magnetite and hematite were magnetised ments and intrusives,are subdivided into seven members at,or approximately,the same time.The felsic remanences Ptp1 to Ptp7 (Sweet et al. 1981). The basal Ptp1, named (component A,pole PCVU in Table 2) formed bipolar direc- Buddawadda Basalt,contains mafic intrusives.It is separ- tional groups in the east-southeast and west-northwest ated by a regional unconformity </x:v>
      </x:c>
      <x:c r="L57" s="19" t="str">
        <x:v>/Users/lihd/discovery/paleomagnetic-r3-workflow/dist/paleomagnetic-r357-calibrated-workflow-full/data/parsed_mds/3434.txt</x:v>
      </x:c>
    </x:row>
    <x:row r="58" ht="52" customHeight="1">
      <x:c r="A58" s="19" t="str">
        <x:v>3434</x:v>
      </x:c>
      <x:c r="B58" s="19" t="str">
        <x:v>8721</x:v>
      </x:c>
      <x:c r="C58" s="19" t="str">
        <x:v>Lynott Formation</x:v>
      </x:c>
      <x:c r="D58" s="19" t="str">
        <x:v>A Component</x:v>
      </x:c>
      <x:c r="E58" s="19" t="str">
        <x:v>ABSTAIN_INSUFFICIENT</x:v>
      </x:c>
      <x:c r="F58" s="19" t="str"/>
      <x:c r="G58" s="19" t="str">
        <x:v>PAPER_ROW_MATCH</x:v>
      </x:c>
      <x:c r="H58" s="19" t="str">
        <x:v>locator_component</x:v>
      </x:c>
      <x:c r="I58" s="19" t="n">
        <x:v>17</x:v>
      </x:c>
      <x:c r="J58" s="19" t="str">
        <x:v>result_locator</x:v>
      </x:c>
      <x:c r="K58" s="19" t="str">
        <x:v>retreatments). AF demagnetisation failed to isolate any random components that may be Figure 17shows the updated apparent polar wander path. responsible for directional scatter; thermal demagnetis- Its oldest part is based on only three poles: PCVB ation yielded coherent remanence directions for localities (Buddawadda Basalt),PCVI (dolerite intruding the basalt) 25 (type section) and 26 (Silver King Pb–Zn mine area).Only and LNSO2 (Lochness Formation).Although their reman- the well-exposed Pmh6 was sampled at locality 25; Pmh1 ence directions are well grouped,each pole is based on a and Pmh2 were sampled at locality 26. single site and on relatively few samples.This segment is Two remanence components, A and B, were resolved therefore tentative as indicated in Figure 17 by the broken (Figure 16a). Component A, with steep southwest-down- band.The Peters Creek Volcanics poles PCVB and PCVI</x:v>
      </x:c>
      <x:c r="L58" s="19" t="str">
        <x:v>/Users/lihd/discovery/paleomagnetic-r3-workflow/dist/paleomagnetic-r357-calibrated-workflow-full/data/parsed_mds/3434.txt</x:v>
      </x:c>
    </x:row>
    <x:row r="59" ht="52" customHeight="1">
      <x:c r="A59" s="19" t="str">
        <x:v>3434</x:v>
      </x:c>
      <x:c r="B59" s="19" t="str">
        <x:v>8721</x:v>
      </x:c>
      <x:c r="C59" s="19" t="str">
        <x:v>Lynott Formation</x:v>
      </x:c>
      <x:c r="D59" s="19" t="str">
        <x:v>A Component</x:v>
      </x:c>
      <x:c r="E59" s="19" t="str">
        <x:v>ABSTAIN_INSUFFICIENT</x:v>
      </x:c>
      <x:c r="F59" s="19" t="str"/>
      <x:c r="G59" s="19" t="str">
        <x:v>PAPER_ROW_MATCH</x:v>
      </x:c>
      <x:c r="H59" s="19" t="str">
        <x:v>locator_component</x:v>
      </x:c>
      <x:c r="I59" s="19" t="n">
        <x:v>17</x:v>
      </x:c>
      <x:c r="J59" s="19" t="str">
        <x:v>result_locator</x:v>
      </x:c>
      <x:c r="K59" s="19" t="str">
        <x:v>ted apparent polar wander path. responsible for directional scatter; thermal demagnetis- Its oldest part is based on only three poles: PCVB ation yielded coherent remanence directions for localities (Buddawadda Basalt),PCVI (dolerite intruding the basalt) 25 (type section) and 26 (Silver King Pb–Zn mine area).Only and LNSO2 (Lochness Formation).Although their reman- the well-exposed Pmh6 was sampled at locality 25; Pmh1 ence directions are well grouped,each pole is based on a and Pmh2 were sampled at locality 26. single site and on relatively few samples.This segment is Two remanence components, A and B, were resolved therefore tentative as indicated in Figure 17 by the broken (Figure 16a). Component A, with steep southwest-down- band.The Peters Creek Volcanics poles PCVB and PCVI are ward inclinations (Figure 16a,b),unblocked between 440°C interpreted to be primary since they were deter</x:v>
      </x:c>
      <x:c r="L59" s="19" t="str">
        <x:v>/Users/lihd/discovery/paleomagnetic-r3-workflow/dist/paleomagnetic-r357-calibrated-workflow-full/data/parsed_mds/3434.txt</x:v>
      </x:c>
    </x:row>
    <x:row r="60" ht="52" customHeight="1">
      <x:c r="A60" s="19" t="str">
        <x:v>3434</x:v>
      </x:c>
      <x:c r="B60" s="19" t="str">
        <x:v>8721</x:v>
      </x:c>
      <x:c r="C60" s="19" t="str">
        <x:v>Lynott Formation</x:v>
      </x:c>
      <x:c r="D60" s="19" t="str">
        <x:v>A Component</x:v>
      </x:c>
      <x:c r="E60" s="19" t="str">
        <x:v>ABSTAIN_INSUFFICIENT</x:v>
      </x:c>
      <x:c r="F60" s="19" t="str"/>
      <x:c r="G60" s="19" t="str">
        <x:v>PAPER_ROW_MATCH</x:v>
      </x:c>
      <x:c r="H60" s="19" t="str">
        <x:v>locator_component</x:v>
      </x:c>
      <x:c r="I60" s="19" t="n">
        <x:v>18</x:v>
      </x:c>
      <x:c r="J60" s="19" t="str">
        <x:v>result_locator</x:v>
      </x:c>
      <x:c r="K60" s="19" t="str">
        <x:v>422 M. Idnurm Figure16 Lawn Hill Formation.Orthogonal projection plot (a) shows components A and B.Stereoplots (b) and (c) show the directions of the A and B components,respectively.Symbols as in Figure 3. correlated with the Eastern Creek Volcanics of the dated.However,the location of GPRR on the apparent polar Leichhardt Fold Belt (Scott et al.1998) which have a maxi- wander path and the stratigraphic position of the ferricrete mum age of ca1790Ma given by the stratigraphically older in the Gun 1 sequence (Southgate et al.2000) indicate that Bottletree Formation (Page 1983).A minimum age of 1755 the ferricrete formed towards the end of the hiatus within 63Ma is provided by the Ballara Quartzite (Page 1998), the Gunpowder Creek Formation.This makes the ferricrete which post-dates</x:v>
      </x:c>
      <x:c r="L60" s="19" t="str">
        <x:v>/Users/lihd/discovery/paleomagnetic-r3-workflow/dist/paleomagnetic-r357-calibrated-workflow-full/data/parsed_mds/3434.txt</x:v>
      </x:c>
    </x:row>
    <x:row r="61" ht="52" customHeight="1">
      <x:c r="A61" s="19" t="str">
        <x:v>3434</x:v>
      </x:c>
      <x:c r="B61" s="19" t="str">
        <x:v>8725</x:v>
      </x:c>
      <x:c r="C61" s="19" t="str">
        <x:v>Peters Creek Volcanics, upper part</x:v>
      </x:c>
      <x:c r="D61" s="19" t="str">
        <x:v>A Component</x:v>
      </x:c>
      <x:c r="E61" s="19" t="str">
        <x:v>ABSTAIN_INSUFFICIENT</x:v>
      </x:c>
      <x:c r="F61" s="19" t="str"/>
      <x:c r="G61" s="19" t="str">
        <x:v>PAPER_ROW_MATCH</x:v>
      </x:c>
      <x:c r="H61" s="19" t="str">
        <x:v>locator_component</x:v>
      </x:c>
      <x:c r="I61" s="19" t="n">
        <x:v>10</x:v>
      </x:c>
      <x:c r="J61" s="19" t="str">
        <x:v>result_locator</x:v>
      </x:c>
      <x:c r="K61" s="19" t="str">
        <x:v>olomitic samples. Plots (c) and (d) show reman- ence directions from the red samples before (F) and after (B) bedding corrections, both groups being distinctly elon- gate. The directions from the site adjacent to a fault are indi- cated by squares.Plot (e) shows site mean remanence direc- tions for grey and light-brown samples.Heavy cross and plus indicate the present dipole and present field directions at the sampling locality. Symbols as in Figure 3. siliciclastics. However, a combination of AF followed by the pole plots in stratigraphic sequence relative to other thermal demagnetisation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x:v>
      </x:c>
      <x:c r="L61" s="19" t="str">
        <x:v>/Users/lihd/discovery/paleomagnetic-r3-workflow/dist/paleomagnetic-r357-calibrated-workflow-full/data/parsed_mds/3434.txt</x:v>
      </x:c>
    </x:row>
    <x:row r="62" ht="52" customHeight="1">
      <x:c r="A62" s="19" t="str">
        <x:v>3434</x:v>
      </x:c>
      <x:c r="B62" s="19" t="str">
        <x:v>8725</x:v>
      </x:c>
      <x:c r="C62" s="19" t="str">
        <x:v>Peters Creek Volcanics, upper part</x:v>
      </x:c>
      <x:c r="D62" s="19" t="str">
        <x:v>A Component</x:v>
      </x:c>
      <x:c r="E62" s="19" t="str">
        <x:v>ABSTAIN_INSUFFICIENT</x:v>
      </x:c>
      <x:c r="F62" s="19" t="str"/>
      <x:c r="G62" s="19" t="str">
        <x:v>PAPER_ROW_MATCH</x:v>
      </x:c>
      <x:c r="H62" s="19" t="str">
        <x:v>locator_component</x:v>
      </x:c>
      <x:c r="I62" s="19" t="n">
        <x:v>10</x:v>
      </x:c>
      <x:c r="J62" s="19" t="str">
        <x:v>result_locator</x:v>
      </x:c>
      <x:c r="K62" s="19" t="str">
        <x:v>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the two directions—a characteristic of remanences due to lightning formations. strikes which may be expected at the exposed sampling site. The second component (LT) was removed at the initial BALBIRINI DOLOMITE (100°C) heating step,suggesting that it is carried by goethite and is therefore probably modern.The third,often small, A primary palaeomagnetic pole has been reported previ- component (A) unblocked in the temperature range ously for the Balbirini Dolomite (Idnurm et al. 1995). 400–650°C and had a moderate upward inclination to the However,the NABRE sequence-stratigraphy w</x:v>
      </x:c>
      <x:c r="L62" s="19" t="str">
        <x:v>/Users/lihd/discovery/paleomagnetic-r3-workflow/dist/paleomagnetic-r357-calibrated-workflow-full/data/parsed_mds/3434.txt</x:v>
      </x:c>
    </x:row>
    <x:row r="63" ht="52" customHeight="1">
      <x:c r="A63" s="19" t="str">
        <x:v>3434</x:v>
      </x:c>
      <x:c r="B63" s="19" t="str">
        <x:v>8725</x:v>
      </x:c>
      <x:c r="C63" s="19" t="str">
        <x:v>Peters Creek Volcanics, upper part</x:v>
      </x:c>
      <x:c r="D63" s="19" t="str">
        <x:v>A Component</x:v>
      </x:c>
      <x:c r="E63" s="19" t="str">
        <x:v>ABSTAIN_INSUFFICIENT</x:v>
      </x:c>
      <x:c r="F63" s="19" t="str"/>
      <x:c r="G63" s="19" t="str">
        <x:v>PAPER_ROW_MATCH</x:v>
      </x:c>
      <x:c r="H63" s="19" t="str">
        <x:v>locator_component</x:v>
      </x:c>
      <x:c r="I63" s="19" t="n">
        <x:v>10</x:v>
      </x:c>
      <x:c r="J63" s="19" t="str">
        <x:v>result_locator</x:v>
      </x:c>
      <x:c r="K63" s="19" t="str">
        <x:v>1.3°,inclination –51.9°.Although a fold test is not (Jackson et al. 2000). This is confirmed by the SHRIMP available,this component is interpreted as primary because U–Pb dates of 160963Ma and 161364Ma for zircons from Figure6 Amos Formation. Orthogonal projection plots show thermal (a) and alter- nating field (AF)-thermal (b) demagnetisations of two sepa- rate specimens from the same sample. Thermal treatment yielded only a single,spurious component, whereas AF fol- lowed by thermal treatment yielded three components:LC, low coercivity (probably light- ning induced);LT,low temper- ature (present-day goethite remanence); and A, inter- preted as primary remanence. Stereodiagram (c) shows the A component directions. Cross indicates present geomagnetic field direction and x indicates outlier directions omitted from the pole calculation. 9002 yraurbeF 21 80:01 :tA ]ailartsuA nretseW fO ytisr</x:v>
      </x:c>
      <x:c r="L63" s="19" t="str">
        <x:v>/Users/lihd/discovery/paleomagnetic-r3-workflow/dist/paleomagnetic-r357-calibrated-workflow-full/data/parsed_mds/3434.txt</x:v>
      </x:c>
    </x:row>
    <x:row r="64" ht="52" customHeight="1">
      <x:c r="A64" s="19" t="str">
        <x:v>3434</x:v>
      </x:c>
      <x:c r="B64" s="19" t="str">
        <x:v>8725</x:v>
      </x:c>
      <x:c r="C64" s="19" t="str">
        <x:v>Peters Creek Volcanics, upper part</x:v>
      </x:c>
      <x:c r="D64" s="19" t="str">
        <x:v>A Component</x:v>
      </x:c>
      <x:c r="E64" s="19" t="str">
        <x:v>ABSTAIN_INSUFFICIENT</x:v>
      </x:c>
      <x:c r="F64" s="19" t="str"/>
      <x:c r="G64" s="19" t="str">
        <x:v>PAPER_ROW_MATCH</x:v>
      </x:c>
      <x:c r="H64" s="19" t="str">
        <x:v>locator_component</x:v>
      </x:c>
      <x:c r="I64" s="19" t="n">
        <x:v>11</x:v>
      </x:c>
      <x:c r="J64" s="19" t="str">
        <x:v>result_locator</x:v>
      </x:c>
      <x:c r="K64" s="19" t="str">
        <x:v>ng apparent polar wander path. 690°C;however,for some the intensity–temperature plots showed pronounced inflections at ~580°C,suggesting the presence of a second, magnetite, component (Figure 8a). Lawn Hill Platform: North Usually these inflections corresponded to small slope changes in the orthogonal projection diagrams,but the net PETERS CREEK VOLCANICS difference was too small to be statistically significant.This The bimodal Peters Creek Volcanics,which include sedi- suggests that the magnetite and hematite were magnetised ments and intrusives,are subdivided into seven members at,or approximately,the same time.The felsic remanences Ptp1 to Ptp7 (Sweet et al. 1981). The basal Ptp1, named (component A,pole PCVU in Table 2) formed bipolar direc- Buddawadda Basalt,contains mafic intrusives.It is separ- tional groups in the east-southeast and west-northwest ated by a regional unconformity </x:v>
      </x:c>
      <x:c r="L64" s="19" t="str">
        <x:v>/Users/lihd/discovery/paleomagnetic-r3-workflow/dist/paleomagnetic-r357-calibrated-workflow-full/data/parsed_mds/3434.txt</x:v>
      </x:c>
    </x:row>
    <x:row r="65" ht="52" customHeight="1">
      <x:c r="A65" s="19" t="str">
        <x:v>3434</x:v>
      </x:c>
      <x:c r="B65" s="19" t="str">
        <x:v>8725</x:v>
      </x:c>
      <x:c r="C65" s="19" t="str">
        <x:v>Peters Creek Volcanics, upper part</x:v>
      </x:c>
      <x:c r="D65" s="19" t="str">
        <x:v>A Component</x:v>
      </x:c>
      <x:c r="E65" s="19" t="str">
        <x:v>ABSTAIN_INSUFFICIENT</x:v>
      </x:c>
      <x:c r="F65" s="19" t="str"/>
      <x:c r="G65" s="19" t="str">
        <x:v>PAPER_ROW_MATCH</x:v>
      </x:c>
      <x:c r="H65" s="19" t="str">
        <x:v>locator_component</x:v>
      </x:c>
      <x:c r="I65" s="19" t="n">
        <x:v>12</x:v>
      </x:c>
      <x:c r="J65" s="19" t="str">
        <x:v>result_locator</x:v>
      </x:c>
      <x:c r="K65" s="19" t="str">
        <x:v>416 M. 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x:v>
      </x:c>
      <x:c r="L65" s="19" t="str">
        <x:v>/Users/lihd/discovery/paleomagnetic-r3-workflow/dist/paleomagnetic-r357-calibrated-workflow-full/data/parsed_mds/3434.txt</x:v>
      </x:c>
    </x:row>
    <x:row r="66" ht="52" customHeight="1">
      <x:c r="A66" s="19" t="str">
        <x:v>3434</x:v>
      </x:c>
      <x:c r="B66" s="19" t="str">
        <x:v>8725</x:v>
      </x:c>
      <x:c r="C66" s="19" t="str">
        <x:v>Peters Creek Volcanics, upper part</x:v>
      </x:c>
      <x:c r="D66" s="19" t="str">
        <x:v>A Component</x:v>
      </x:c>
      <x:c r="E66" s="19" t="str">
        <x:v>ABSTAIN_INSUFFICIENT</x:v>
      </x:c>
      <x:c r="F66" s="19" t="str"/>
      <x:c r="G66" s="19" t="str">
        <x:v>PAPER_ROW_MATCH</x:v>
      </x:c>
      <x:c r="H66" s="19" t="str">
        <x:v>locator_component</x:v>
      </x:c>
      <x:c r="I66" s="19" t="n">
        <x:v>15</x:v>
      </x:c>
      <x:c r="J66" s="19" t="str">
        <x:v>result_locator</x:v>
      </x:c>
      <x:c r="K66" s="19" t="str">
        <x:v>t (L15 &amp; L16,Figure 1).Moderately steep to near- fluids.As noted in the discussion,the circulation may have vertical bedding dips at the first two localities contrast with been caused by tectonism related to the bend at ca1650Ma moderate dips at the third and provide a good opportunity on the apparent polar wander path. The timing and geo- for fold tests. Rock colour ranged from dark grey to buff chemistry of the alteration suggest that the fluids may have and,less commonly,red-brown.The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x:v>
      </x:c>
      <x:c r="L66" s="19" t="str">
        <x:v>/Users/lihd/discovery/paleomagnetic-r3-workflow/dist/paleomagnetic-r357-calibrated-workflow-full/data/parsed_mds/3434.txt</x:v>
      </x:c>
    </x:row>
    <x:row r="67" ht="52" customHeight="1">
      <x:c r="A67" s="19" t="str">
        <x:v>3434</x:v>
      </x:c>
      <x:c r="B67" s="19" t="str">
        <x:v>8725</x:v>
      </x:c>
      <x:c r="C67" s="19" t="str">
        <x:v>Peters Creek Volcanics, upper part</x:v>
      </x:c>
      <x:c r="D67" s="19" t="str">
        <x:v>A Component</x:v>
      </x:c>
      <x:c r="E67" s="19" t="str">
        <x:v>ABSTAIN_INSUFFICIENT</x:v>
      </x:c>
      <x:c r="F67" s="19" t="str"/>
      <x:c r="G67" s="19" t="str">
        <x:v>PAPER_ROW_MATCH</x:v>
      </x:c>
      <x:c r="H67" s="19" t="str">
        <x:v>locator_component</x:v>
      </x:c>
      <x:c r="I67" s="19" t="n">
        <x:v>15</x:v>
      </x:c>
      <x:c r="J67" s="19" t="str">
        <x:v>result_locator</x:v>
      </x:c>
      <x:c r="K67" s="19" t="str">
        <x:v>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x:v>
      </x:c>
      <x:c r="L67" s="19" t="str">
        <x:v>/Users/lihd/discovery/paleomagnetic-r3-workflow/dist/paleomagnetic-r357-calibrated-workflow-full/data/parsed_mds/3434.txt</x:v>
      </x:c>
    </x:row>
    <x:row r="68" ht="52" customHeight="1">
      <x:c r="A68" s="19" t="str">
        <x:v>3434</x:v>
      </x:c>
      <x:c r="B68" s="19" t="str">
        <x:v>8725</x:v>
      </x:c>
      <x:c r="C68" s="19" t="str">
        <x:v>Peters Creek Volcanics, upper part</x:v>
      </x:c>
      <x:c r="D68" s="19" t="str">
        <x:v>A Component</x:v>
      </x:c>
      <x:c r="E68" s="19" t="str">
        <x:v>ABSTAIN_INSUFFICIENT</x:v>
      </x:c>
      <x:c r="F68" s="19" t="str"/>
      <x:c r="G68" s="19" t="str">
        <x:v>PAPER_ROW_MATCH</x:v>
      </x:c>
      <x:c r="H68" s="19" t="str">
        <x:v>locator_component</x:v>
      </x:c>
      <x:c r="I68" s="19" t="n">
        <x:v>15</x:v>
      </x:c>
      <x:c r="J68" s="19" t="str">
        <x:v>result_locator</x:v>
      </x:c>
      <x:c r="K68" s="19" t="str">
        <x:v>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three sampling localities,where it oc</x:v>
      </x:c>
      <x:c r="L68" s="19" t="str">
        <x:v>/Users/lihd/discovery/paleomagnetic-r3-workflow/dist/paleomagnetic-r357-calibrated-workflow-full/data/parsed_mds/3434.txt</x:v>
      </x:c>
    </x:row>
    <x:row r="69" ht="52" customHeight="1">
      <x:c r="A69" s="19" t="str">
        <x:v>3434</x:v>
      </x:c>
      <x:c r="B69" s="19" t="str">
        <x:v>8725</x:v>
      </x:c>
      <x:c r="C69" s="19" t="str">
        <x:v>Peters Creek Volcanics, upper part</x:v>
      </x:c>
      <x:c r="D69" s="19" t="str">
        <x:v>A Component</x:v>
      </x:c>
      <x:c r="E69" s="19" t="str">
        <x:v>ABSTAIN_INSUFFICIENT</x:v>
      </x:c>
      <x:c r="F69" s="19" t="str"/>
      <x:c r="G69" s="19" t="str">
        <x:v>PAPER_ROW_MATCH</x:v>
      </x:c>
      <x:c r="H69" s="19" t="str">
        <x:v>locator_component</x:v>
      </x:c>
      <x:c r="I69" s="19" t="n">
        <x:v>15</x:v>
      </x:c>
      <x:c r="J69" s="19" t="str">
        <x:v>result_locator</x:v>
      </x:c>
      <x:c r="K69" s="19" t="str">
        <x:v>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three sampling localities,where it occurred in both grey deformational. Its mean direction, calculated after and buff s</x:v>
      </x:c>
      <x:c r="L69" s="19" t="str">
        <x:v>/Users/lihd/discovery/paleomagnetic-r3-workflow/dist/paleomagnetic-r357-calibrated-workflow-full/data/parsed_mds/3434.txt</x:v>
      </x:c>
    </x:row>
    <x:row r="70" ht="52" customHeight="1">
      <x:c r="A70" s="19" t="str">
        <x:v>3434</x:v>
      </x:c>
      <x:c r="B70" s="19" t="str">
        <x:v>8725</x:v>
      </x:c>
      <x:c r="C70" s="19" t="str">
        <x:v>Peters Creek Volcanics, upper part</x:v>
      </x:c>
      <x:c r="D70" s="19" t="str">
        <x:v>A Component</x:v>
      </x:c>
      <x:c r="E70" s="19" t="str">
        <x:v>ABSTAIN_INSUFFICIENT</x:v>
      </x:c>
      <x:c r="F70" s="19" t="str"/>
      <x:c r="G70" s="19" t="str">
        <x:v>PAPER_ROW_MATCH</x:v>
      </x:c>
      <x:c r="H70" s="19" t="str">
        <x:v>locator_component</x:v>
      </x:c>
      <x:c r="I70" s="19" t="n">
        <x:v>16</x:v>
      </x:c>
      <x:c r="J70" s="19" t="str">
        <x:v>result_locator</x:v>
      </x:c>
      <x:c r="K70" s="19" t="str">
        <x:v>re sampled;four of ples suggests that the remagnetisation was not due to these were measured stratigraphic sections.They included weathering.Its mean direction (declination 197.4°,inclin- the type section at Paradise Creek (locality L15), and ation 55.8°) is consistent with the middle Mesoproterozoic the Esperanza Waterhole and Barr Hole sections near the apparent polar wander path,although that part of the path Mt Gordon Fault where also the Gunpowder Creek is very poorly defined.If so,this component may record an Formation was sampled.The rock was predominantly grey. event during the assembly of Rodinia. Figure13 Gunpowder Creek Formation.Field (a) and bedding (b) corrected directions for component A.Dispersal of directions after bedding corrections indicates that A is an overprint.Field (c) and bedding (d) corrected directions for component B.Convergence of directions after bedding co</x:v>
      </x:c>
      <x:c r="L70" s="19" t="str">
        <x:v>/Users/lihd/discovery/paleomagnetic-r3-workflow/dist/paleomagnetic-r357-calibrated-workflow-full/data/parsed_mds/3434.txt</x:v>
      </x:c>
    </x:row>
    <x:row r="71" ht="52" customHeight="1">
      <x:c r="A71" s="19" t="str">
        <x:v>3434</x:v>
      </x:c>
      <x:c r="B71" s="19" t="str">
        <x:v>8726</x:v>
      </x:c>
      <x:c r="C71" s="19" t="str">
        <x:v>Buddawadda Basalt (intrusives)</x:v>
      </x:c>
      <x:c r="D71" s="19" t="str">
        <x:v>C Component</x:v>
      </x:c>
      <x:c r="E71" s="19" t="str">
        <x:v>ABSTAIN_INSUFFICIENT</x:v>
      </x:c>
      <x:c r="F71" s="19" t="str"/>
      <x:c r="G71" s="19" t="str">
        <x:v>PAPER_ROW_MATCH</x:v>
      </x:c>
      <x:c r="H71" s="19" t="str">
        <x:v>locator_component</x:v>
      </x:c>
      <x:c r="I71" s="19" t="n">
        <x:v>12</x:v>
      </x:c>
      <x:c r="J71" s="19" t="str">
        <x:v>result_locator</x:v>
      </x:c>
      <x:c r="K71" s="19" t="str">
        <x:v>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x:v>
      </x:c>
      <x:c r="L71" s="19" t="str">
        <x:v>/Users/lihd/discovery/paleomagnetic-r3-workflow/dist/paleomagnetic-r357-calibrated-workflow-full/data/parsed_mds/3434.txt</x:v>
      </x:c>
    </x:row>
    <x:row r="72" ht="52" customHeight="1">
      <x:c r="A72" s="19" t="str">
        <x:v>3434</x:v>
      </x:c>
      <x:c r="B72" s="19" t="str">
        <x:v>8726</x:v>
      </x:c>
      <x:c r="C72" s="19" t="str">
        <x:v>Buddawadda Basalt (intrusives)</x:v>
      </x:c>
      <x:c r="D72" s="19" t="str">
        <x:v>C Component</x:v>
      </x:c>
      <x:c r="E72" s="19" t="str">
        <x:v>ABSTAIN_INSUFFICIENT</x:v>
      </x:c>
      <x:c r="F72" s="19" t="str"/>
      <x:c r="G72" s="19" t="str">
        <x:v>PAPER_ROW_MATCH</x:v>
      </x:c>
      <x:c r="H72" s="19" t="str">
        <x:v>locator_component</x:v>
      </x:c>
      <x:c r="I72" s="19" t="n">
        <x:v>12</x:v>
      </x:c>
      <x:c r="J72" s="19" t="str">
        <x:v>result_locator</x:v>
      </x:c>
      <x:c r="K72" s="19" t="str">
        <x:v>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x:v>
      </x:c>
      <x:c r="L72" s="19" t="str">
        <x:v>/Users/lihd/discovery/paleomagnetic-r3-workflow/dist/paleomagnetic-r357-calibrated-workflow-full/data/parsed_mds/3434.txt</x:v>
      </x:c>
    </x:row>
    <x:row r="73" ht="52" customHeight="1">
      <x:c r="A73" s="19" t="str">
        <x:v>3434</x:v>
      </x:c>
      <x:c r="B73" s="19" t="str">
        <x:v>8726</x:v>
      </x:c>
      <x:c r="C73" s="19" t="str">
        <x:v>Buddawadda Basalt (intrusives)</x:v>
      </x:c>
      <x:c r="D73" s="19" t="str">
        <x:v>C Component</x:v>
      </x:c>
      <x:c r="E73" s="19" t="str">
        <x:v>ABSTAIN_INSUFFICIENT</x:v>
      </x:c>
      <x:c r="F73" s="19" t="str"/>
      <x:c r="G73" s="19" t="str">
        <x:v>PAPER_ROW_MATCH</x:v>
      </x:c>
      <x:c r="H73" s="19" t="str">
        <x:v>locator_component</x:v>
      </x:c>
      <x:c r="I73" s="19" t="n">
        <x:v>12</x:v>
      </x:c>
      <x:c r="J73" s="19" t="str">
        <x:v>result_locator</x:v>
      </x:c>
      <x:c r="K73" s="19" t="str">
        <x:v>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x:v>
      </x:c>
      <x:c r="L73" s="19" t="str">
        <x:v>/Users/lihd/discovery/paleomagnetic-r3-workflow/dist/paleomagnetic-r357-calibrated-workflow-full/data/parsed_mds/3434.txt</x:v>
      </x:c>
    </x:row>
    <x:row r="74" ht="52" customHeight="1">
      <x:c r="A74" s="19" t="str">
        <x:v>3434</x:v>
      </x:c>
      <x:c r="B74" s="19" t="str">
        <x:v>8726</x:v>
      </x:c>
      <x:c r="C74" s="19" t="str">
        <x:v>Buddawadda Basalt (intrusives)</x:v>
      </x:c>
      <x:c r="D74" s="19" t="str">
        <x:v>C Component</x:v>
      </x:c>
      <x:c r="E74" s="19" t="str">
        <x:v>ABSTAIN_INSUFFICIENT</x:v>
      </x:c>
      <x:c r="F74" s="19" t="str"/>
      <x:c r="G74" s="19" t="str">
        <x:v>PAPER_ROW_MATCH</x:v>
      </x:c>
      <x:c r="H74" s="19" t="str">
        <x:v>locator_component</x:v>
      </x:c>
      <x:c r="I74" s="19" t="n">
        <x:v>12</x:v>
      </x:c>
      <x:c r="J74" s="19" t="str">
        <x:v>result_locator</x:v>
      </x:c>
      <x:c r="K74" s="19" t="str">
        <x:v>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x:v>
      </x:c>
      <x:c r="L74" s="19" t="str">
        <x:v>/Users/lihd/discovery/paleomagnetic-r3-workflow/dist/paleomagnetic-r357-calibrated-workflow-full/data/parsed_mds/3434.txt</x:v>
      </x:c>
    </x:row>
    <x:row r="75" ht="52" customHeight="1">
      <x:c r="A75" s="19" t="str">
        <x:v>3434</x:v>
      </x:c>
      <x:c r="B75" s="19" t="str">
        <x:v>8726</x:v>
      </x:c>
      <x:c r="C75" s="19" t="str">
        <x:v>Buddawadda Basalt (intrusives)</x:v>
      </x:c>
      <x:c r="D75" s="19" t="str">
        <x:v>C Component</x:v>
      </x:c>
      <x:c r="E75" s="19" t="str">
        <x:v>ABSTAIN_INSUFFICIENT</x:v>
      </x:c>
      <x:c r="F75" s="19" t="str"/>
      <x:c r="G75" s="19" t="str">
        <x:v>PAPER_ROW_MATCH</x:v>
      </x:c>
      <x:c r="H75" s="19" t="str">
        <x:v>locator_component</x:v>
      </x:c>
      <x:c r="I75" s="19" t="n">
        <x:v>13</x:v>
      </x:c>
      <x:c r="J75" s="19" t="str">
        <x:v>result_locator</x:v>
      </x:c>
      <x:c r="K75" s="19" t="str">
        <x:v>t 1998). The formation Table 2) that unblocks at 640–660°C and is bipolar with a was sampled in the lower ~25m of a cliff where Wire Creek moderate north-upward/south-downward inclination has exposed pale greenish-grey and cream siltstones and (Figure 9b).B is based on few directions and has a large con- claystones.Demagnetisation was thermal. fidence circle making it difficult to distinguish from Initial remanence intensities of the samples were low Pliocene or younger chemical weathering effects,and from (typically 1–3mA/m),and were further reduced by removal a common Mesoproterozoic overprint (OP4) in the Lawn at the initial 100°C heating step of a random component. Hill Platform.Another component,C,at this site unblocks Most of the remaining remanences unblocked at 540–630°C and had moderate north-upward/south-downward inclin- ations (Figure 10a).Three samples contained remanences of</x:v>
      </x:c>
      <x:c r="L75" s="19" t="str">
        <x:v>/Users/lihd/discovery/paleomagnetic-r3-workflow/dist/paleomagnetic-r357-calibrated-workflow-full/data/parsed_mds/3434.txt</x:v>
      </x:c>
    </x:row>
    <x:row r="76" ht="52" customHeight="1">
      <x:c r="A76" s="19" t="str">
        <x:v>3434</x:v>
      </x:c>
      <x:c r="B76" s="19" t="str">
        <x:v>8726</x:v>
      </x:c>
      <x:c r="C76" s="19" t="str">
        <x:v>Buddawadda Basalt (intrusives)</x:v>
      </x:c>
      <x:c r="D76" s="19" t="str">
        <x:v>C Component</x:v>
      </x:c>
      <x:c r="E76" s="19" t="str">
        <x:v>ABSTAIN_INSUFFICIENT</x:v>
      </x:c>
      <x:c r="F76" s="19" t="str"/>
      <x:c r="G76" s="19" t="str">
        <x:v>PAPER_ROW_MATCH</x:v>
      </x:c>
      <x:c r="H76" s="19" t="str">
        <x:v>locator_component</x:v>
      </x:c>
      <x:c r="I76" s="19" t="n">
        <x:v>13</x:v>
      </x:c>
      <x:c r="J76" s="19" t="str">
        <x:v>result_locator</x:v>
      </x:c>
      <x:c r="K76" s="19" t="str">
        <x:v>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x:v>
      </x:c>
      <x:c r="L76" s="19" t="str">
        <x:v>/Users/lihd/discovery/paleomagnetic-r3-workflow/dist/paleomagnetic-r357-calibrated-workflow-full/data/parsed_mds/3434.txt</x:v>
      </x:c>
    </x:row>
    <x:row r="77" ht="52" customHeight="1">
      <x:c r="A77" s="19" t="str">
        <x:v>3434</x:v>
      </x:c>
      <x:c r="B77" s="19" t="str">
        <x:v>8726</x:v>
      </x:c>
      <x:c r="C77" s="19" t="str">
        <x:v>Buddawadda Basalt (intrusives)</x:v>
      </x:c>
      <x:c r="D77" s="19" t="str">
        <x:v>C Component</x:v>
      </x:c>
      <x:c r="E77" s="19" t="str">
        <x:v>ABSTAIN_INSUFFICIENT</x:v>
      </x:c>
      <x:c r="F77" s="19" t="str"/>
      <x:c r="G77" s="19" t="str">
        <x:v>PAPER_ROW_MATCH</x:v>
      </x:c>
      <x:c r="H77" s="19" t="str">
        <x:v>locator_component</x:v>
      </x:c>
      <x:c r="I77" s="19" t="n">
        <x:v>13</x:v>
      </x:c>
      <x:c r="J77" s="19" t="str">
        <x:v>result_locator</x:v>
      </x:c>
      <x:c r="K77" s="19" t="str">
        <x:v>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 projection plot (b) shows a spurious low unblocking mediate between component A (squares) and C (triangles) direc- temperature component LT together with west downward- tions.A and C appear to have similar unblocking temperature inclined component IT found in some sam</x:v>
      </x:c>
      <x:c r="L77" s="19" t="str">
        <x:v>/Users/lihd/discovery/paleomagnetic-r3-workflow/dist/paleomagnetic-r357-calibrated-workflow-full/data/parsed_mds/3434.txt</x:v>
      </x:c>
    </x:row>
    <x:row r="78" ht="52" customHeight="1">
      <x:c r="A78" s="19" t="str">
        <x:v>3434</x:v>
      </x:c>
      <x:c r="B78" s="19" t="str">
        <x:v>8726</x:v>
      </x:c>
      <x:c r="C78" s="19" t="str">
        <x:v>Buddawadda Basalt (intrusives)</x:v>
      </x:c>
      <x:c r="D78" s="19" t="str">
        <x:v>C Component</x:v>
      </x:c>
      <x:c r="E78" s="19" t="str">
        <x:v>ABSTAIN_INSUFFICIENT</x:v>
      </x:c>
      <x:c r="F78" s="19" t="str"/>
      <x:c r="G78" s="19" t="str">
        <x:v>PAPER_ROW_MATCH</x:v>
      </x:c>
      <x:c r="H78" s="19" t="str">
        <x:v>locator_component</x:v>
      </x:c>
      <x:c r="I78" s="19" t="n">
        <x:v>15</x:v>
      </x:c>
      <x:c r="J78" s="19" t="str">
        <x:v>result_locator</x:v>
      </x:c>
      <x:c r="K78" s="19" t="str">
        <x:v>emanence intensity plot (inset) at this temperature suggests that the change is due to the removal of a small magnetite remanence.Symbols as in Figure 3. That component was,however,too poorly defined to give a west-downward inclined group in a background of highly reliable pole. scattered directions (Figure 13a).Tilt corrections dispersed the group (Figure 13b),indicating that the magnetisation is post-deformational,i.e.an overprint.Its mean direction GUNPOWDER CREEK FORMATION (declination 250.0°,inclination 66.8°) gives the pole GPRO1. The Gunpowder Creek Formation near the base of the The latter falls near the OP3 group of overprints. McNamara Group consists of fine-grained,shallow-marine Component B unblocked at ~685°C and was found in siliciclastics and minor dolomites.The formation is divided 11 sandstone samples from the upper Gunpowder Creek into two sedimentary packages by an ero</x:v>
      </x:c>
      <x:c r="L78" s="19" t="str">
        <x:v>/Users/lihd/discovery/paleomagnetic-r3-workflow/dist/paleomagnetic-r357-calibrated-workflow-full/data/parsed_mds/3434.txt</x:v>
      </x:c>
    </x:row>
    <x:row r="79" ht="52" customHeight="1">
      <x:c r="A79" s="19" t="str">
        <x:v>3434</x:v>
      </x:c>
      <x:c r="B79" s="19" t="str">
        <x:v>8726</x:v>
      </x:c>
      <x:c r="C79" s="19" t="str">
        <x:v>Buddawadda Basalt (intrusives)</x:v>
      </x:c>
      <x:c r="D79" s="19" t="str">
        <x:v>C Component</x:v>
      </x:c>
      <x:c r="E79" s="19" t="str">
        <x:v>ABSTAIN_INSUFFICIENT</x:v>
      </x:c>
      <x:c r="F79" s="19" t="str"/>
      <x:c r="G79" s="19" t="str">
        <x:v>PAPER_ROW_MATCH</x:v>
      </x:c>
      <x:c r="H79" s="19" t="str">
        <x:v>locator_component</x:v>
      </x:c>
      <x:c r="I79" s="19" t="n">
        <x:v>15</x:v>
      </x:c>
      <x:c r="J79" s="19" t="str">
        <x:v>result_locator</x:v>
      </x:c>
      <x:c r="K79" s="19" t="str">
        <x:v>t (L15 &amp; L16,Figure 1).Moderately steep to near- fluids.As noted in the discussion,the circulation may have vertical bedding dips at the first two localities contrast with been caused by tectonism related to the bend at ca1650Ma moderate dips at the third and provide a good opportunity on the apparent polar wander path. The timing and geo- for fold tests. Rock colour ranged from dark grey to buff chemistry of the alteration suggest that the fluids may have and,less commonly,red-brown.The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x:v>
      </x:c>
      <x:c r="L79" s="19" t="str">
        <x:v>/Users/lihd/discovery/paleomagnetic-r3-workflow/dist/paleomagnetic-r357-calibrated-workflow-full/data/parsed_mds/3434.txt</x:v>
      </x:c>
    </x:row>
    <x:row r="80" ht="52" customHeight="1">
      <x:c r="A80" s="19" t="str">
        <x:v>3434</x:v>
      </x:c>
      <x:c r="B80" s="19" t="str">
        <x:v>8727</x:v>
      </x:c>
      <x:c r="C80" s="19" t="str">
        <x:v>Buddawadda Basalt</x:v>
      </x:c>
      <x:c r="D80" s="19" t="str">
        <x:v>D Component</x:v>
      </x:c>
      <x:c r="E80" s="19" t="str">
        <x:v>ABSTAIN_INSUFFICIENT</x:v>
      </x:c>
      <x:c r="F80" s="19" t="str"/>
      <x:c r="G80" s="19" t="str">
        <x:v>PAPER_ROW_MATCH</x:v>
      </x:c>
      <x:c r="H80" s="19" t="str">
        <x:v>locator_component</x:v>
      </x:c>
      <x:c r="I80" s="19" t="n">
        <x:v>12</x:v>
      </x:c>
      <x:c r="J80" s="19" t="str">
        <x:v>result_locator</x:v>
      </x:c>
      <x:c r="K80" s="19" t="str">
        <x:v>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x:v>
      </x:c>
      <x:c r="L80" s="19" t="str">
        <x:v>/Users/lihd/discovery/paleomagnetic-r3-workflow/dist/paleomagnetic-r357-calibrated-workflow-full/data/parsed_mds/3434.txt</x:v>
      </x:c>
    </x:row>
    <x:row r="81" ht="52" customHeight="1">
      <x:c r="A81" s="19" t="str">
        <x:v>3434</x:v>
      </x:c>
      <x:c r="B81" s="19" t="str">
        <x:v>8727</x:v>
      </x:c>
      <x:c r="C81" s="19" t="str">
        <x:v>Buddawadda Basalt</x:v>
      </x:c>
      <x:c r="D81" s="19" t="str">
        <x:v>D Component</x:v>
      </x:c>
      <x:c r="E81" s="19" t="str">
        <x:v>ABSTAIN_INSUFFICIENT</x:v>
      </x:c>
      <x:c r="F81" s="19" t="str"/>
      <x:c r="G81" s="19" t="str">
        <x:v>PAPER_ROW_MATCH</x:v>
      </x:c>
      <x:c r="H81" s="19" t="str">
        <x:v>locator_component</x:v>
      </x:c>
      <x:c r="I81" s="19" t="n">
        <x:v>12</x:v>
      </x:c>
      <x:c r="J81" s="19" t="str">
        <x:v>result_locator</x:v>
      </x:c>
      <x:c r="K81" s="19" t="str">
        <x:v>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x:v>
      </x:c>
      <x:c r="L81" s="19" t="str">
        <x:v>/Users/lihd/discovery/paleomagnetic-r3-workflow/dist/paleomagnetic-r357-calibrated-workflow-full/data/parsed_mds/3434.txt</x:v>
      </x:c>
    </x:row>
    <x:row r="82" ht="52" customHeight="1">
      <x:c r="A82" s="19" t="str">
        <x:v>3434</x:v>
      </x:c>
      <x:c r="B82" s="19" t="str">
        <x:v>8727</x:v>
      </x:c>
      <x:c r="C82" s="19" t="str">
        <x:v>Buddawadda Basalt</x:v>
      </x:c>
      <x:c r="D82" s="19" t="str">
        <x:v>D Component</x:v>
      </x:c>
      <x:c r="E82" s="19" t="str">
        <x:v>ABSTAIN_INSUFFICIENT</x:v>
      </x:c>
      <x:c r="F82" s="19" t="str"/>
      <x:c r="G82" s="19" t="str">
        <x:v>PAPER_ROW_MATCH</x:v>
      </x:c>
      <x:c r="H82" s="19" t="str">
        <x:v>locator_component</x:v>
      </x:c>
      <x:c r="I82" s="19" t="n">
        <x:v>12</x:v>
      </x:c>
      <x:c r="J82" s="19" t="str">
        <x:v>result_locator</x:v>
      </x:c>
      <x:c r="K82" s="19" t="str">
        <x:v>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x:v>
      </x:c>
      <x:c r="L82" s="19" t="str">
        <x:v>/Users/lihd/discovery/paleomagnetic-r3-workflow/dist/paleomagnetic-r357-calibrated-workflow-full/data/parsed_mds/3434.txt</x:v>
      </x:c>
    </x:row>
    <x:row r="83" ht="52" customHeight="1">
      <x:c r="A83" s="19" t="str">
        <x:v>3434</x:v>
      </x:c>
      <x:c r="B83" s="19" t="str">
        <x:v>8727</x:v>
      </x:c>
      <x:c r="C83" s="19" t="str">
        <x:v>Buddawadda Basalt</x:v>
      </x:c>
      <x:c r="D83" s="19" t="str">
        <x:v>D Component</x:v>
      </x:c>
      <x:c r="E83" s="19" t="str">
        <x:v>ABSTAIN_INSUFFICIENT</x:v>
      </x:c>
      <x:c r="F83" s="19" t="str"/>
      <x:c r="G83" s="19" t="str">
        <x:v>PAPER_ROW_MATCH</x:v>
      </x:c>
      <x:c r="H83" s="19" t="str">
        <x:v>locator_component</x:v>
      </x:c>
      <x:c r="I83" s="19" t="n">
        <x:v>12</x:v>
      </x:c>
      <x:c r="J83" s="19" t="str">
        <x:v>result_locator</x:v>
      </x:c>
      <x:c r="K83" s="19" t="str">
        <x:v>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x:v>
      </x:c>
      <x:c r="L83" s="19" t="str">
        <x:v>/Users/lihd/discovery/paleomagnetic-r3-workflow/dist/paleomagnetic-r357-calibrated-workflow-full/data/parsed_mds/3434.txt</x:v>
      </x:c>
    </x:row>
    <x:row r="84" ht="52" customHeight="1">
      <x:c r="A84" s="19" t="str">
        <x:v>3434</x:v>
      </x:c>
      <x:c r="B84" s="19" t="str">
        <x:v>8727</x:v>
      </x:c>
      <x:c r="C84" s="19" t="str">
        <x:v>Buddawadda Basalt</x:v>
      </x:c>
      <x:c r="D84" s="19" t="str">
        <x:v>D Component</x:v>
      </x:c>
      <x:c r="E84" s="19" t="str">
        <x:v>ABSTAIN_INSUFFICIENT</x:v>
      </x:c>
      <x:c r="F84" s="19" t="str"/>
      <x:c r="G84" s="19" t="str">
        <x:v>PAPER_ROW_MATCH</x:v>
      </x:c>
      <x:c r="H84" s="19" t="str">
        <x:v>locator_component</x:v>
      </x:c>
      <x:c r="I84" s="19" t="n">
        <x:v>14</x:v>
      </x:c>
      <x:c r="J84" s="19" t="str">
        <x:v>result_locator</x:v>
      </x:c>
      <x:c r="K84" s="19" t="str">
        <x:v>418 M. Idnurm overprint.As noted above,the latter was found also in the component B (Figure 11c, d). The red colour of the rock nearby Peters Creek Volcanics and Fish River Formation. and truncation of the Lochness Formation by an erosional unconformity that separates the McNamara Group from the older strata suggest that B may be a chem- Lawn Hill Platform: Centre and West ical,possibly weathering-related,overprint acquired dur- ing the depositional hiatus. Such an origin would be LOCHNESS FORMATION consistent with the interpretation,discussed below,that the The Lochness Formation, pre-dating the Calvert Buddawadda Basalt pre-dates the unconformity. Superbasin (Jackson et al.2000) is the oldest unit sampled Alternatively,B could be an earlier overprint or even the in the McArthur Basin a</x:v>
      </x:c>
      <x:c r="L84" s="19" t="str">
        <x:v>/Users/lihd/discovery/paleomagnetic-r3-workflow/dist/paleomagnetic-r357-calibrated-workflow-full/data/parsed_mds/3434.txt</x:v>
      </x:c>
    </x:row>
    <x:row r="85" ht="52" customHeight="1">
      <x:c r="A85" s="19" t="str">
        <x:v>3434</x:v>
      </x:c>
      <x:c r="B85" s="19" t="str">
        <x:v>8727</x:v>
      </x:c>
      <x:c r="C85" s="19" t="str">
        <x:v>Buddawadda Basalt</x:v>
      </x:c>
      <x:c r="D85" s="19" t="str">
        <x:v>D Component</x:v>
      </x:c>
      <x:c r="E85" s="19" t="str">
        <x:v>ABSTAIN_INSUFFICIENT</x:v>
      </x:c>
      <x:c r="F85" s="19" t="str"/>
      <x:c r="G85" s="19" t="str">
        <x:v>PAPER_ROW_MATCH</x:v>
      </x:c>
      <x:c r="H85" s="19" t="str">
        <x:v>locator_component</x:v>
      </x:c>
      <x:c r="I85" s="19" t="n">
        <x:v>15</x:v>
      </x:c>
      <x:c r="J85" s="19" t="str">
        <x:v>result_locator</x:v>
      </x:c>
      <x:c r="K85" s="19" t="str">
        <x:v>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x:v>
      </x:c>
      <x:c r="L85" s="19" t="str">
        <x:v>/Users/lihd/discovery/paleomagnetic-r3-workflow/dist/paleomagnetic-r357-calibrated-workflow-full/data/parsed_mds/3434.txt</x:v>
      </x:c>
    </x:row>
    <x:row r="86" ht="52" customHeight="1">
      <x:c r="A86" s="19" t="str">
        <x:v>3434</x:v>
      </x:c>
      <x:c r="B86" s="19" t="str">
        <x:v>8727</x:v>
      </x:c>
      <x:c r="C86" s="19" t="str">
        <x:v>Buddawadda Basalt</x:v>
      </x:c>
      <x:c r="D86" s="19" t="str">
        <x:v>D Component</x:v>
      </x:c>
      <x:c r="E86" s="19" t="str">
        <x:v>ABSTAIN_INSUFFICIENT</x:v>
      </x:c>
      <x:c r="F86" s="19" t="str"/>
      <x:c r="G86" s="19" t="str">
        <x:v>PAPER_ROW_MATCH</x:v>
      </x:c>
      <x:c r="H86" s="19" t="str">
        <x:v>locator_component</x:v>
      </x:c>
      <x:c r="I86" s="19" t="n">
        <x:v>16</x:v>
      </x:c>
      <x:c r="J86" s="19" t="str">
        <x:v>result_locator</x:v>
      </x:c>
      <x:c r="K86" s="19" t="str">
        <x:v>420 M. Idnurm inclination –39.2°.This resembles the direction of overprint Remanence intensities were low (typically ~1mA/m),and OP4. many samples either became magnetically unstable during Component D,giving the pole GPRR (Table 2),was found thermal demagnetisation or yielded highly scattered to ran- only in the ferricrete that marks the unconformity at local- dom directions.AF demagnetisation (some after thermal ity L14 (Barr Hole).It unblocks between 660°C and 680°C and and liquid nitrogen pretreatments) failed to eliminate the has a shallow west-upward inclination when tilt corrected scatter by selective removal of spurious remanence com- (Figure 13g).As noted above,similar directions were found ponents.An exception was a group of nine grey dolomite in the McArthur Basin correlative, the lower Masterton samples from the upper part of the type section. The Sandstone,which therefore ap</x:v>
      </x:c>
      <x:c r="L86" s="19" t="str">
        <x:v>/Users/lihd/discovery/paleomagnetic-r3-workflow/dist/paleomagnetic-r357-calibrated-workflow-full/data/parsed_mds/3434.txt</x:v>
      </x:c>
    </x:row>
    <x:row r="87" ht="52" customHeight="1">
      <x:c r="A87" s="19" t="str">
        <x:v>3434</x:v>
      </x:c>
      <x:c r="B87" s="19" t="str">
        <x:v>8727</x:v>
      </x:c>
      <x:c r="C87" s="19" t="str">
        <x:v>Buddawadda Basalt</x:v>
      </x:c>
      <x:c r="D87" s="19" t="str">
        <x:v>D Component</x:v>
      </x:c>
      <x:c r="E87" s="19" t="str">
        <x:v>ABSTAIN_INSUFFICIENT</x:v>
      </x:c>
      <x:c r="F87" s="19" t="str"/>
      <x:c r="G87" s="19" t="str">
        <x:v>PAPER_ROW_MATCH</x:v>
      </x:c>
      <x:c r="H87" s="19" t="str">
        <x:v>locator_component</x:v>
      </x:c>
      <x:c r="I87" s="19" t="n">
        <x:v>16</x:v>
      </x:c>
      <x:c r="J87" s="19" t="str">
        <x:v>result_locator</x:v>
      </x:c>
      <x:c r="K87" s="19" t="str">
        <x:v>ent polar wander path,although that part of the path Mt Gordon Fault where also the Gunpowder Creek is very poorly defined.If so,this component may record an Formation was sampled.The rock was predominantly grey. event during the assembly of Rodinia. Figure13 Gunpowder Creek Formation.Field (a) and bedding (b) corrected directions for component A.Dispersal of directions after bedding corrections indicates that A is an overprint.Field (c) and bedding (d) corrected directions for component B.Convergence of directions after bedding corrections indicates that B pre-dates deformation.Orthogonal projection plot (e) shows components A and C.Stereoplots (f) and (g) show the remanence directions for components C and D,respectively.Symbols as in Figure 3. 9002 yraurbeF 21 80:01 :tA ]ailartsuA nretseW fO ytisrevinU[ :yB dedaolnwoD</x:v>
      </x:c>
      <x:c r="L87" s="19" t="str">
        <x:v>/Users/lihd/discovery/paleomagnetic-r3-workflow/dist/paleomagnetic-r357-calibrated-workflow-full/data/parsed_mds/3434.txt</x:v>
      </x:c>
    </x:row>
    <x:row r="88" ht="52" customHeight="1">
      <x:c r="A88" s="19" t="str">
        <x:v>3434</x:v>
      </x:c>
      <x:c r="B88" s="19" t="str">
        <x:v>8728</x:v>
      </x:c>
      <x:c r="C88" s="19" t="str">
        <x:v>Fish River Formation (Pff1)</x:v>
      </x:c>
      <x:c r="D88" s="19" t="str">
        <x:v>A Component</x:v>
      </x:c>
      <x:c r="E88" s="19" t="str">
        <x:v>ABSTAIN_INSUFFICIENT</x:v>
      </x:c>
      <x:c r="F88" s="19" t="str"/>
      <x:c r="G88" s="19" t="str">
        <x:v>PAPER_ROW_MATCH</x:v>
      </x:c>
      <x:c r="H88" s="19" t="str">
        <x:v>locator_component</x:v>
      </x:c>
      <x:c r="I88" s="19" t="n">
        <x:v>10</x:v>
      </x:c>
      <x:c r="J88" s="19" t="str">
        <x:v>result_locator</x:v>
      </x:c>
      <x:c r="K88" s="19" t="str">
        <x:v>olomitic samples. Plots (c) and (d) show reman- ence directions from the red samples before (F) and after (B) bedding corrections, both groups being distinctly elon- gate. The directions from the site adjacent to a fault are indi- cated by squares.Plot (e) shows site mean remanence direc- tions for grey and light-brown samples.Heavy cross and plus indicate the present dipole and present field directions at the sampling locality. Symbols as in Figure 3. siliciclastics. However, a combination of AF followed by the pole plots in stratigraphic sequence relative to other thermal demagnetisation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x:v>
      </x:c>
      <x:c r="L88" s="19" t="str">
        <x:v>/Users/lihd/discovery/paleomagnetic-r3-workflow/dist/paleomagnetic-r357-calibrated-workflow-full/data/parsed_mds/3434.txt</x:v>
      </x:c>
    </x:row>
    <x:row r="89" ht="52" customHeight="1">
      <x:c r="A89" s="19" t="str">
        <x:v>3434</x:v>
      </x:c>
      <x:c r="B89" s="19" t="str">
        <x:v>8728</x:v>
      </x:c>
      <x:c r="C89" s="19" t="str">
        <x:v>Fish River Formation (Pff1)</x:v>
      </x:c>
      <x:c r="D89" s="19" t="str">
        <x:v>A Component</x:v>
      </x:c>
      <x:c r="E89" s="19" t="str">
        <x:v>ABSTAIN_INSUFFICIENT</x:v>
      </x:c>
      <x:c r="F89" s="19" t="str"/>
      <x:c r="G89" s="19" t="str">
        <x:v>PAPER_ROW_MATCH</x:v>
      </x:c>
      <x:c r="H89" s="19" t="str">
        <x:v>locator_component</x:v>
      </x:c>
      <x:c r="I89" s="19" t="n">
        <x:v>10</x:v>
      </x:c>
      <x:c r="J89" s="19" t="str">
        <x:v>result_locator</x:v>
      </x:c>
      <x:c r="K89" s="19" t="str">
        <x:v>agnetisation proved effective (Figure 6a, b), poles on the apparent polar wander path.The Amos pole revealing three components. The first (LC) had a low lies close to the pole from the lower Balbirini Dolomite (ca coercivity, high unblocking temperature and random 1611Ma),consistent with the similarity of ages of the two directions—a characteristic of remanences due to lightning formations. strikes which may be expected at the exposed sampling site. The second component (LT) was removed at the initial BALBIRINI DOLOMITE (100°C) heating step,suggesting that it is carried by goethite and is therefore probably modern.The third,often small, A primary palaeomagnetic pole has been reported previ- component (A) unblocked in the temperature range ously for the Balbirini Dolomite (Idnurm et al. 1995). 400–650°C and had a moderate upward inclination to the However,the NABRE sequence-stratigraphy w</x:v>
      </x:c>
      <x:c r="L89" s="19" t="str">
        <x:v>/Users/lihd/discovery/paleomagnetic-r3-workflow/dist/paleomagnetic-r357-calibrated-workflow-full/data/parsed_mds/3434.txt</x:v>
      </x:c>
    </x:row>
    <x:row r="90" ht="52" customHeight="1">
      <x:c r="A90" s="19" t="str">
        <x:v>3434</x:v>
      </x:c>
      <x:c r="B90" s="19" t="str">
        <x:v>8728</x:v>
      </x:c>
      <x:c r="C90" s="19" t="str">
        <x:v>Fish River Formation (Pff1)</x:v>
      </x:c>
      <x:c r="D90" s="19" t="str">
        <x:v>A Component</x:v>
      </x:c>
      <x:c r="E90" s="19" t="str">
        <x:v>ABSTAIN_INSUFFICIENT</x:v>
      </x:c>
      <x:c r="F90" s="19" t="str"/>
      <x:c r="G90" s="19" t="str">
        <x:v>PAPER_ROW_MATCH</x:v>
      </x:c>
      <x:c r="H90" s="19" t="str">
        <x:v>locator_component</x:v>
      </x:c>
      <x:c r="I90" s="19" t="n">
        <x:v>10</x:v>
      </x:c>
      <x:c r="J90" s="19" t="str">
        <x:v>result_locator</x:v>
      </x:c>
      <x:c r="K90" s="19" t="str">
        <x:v>1.3°,inclination –51.9°.Although a fold test is not (Jackson et al. 2000). This is confirmed by the SHRIMP available,this component is interpreted as primary because U–Pb dates of 160963Ma and 161364Ma for zircons from Figure6 Amos Formation. Orthogonal projection plots show thermal (a) and alter- nating field (AF)-thermal (b) demagnetisations of two sepa- rate specimens from the same sample. Thermal treatment yielded only a single,spurious component, whereas AF fol- lowed by thermal treatment yielded three components:LC, low coercivity (probably light- ning induced);LT,low temper- ature (present-day goethite remanence); and A, inter- preted as primary remanence. Stereodiagram (c) shows the A component directions. Cross indicates present geomagnetic field direction and x indicates outlier directions omitted from the pole calculation. 9002 yraurbeF 21 80:01 :tA ]ailartsuA nretseW fO ytisr</x:v>
      </x:c>
      <x:c r="L90" s="19" t="str">
        <x:v>/Users/lihd/discovery/paleomagnetic-r3-workflow/dist/paleomagnetic-r357-calibrated-workflow-full/data/parsed_mds/3434.txt</x:v>
      </x:c>
    </x:row>
    <x:row r="91" ht="52" customHeight="1">
      <x:c r="A91" s="19" t="str">
        <x:v>3434</x:v>
      </x:c>
      <x:c r="B91" s="19" t="str">
        <x:v>8728</x:v>
      </x:c>
      <x:c r="C91" s="19" t="str">
        <x:v>Fish River Formation (Pff1)</x:v>
      </x:c>
      <x:c r="D91" s="19" t="str">
        <x:v>A Component</x:v>
      </x:c>
      <x:c r="E91" s="19" t="str">
        <x:v>ABSTAIN_INSUFFICIENT</x:v>
      </x:c>
      <x:c r="F91" s="19" t="str"/>
      <x:c r="G91" s="19" t="str">
        <x:v>PAPER_ROW_MATCH</x:v>
      </x:c>
      <x:c r="H91" s="19" t="str">
        <x:v>locator_component</x:v>
      </x:c>
      <x:c r="I91" s="19" t="n">
        <x:v>11</x:v>
      </x:c>
      <x:c r="J91" s="19" t="str">
        <x:v>result_locator</x:v>
      </x:c>
      <x:c r="K91" s="19" t="str">
        <x:v>ng apparent polar wander path. 690°C;however,for some the intensity–temperature plots showed pronounced inflections at ~580°C,suggesting the presence of a second, magnetite, component (Figure 8a). Lawn Hill Platform: North Usually these inflections corresponded to small slope changes in the orthogonal projection diagrams,but the net PETERS CREEK VOLCANICS difference was too small to be statistically significant.This The bimodal Peters Creek Volcanics,which include sedi- suggests that the magnetite and hematite were magnetised ments and intrusives,are subdivided into seven members at,or approximately,the same time.The felsic remanences Ptp1 to Ptp7 (Sweet et al. 1981). The basal Ptp1, named (component A,pole PCVU in Table 2) formed bipolar direc- Buddawadda Basalt,contains mafic intrusives.It is separ- tional groups in the east-southeast and west-northwest ated by a regional unconformity </x:v>
      </x:c>
      <x:c r="L91" s="19" t="str">
        <x:v>/Users/lihd/discovery/paleomagnetic-r3-workflow/dist/paleomagnetic-r357-calibrated-workflow-full/data/parsed_mds/3434.txt</x:v>
      </x:c>
    </x:row>
    <x:row r="92" ht="52" customHeight="1">
      <x:c r="A92" s="19" t="str">
        <x:v>3434</x:v>
      </x:c>
      <x:c r="B92" s="19" t="str">
        <x:v>8728</x:v>
      </x:c>
      <x:c r="C92" s="19" t="str">
        <x:v>Fish River Formation (Pff1)</x:v>
      </x:c>
      <x:c r="D92" s="19" t="str">
        <x:v>A Component</x:v>
      </x:c>
      <x:c r="E92" s="19" t="str">
        <x:v>ABSTAIN_INSUFFICIENT</x:v>
      </x:c>
      <x:c r="F92" s="19" t="str"/>
      <x:c r="G92" s="19" t="str">
        <x:v>PAPER_ROW_MATCH</x:v>
      </x:c>
      <x:c r="H92" s="19" t="str">
        <x:v>locator_component</x:v>
      </x:c>
      <x:c r="I92" s="19" t="n">
        <x:v>12</x:v>
      </x:c>
      <x:c r="J92" s="19" t="str">
        <x:v>result_locator</x:v>
      </x:c>
      <x:c r="K92" s="19" t="str">
        <x:v>416 M. 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x:v>
      </x:c>
      <x:c r="L92" s="19" t="str">
        <x:v>/Users/lihd/discovery/paleomagnetic-r3-workflow/dist/paleomagnetic-r357-calibrated-workflow-full/data/parsed_mds/3434.txt</x:v>
      </x:c>
    </x:row>
    <x:row r="93" ht="52" customHeight="1">
      <x:c r="A93" s="19" t="str">
        <x:v>3434</x:v>
      </x:c>
      <x:c r="B93" s="19" t="str">
        <x:v>8728</x:v>
      </x:c>
      <x:c r="C93" s="19" t="str">
        <x:v>Fish River Formation (Pff1)</x:v>
      </x:c>
      <x:c r="D93" s="19" t="str">
        <x:v>A Component</x:v>
      </x:c>
      <x:c r="E93" s="19" t="str">
        <x:v>ABSTAIN_INSUFFICIENT</x:v>
      </x:c>
      <x:c r="F93" s="19" t="str"/>
      <x:c r="G93" s="19" t="str">
        <x:v>PAPER_ROW_MATCH</x:v>
      </x:c>
      <x:c r="H93" s="19" t="str">
        <x:v>locator_component</x:v>
      </x:c>
      <x:c r="I93" s="19" t="n">
        <x:v>13</x:v>
      </x:c>
      <x:c r="J93" s="19" t="str">
        <x:v>result_locator</x:v>
      </x:c>
      <x:c r="K93" s="19" t="str">
        <x:v>oss-bedded fluvial sandstones. The second spread between the A and C directions (Figure 9d). This interval was a dark red-brown, weathered (ocherous),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x:v>
      </x:c>
      <x:c r="L93" s="19" t="str">
        <x:v>/Users/lihd/discovery/paleomagnetic-r3-workflow/dist/paleomagnetic-r357-calibrated-workflow-full/data/parsed_mds/3434.txt</x:v>
      </x:c>
    </x:row>
    <x:row r="94" ht="52" customHeight="1">
      <x:c r="A94" s="19" t="str">
        <x:v>3434</x:v>
      </x:c>
      <x:c r="B94" s="19" t="str">
        <x:v>8728</x:v>
      </x:c>
      <x:c r="C94" s="19" t="str">
        <x:v>Fish River Formation (Pff1)</x:v>
      </x:c>
      <x:c r="D94" s="19" t="str">
        <x:v>A Component</x:v>
      </x:c>
      <x:c r="E94" s="19" t="str">
        <x:v>ABSTAIN_INSUFFICIENT</x:v>
      </x:c>
      <x:c r="F94" s="19" t="str"/>
      <x:c r="G94" s="19" t="str">
        <x:v>PAPER_ROW_MATCH</x:v>
      </x:c>
      <x:c r="H94" s="19" t="str">
        <x:v>locator_component</x:v>
      </x:c>
      <x:c r="I94" s="19" t="n">
        <x:v>13</x:v>
      </x:c>
      <x:c r="J94" s="19" t="str">
        <x:v>result_locator</x:v>
      </x:c>
      <x:c r="K94" s="19" t="str">
        <x:v>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siliciclastics and subordin- the overprint B in the Peters Creek Volcanics and is there- ate carbonates.Also present are tuffaceous beds containing</x:v>
      </x:c>
      <x:c r="L94" s="19" t="str">
        <x:v>/Users/lihd/discovery/paleomagnetic-r3-workflow/dist/paleomagnetic-r357-calibrated-workflow-full/data/parsed_mds/3434.txt</x:v>
      </x:c>
    </x:row>
    <x:row r="95" ht="52" customHeight="1">
      <x:c r="A95" s="19" t="str">
        <x:v>3434</x:v>
      </x:c>
      <x:c r="B95" s="19" t="str">
        <x:v>8728</x:v>
      </x:c>
      <x:c r="C95" s="19" t="str">
        <x:v>Fish River Formation (Pff1)</x:v>
      </x:c>
      <x:c r="D95" s="19" t="str">
        <x:v>A Component</x:v>
      </x:c>
      <x:c r="E95" s="19" t="str">
        <x:v>ABSTAIN_INSUFFICIENT</x:v>
      </x:c>
      <x:c r="F95" s="19" t="str"/>
      <x:c r="G95" s="19" t="str">
        <x:v>PAPER_ROW_MATCH</x:v>
      </x:c>
      <x:c r="H95" s="19" t="str">
        <x:v>locator_component</x:v>
      </x:c>
      <x:c r="I95" s="19" t="n">
        <x:v>13</x:v>
      </x:c>
      <x:c r="J95" s="19" t="str">
        <x:v>result_locator</x:v>
      </x:c>
      <x:c r="K95" s="19" t="str">
        <x:v>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x:v>
      </x:c>
      <x:c r="L95" s="19" t="str">
        <x:v>/Users/lihd/discovery/paleomagnetic-r3-workflow/dist/paleomagnetic-r357-calibrated-workflow-full/data/parsed_mds/3434.txt</x:v>
      </x:c>
    </x:row>
    <x:row r="96" ht="52" customHeight="1">
      <x:c r="A96" s="19" t="str">
        <x:v>3434</x:v>
      </x:c>
      <x:c r="B96" s="19" t="str">
        <x:v>8728</x:v>
      </x:c>
      <x:c r="C96" s="19" t="str">
        <x:v>Fish River Formation (Pff1)</x:v>
      </x:c>
      <x:c r="D96" s="19" t="str">
        <x:v>A Component</x:v>
      </x:c>
      <x:c r="E96" s="19" t="str">
        <x:v>ABSTAIN_INSUFFICIENT</x:v>
      </x:c>
      <x:c r="F96" s="19" t="str"/>
      <x:c r="G96" s="19" t="str">
        <x:v>PAPER_ROW_MATCH</x:v>
      </x:c>
      <x:c r="H96" s="19" t="str">
        <x:v>locator_component</x:v>
      </x:c>
      <x:c r="I96" s="19" t="n">
        <x:v>14</x:v>
      </x:c>
      <x:c r="J96" s="19" t="str">
        <x:v>result_locator</x:v>
      </x:c>
      <x:c r="K96" s="19" t="str">
        <x:v>. Such an origin would be LOCHNESS FORMATION consistent with the interpretation,discussed below,that the The Lochness Formation, pre-dating the Calvert Buddawadda Basalt pre-dates the unconformity. Superbasin (Jackson et al.2000) is the oldest unit sampled Alternatively,B could be an earlier overprint or even the in the McArthur Basin and Lawn Hill Platform. Its age primary remanence.In view of the large tilt of the beds,it is poorly constrained by the date 179069Ma from the is important to know if bedding corrections should be stratigraphically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x:v>
      </x:c>
      <x:c r="L96" s="19" t="str">
        <x:v>/Users/lihd/discovery/paleomagnetic-r3-workflow/dist/paleomagnetic-r357-calibrated-workflow-full/data/parsed_mds/3434.txt</x:v>
      </x:c>
    </x:row>
    <x:row r="97" ht="52" customHeight="1">
      <x:c r="A97" s="19" t="str">
        <x:v>3434</x:v>
      </x:c>
      <x:c r="B97" s="19" t="str">
        <x:v>8729</x:v>
      </x:c>
      <x:c r="C97" s="19" t="str">
        <x:v>Fish River Formation (Pff2)</x:v>
      </x:c>
      <x:c r="D97" s="19" t="str">
        <x:v>C Component</x:v>
      </x:c>
      <x:c r="E97" s="19" t="str">
        <x:v>ABSTAIN_INSUFFICIENT</x:v>
      </x:c>
      <x:c r="F97" s="19" t="str"/>
      <x:c r="G97" s="19" t="str">
        <x:v>PAPER_ROW_MATCH</x:v>
      </x:c>
      <x:c r="H97" s="19" t="str">
        <x:v>locator_component</x:v>
      </x:c>
      <x:c r="I97" s="19" t="n">
        <x:v>12</x:v>
      </x:c>
      <x:c r="J97" s="19" t="str">
        <x:v>result_locator</x:v>
      </x:c>
      <x:c r="K97" s="19" t="str">
        <x:v>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x:v>
      </x:c>
      <x:c r="L97" s="19" t="str">
        <x:v>/Users/lihd/discovery/paleomagnetic-r3-workflow/dist/paleomagnetic-r357-calibrated-workflow-full/data/parsed_mds/3434.txt</x:v>
      </x:c>
    </x:row>
    <x:row r="98" ht="52" customHeight="1">
      <x:c r="A98" s="19" t="str">
        <x:v>3434</x:v>
      </x:c>
      <x:c r="B98" s="19" t="str">
        <x:v>8729</x:v>
      </x:c>
      <x:c r="C98" s="19" t="str">
        <x:v>Fish River Formation (Pff2)</x:v>
      </x:c>
      <x:c r="D98" s="19" t="str">
        <x:v>C Component</x:v>
      </x:c>
      <x:c r="E98" s="19" t="str">
        <x:v>ABSTAIN_INSUFFICIENT</x:v>
      </x:c>
      <x:c r="F98" s="19" t="str"/>
      <x:c r="G98" s="19" t="str">
        <x:v>PAPER_ROW_MATCH</x:v>
      </x:c>
      <x:c r="H98" s="19" t="str">
        <x:v>locator_component</x:v>
      </x:c>
      <x:c r="I98" s="19" t="n">
        <x:v>12</x:v>
      </x:c>
      <x:c r="J98" s="19" t="str">
        <x:v>result_locator</x:v>
      </x:c>
      <x:c r="K98" s="19" t="str">
        <x:v>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x:v>
      </x:c>
      <x:c r="L98" s="19" t="str">
        <x:v>/Users/lihd/discovery/paleomagnetic-r3-workflow/dist/paleomagnetic-r357-calibrated-workflow-full/data/parsed_mds/3434.txt</x:v>
      </x:c>
    </x:row>
    <x:row r="99" ht="52" customHeight="1">
      <x:c r="A99" s="19" t="str">
        <x:v>3434</x:v>
      </x:c>
      <x:c r="B99" s="19" t="str">
        <x:v>8729</x:v>
      </x:c>
      <x:c r="C99" s="19" t="str">
        <x:v>Fish River Formation (Pff2)</x:v>
      </x:c>
      <x:c r="D99" s="19" t="str">
        <x:v>C Component</x:v>
      </x:c>
      <x:c r="E99" s="19" t="str">
        <x:v>ABSTAIN_INSUFFICIENT</x:v>
      </x:c>
      <x:c r="F99" s="19" t="str"/>
      <x:c r="G99" s="19" t="str">
        <x:v>PAPER_ROW_MATCH</x:v>
      </x:c>
      <x:c r="H99" s="19" t="str">
        <x:v>locator_component</x:v>
      </x:c>
      <x:c r="I99" s="19" t="n">
        <x:v>12</x:v>
      </x:c>
      <x:c r="J99" s="19" t="str">
        <x:v>result_locator</x:v>
      </x:c>
      <x:c r="K99" s="19" t="str">
        <x:v>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x:v>
      </x:c>
      <x:c r="L99" s="19" t="str">
        <x:v>/Users/lihd/discovery/paleomagnetic-r3-workflow/dist/paleomagnetic-r357-calibrated-workflow-full/data/parsed_mds/3434.txt</x:v>
      </x:c>
    </x:row>
    <x:row r="100" ht="52" customHeight="1">
      <x:c r="A100" s="19" t="str">
        <x:v>3434</x:v>
      </x:c>
      <x:c r="B100" s="19" t="str">
        <x:v>8729</x:v>
      </x:c>
      <x:c r="C100" s="19" t="str">
        <x:v>Fish River Formation (Pff2)</x:v>
      </x:c>
      <x:c r="D100" s="19" t="str">
        <x:v>C Component</x:v>
      </x:c>
      <x:c r="E100" s="19" t="str">
        <x:v>ABSTAIN_INSUFFICIENT</x:v>
      </x:c>
      <x:c r="F100" s="19" t="str"/>
      <x:c r="G100" s="19" t="str">
        <x:v>PAPER_ROW_MATCH</x:v>
      </x:c>
      <x:c r="H100" s="19" t="str">
        <x:v>locator_component</x:v>
      </x:c>
      <x:c r="I100" s="19" t="n">
        <x:v>12</x:v>
      </x:c>
      <x:c r="J100" s="19" t="str">
        <x:v>result_locator</x:v>
      </x:c>
      <x:c r="K100" s="19" t="str">
        <x:v>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x:v>
      </x:c>
      <x:c r="L100" s="19" t="str">
        <x:v>/Users/lihd/discovery/paleomagnetic-r3-workflow/dist/paleomagnetic-r357-calibrated-workflow-full/data/parsed_mds/3434.txt</x:v>
      </x:c>
    </x:row>
    <x:row r="101" ht="52" customHeight="1">
      <x:c r="A101" s="19" t="str">
        <x:v>3434</x:v>
      </x:c>
      <x:c r="B101" s="19" t="str">
        <x:v>8729</x:v>
      </x:c>
      <x:c r="C101" s="19" t="str">
        <x:v>Fish River Formation (Pff2)</x:v>
      </x:c>
      <x:c r="D101" s="19" t="str">
        <x:v>C Component</x:v>
      </x:c>
      <x:c r="E101" s="19" t="str">
        <x:v>ABSTAIN_INSUFFICIENT</x:v>
      </x:c>
      <x:c r="F101" s="19" t="str"/>
      <x:c r="G101" s="19" t="str">
        <x:v>PAPER_ROW_MATCH</x:v>
      </x:c>
      <x:c r="H101" s="19" t="str">
        <x:v>locator_component</x:v>
      </x:c>
      <x:c r="I101" s="19" t="n">
        <x:v>13</x:v>
      </x:c>
      <x:c r="J101" s="19" t="str">
        <x:v>result_locator</x:v>
      </x:c>
      <x:c r="K101" s="19" t="str">
        <x:v>t 1998). The formation Table 2) that unblocks at 640–660°C and is bipolar with a was sampled in the lower ~25m of a cliff where Wire Creek moderate north-upward/south-downward inclination has exposed pale greenish-grey and cream siltstones and (Figure 9b).B is based on few directions and has a large con- claystones.Demagnetisation was thermal. fidence circle making it difficult to distinguish from Initial remanence intensities of the samples were low Pliocene or younger chemical weathering effects,and from (typically 1–3mA/m),and were further reduced by removal a common Mesoproterozoic overprint (OP4) in the Lawn at the initial 100°C heating step of a random component. Hill Platform.Another component,C,at this site unblocks Most of the remaining remanences unblocked at 540–630°C and had moderate north-upward/south-downward inclin- ations (Figure 10a).Three samples contained remanences of</x:v>
      </x:c>
      <x:c r="L101" s="19" t="str">
        <x:v>/Users/lihd/discovery/paleomagnetic-r3-workflow/dist/paleomagnetic-r357-calibrated-workflow-full/data/parsed_mds/3434.txt</x:v>
      </x:c>
    </x:row>
    <x:row r="102" ht="52" customHeight="1">
      <x:c r="A102" s="19" t="str">
        <x:v>3434</x:v>
      </x:c>
      <x:c r="B102" s="19" t="str">
        <x:v>8729</x:v>
      </x:c>
      <x:c r="C102" s="19" t="str">
        <x:v>Fish River Formation (Pff2)</x:v>
      </x:c>
      <x:c r="D102" s="19" t="str">
        <x:v>C Component</x:v>
      </x:c>
      <x:c r="E102" s="19" t="str">
        <x:v>ABSTAIN_INSUFFICIENT</x:v>
      </x:c>
      <x:c r="F102" s="19" t="str"/>
      <x:c r="G102" s="19" t="str">
        <x:v>PAPER_ROW_MATCH</x:v>
      </x:c>
      <x:c r="H102" s="19" t="str">
        <x:v>locator_component</x:v>
      </x:c>
      <x:c r="I102" s="19" t="n">
        <x:v>13</x:v>
      </x:c>
      <x:c r="J102" s="19" t="str">
        <x:v>result_locator</x:v>
      </x:c>
      <x:c r="K102" s="19" t="str">
        <x:v>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x:v>
      </x:c>
      <x:c r="L102" s="19" t="str">
        <x:v>/Users/lihd/discovery/paleomagnetic-r3-workflow/dist/paleomagnetic-r357-calibrated-workflow-full/data/parsed_mds/3434.txt</x:v>
      </x:c>
    </x:row>
    <x:row r="103" ht="52" customHeight="1">
      <x:c r="A103" s="19" t="str">
        <x:v>3434</x:v>
      </x:c>
      <x:c r="B103" s="19" t="str">
        <x:v>8729</x:v>
      </x:c>
      <x:c r="C103" s="19" t="str">
        <x:v>Fish River Formation (Pff2)</x:v>
      </x:c>
      <x:c r="D103" s="19" t="str">
        <x:v>C Component</x:v>
      </x:c>
      <x:c r="E103" s="19" t="str">
        <x:v>ABSTAIN_INSUFFICIENT</x:v>
      </x:c>
      <x:c r="F103" s="19" t="str"/>
      <x:c r="G103" s="19" t="str">
        <x:v>PAPER_ROW_MATCH</x:v>
      </x:c>
      <x:c r="H103" s="19" t="str">
        <x:v>locator_component</x:v>
      </x:c>
      <x:c r="I103" s="19" t="n">
        <x:v>13</x:v>
      </x:c>
      <x:c r="J103" s="19" t="str">
        <x:v>result_locator</x:v>
      </x:c>
      <x:c r="K103" s="19" t="str">
        <x:v>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 projection plot (b) shows a spurious low unblocking mediate between component A (squares) and C (triangles) direc- temperature component LT together with west downward- tions.A and C appear to have similar unblocking temperature inclined component IT found in some sam</x:v>
      </x:c>
      <x:c r="L103" s="19" t="str">
        <x:v>/Users/lihd/discovery/paleomagnetic-r3-workflow/dist/paleomagnetic-r357-calibrated-workflow-full/data/parsed_mds/3434.txt</x:v>
      </x:c>
    </x:row>
    <x:row r="104" ht="52" customHeight="1">
      <x:c r="A104" s="19" t="str">
        <x:v>3434</x:v>
      </x:c>
      <x:c r="B104" s="19" t="str">
        <x:v>8729</x:v>
      </x:c>
      <x:c r="C104" s="19" t="str">
        <x:v>Fish River Formation (Pff2)</x:v>
      </x:c>
      <x:c r="D104" s="19" t="str">
        <x:v>C Component</x:v>
      </x:c>
      <x:c r="E104" s="19" t="str">
        <x:v>ABSTAIN_INSUFFICIENT</x:v>
      </x:c>
      <x:c r="F104" s="19" t="str"/>
      <x:c r="G104" s="19" t="str">
        <x:v>PAPER_ROW_MATCH</x:v>
      </x:c>
      <x:c r="H104" s="19" t="str">
        <x:v>locator_component</x:v>
      </x:c>
      <x:c r="I104" s="19" t="n">
        <x:v>15</x:v>
      </x:c>
      <x:c r="J104" s="19" t="str">
        <x:v>result_locator</x:v>
      </x:c>
      <x:c r="K104" s="19" t="str">
        <x:v>emanence intensity plot (inset) at this temperature suggests that the change is due to the removal of a small magnetite remanence.Symbols as in Figure 3. That component was,however,too poorly defined to give a west-downward inclined group in a background of highly reliable pole. scattered directions (Figure 13a).Tilt corrections dispersed the group (Figure 13b),indicating that the magnetisation is post-deformational,i.e.an overprint.Its mean direction GUNPOWDER CREEK FORMATION (declination 250.0°,inclination 66.8°) gives the pole GPRO1. The Gunpowder Creek Formation near the base of the The latter falls near the OP3 group of overprints. McNamara Group consists of fine-grained,shallow-marine Component B unblocked at ~685°C and was found in siliciclastics and minor dolomites.The formation is divided 11 sandstone samples from the upper Gunpowder Creek into two sedimentary packages by an ero</x:v>
      </x:c>
      <x:c r="L104" s="19" t="str">
        <x:v>/Users/lihd/discovery/paleomagnetic-r3-workflow/dist/paleomagnetic-r357-calibrated-workflow-full/data/parsed_mds/3434.txt</x:v>
      </x:c>
    </x:row>
    <x:row r="105" ht="52" customHeight="1">
      <x:c r="A105" s="19" t="str">
        <x:v>3434</x:v>
      </x:c>
      <x:c r="B105" s="19" t="str">
        <x:v>8729</x:v>
      </x:c>
      <x:c r="C105" s="19" t="str">
        <x:v>Fish River Formation (Pff2)</x:v>
      </x:c>
      <x:c r="D105" s="19" t="str">
        <x:v>C Component</x:v>
      </x:c>
      <x:c r="E105" s="19" t="str">
        <x:v>ABSTAIN_INSUFFICIENT</x:v>
      </x:c>
      <x:c r="F105" s="19" t="str"/>
      <x:c r="G105" s="19" t="str">
        <x:v>PAPER_ROW_MATCH</x:v>
      </x:c>
      <x:c r="H105" s="19" t="str">
        <x:v>locator_component</x:v>
      </x:c>
      <x:c r="I105" s="19" t="n">
        <x:v>15</x:v>
      </x:c>
      <x:c r="J105" s="19" t="str">
        <x:v>result_locator</x:v>
      </x:c>
      <x:c r="K105" s="19" t="str">
        <x:v>t (L15 &amp; L16,Figure 1).Moderately steep to near- fluids.As noted in the discussion,the circulation may have vertical bedding dips at the first two localities contrast with been caused by tectonism related to the bend at ca1650Ma moderate dips at the third and provide a good opportunity on the apparent polar wander path. The timing and geo- for fold tests. Rock colour ranged from dark grey to buff chemistry of the alteration suggest that the fluids may have and,less commonly,red-brown.The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x:v>
      </x:c>
      <x:c r="L105" s="19" t="str">
        <x:v>/Users/lihd/discovery/paleomagnetic-r3-workflow/dist/paleomagnetic-r357-calibrated-workflow-full/data/parsed_mds/3434.txt</x:v>
      </x:c>
    </x:row>
    <x:row r="106" ht="52" customHeight="1">
      <x:c r="A106" s="19" t="str">
        <x:v>3434</x:v>
      </x:c>
      <x:c r="B106" s="19" t="str">
        <x:v>8729</x:v>
      </x:c>
      <x:c r="C106" s="19" t="str">
        <x:v>Fish River Formation (Pff2)</x:v>
      </x:c>
      <x:c r="D106" s="19" t="str">
        <x:v>C Component</x:v>
      </x:c>
      <x:c r="E106" s="19" t="str">
        <x:v>ABSTAIN_INSUFFICIENT</x:v>
      </x:c>
      <x:c r="F106" s="19" t="str"/>
      <x:c r="G106" s="19" t="str">
        <x:v>PAPER_ROW_MATCH</x:v>
      </x:c>
      <x:c r="H106" s="19" t="str">
        <x:v>locator_component</x:v>
      </x:c>
      <x:c r="I106" s="19" t="n">
        <x:v>17</x:v>
      </x:c>
      <x:c r="J106" s="19" t="str">
        <x:v>result_locator</x:v>
      </x:c>
      <x:c r="K106" s="19" t="str">
        <x:v>Proterozoic apparent polar wander path 421 Figure14 Paradise Creek Formation.Remanence directions shown in (a) are from Paradise Creek locality L20 (Figure 1).Orthogonal projection plot (b) shows a small south-southeast component,which unblocks at ~400°C and gives a negative fold test.Diagrams (c) and (d) show its remanence directions at localities L18 (circle symbols) and L22 (square symbols).The low unblocking temperature suggests that this component post-dates the Isan Orogeny.Outlier x in (a) was omitted from the pole calculation.Symbols as in Figure3. ESPERANZA FORMATION The stromatolitic Esperanza Formation comprises mainly siltstone and sandstone. Its thickness at the Gunpowder Creek type section is 250m (Hutton &amp; Wilson 1985).Ninety samples were collected from stratigraphic sections at two localities:Esperanza Waterhole (locality L23) and Mellish Park (locality L24).Most samples </x:v>
      </x:c>
      <x:c r="L106" s="19" t="str">
        <x:v>/Users/lihd/discovery/paleomagnetic-r3-workflow/dist/paleomagnetic-r357-calibrated-workflow-full/data/parsed_mds/3434.txt</x:v>
      </x:c>
    </x:row>
    <x:row r="107" ht="52" customHeight="1">
      <x:c r="A107" s="19" t="str">
        <x:v>3434</x:v>
      </x:c>
      <x:c r="B107" s="19" t="str">
        <x:v>8730</x:v>
      </x:c>
      <x:c r="C107" s="19" t="str">
        <x:v>Mt Les Siltstone</x:v>
      </x:c>
      <x:c r="D107" s="19" t="str">
        <x:v>A Component</x:v>
      </x:c>
      <x:c r="E107" s="19" t="str">
        <x:v>ABSTAIN_INSUFFICIENT</x:v>
      </x:c>
      <x:c r="F107" s="19" t="str"/>
      <x:c r="G107" s="19" t="str">
        <x:v>PAPER_ROW_MATCH</x:v>
      </x:c>
      <x:c r="H107" s="19" t="str">
        <x:v>locator_component</x:v>
      </x:c>
      <x:c r="I107" s="19" t="n">
        <x:v>12</x:v>
      </x:c>
      <x:c r="J107" s="19" t="str">
        <x:v>result_locator</x:v>
      </x:c>
      <x:c r="K107" s="19" t="str">
        <x:v>416 M. Idnurm Figure8 Peters Creek Volcanics.Orthogonal projection plot (a) shows a small change at ~580°C in a typical felsic sample after removal of magnetite remanence component.Inset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x:v>
      </x:c>
      <x:c r="L107" s="19" t="str">
        <x:v>/Users/lihd/discovery/paleomagnetic-r3-workflow/dist/paleomagnetic-r357-calibrated-workflow-full/data/parsed_mds/3434.txt</x:v>
      </x:c>
    </x:row>
    <x:row r="108" ht="52" customHeight="1">
      <x:c r="A108" s="19" t="str">
        <x:v>3434</x:v>
      </x:c>
      <x:c r="B108" s="19" t="str">
        <x:v>8730</x:v>
      </x:c>
      <x:c r="C108" s="19" t="str">
        <x:v>Mt Les Siltstone</x:v>
      </x:c>
      <x:c r="D108" s="19" t="str">
        <x:v>A Component</x:v>
      </x:c>
      <x:c r="E108" s="19" t="str">
        <x:v>ABSTAIN_INSUFFICIENT</x:v>
      </x:c>
      <x:c r="F108" s="19" t="str"/>
      <x:c r="G108" s="19" t="str">
        <x:v>PAPER_ROW_MATCH</x:v>
      </x:c>
      <x:c r="H108" s="19" t="str">
        <x:v>locator_component</x:v>
      </x:c>
      <x:c r="I108" s="19" t="n">
        <x:v>13</x:v>
      </x:c>
      <x:c r="J108" s="19" t="str">
        <x:v>result_locator</x:v>
      </x:c>
      <x:c r="K108" s="19" t="str">
        <x:v>oss-bedded fluvial sandstones. The second spread between the A and C directions (Figure 9d). This interval was a dark red-brown, weathered (ocherous),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x:v>
      </x:c>
      <x:c r="L108" s="19" t="str">
        <x:v>/Users/lihd/discovery/paleomagnetic-r3-workflow/dist/paleomagnetic-r357-calibrated-workflow-full/data/parsed_mds/3434.txt</x:v>
      </x:c>
    </x:row>
    <x:row r="109" ht="52" customHeight="1">
      <x:c r="A109" s="19" t="str">
        <x:v>3434</x:v>
      </x:c>
      <x:c r="B109" s="19" t="str">
        <x:v>8730</x:v>
      </x:c>
      <x:c r="C109" s="19" t="str">
        <x:v>Mt Les Siltstone</x:v>
      </x:c>
      <x:c r="D109" s="19" t="str">
        <x:v>A Component</x:v>
      </x:c>
      <x:c r="E109" s="19" t="str">
        <x:v>ABSTAIN_INSUFFICIENT</x:v>
      </x:c>
      <x:c r="F109" s="19" t="str"/>
      <x:c r="G109" s="19" t="str">
        <x:v>PAPER_ROW_MATCH</x:v>
      </x:c>
      <x:c r="H109" s="19" t="str">
        <x:v>locator_component</x:v>
      </x:c>
      <x:c r="I109" s="19" t="n">
        <x:v>13</x:v>
      </x:c>
      <x:c r="J109" s="19" t="str">
        <x:v>result_locator</x:v>
      </x:c>
      <x:c r="K109" s="19" t="str">
        <x:v>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siliciclastics and subordin- the overprint B in the Peters Creek Volcanics and is there- ate carbonates.Also present are tuffaceous beds containing</x:v>
      </x:c>
      <x:c r="L109" s="19" t="str">
        <x:v>/Users/lihd/discovery/paleomagnetic-r3-workflow/dist/paleomagnetic-r357-calibrated-workflow-full/data/parsed_mds/3434.txt</x:v>
      </x:c>
    </x:row>
    <x:row r="110" ht="52" customHeight="1">
      <x:c r="A110" s="19" t="str">
        <x:v>3434</x:v>
      </x:c>
      <x:c r="B110" s="19" t="str">
        <x:v>8730</x:v>
      </x:c>
      <x:c r="C110" s="19" t="str">
        <x:v>Mt Les Siltstone</x:v>
      </x:c>
      <x:c r="D110" s="19" t="str">
        <x:v>A Component</x:v>
      </x:c>
      <x:c r="E110" s="19" t="str">
        <x:v>ABSTAIN_INSUFFICIENT</x:v>
      </x:c>
      <x:c r="F110" s="19" t="str"/>
      <x:c r="G110" s="19" t="str">
        <x:v>PAPER_ROW_MATCH</x:v>
      </x:c>
      <x:c r="H110" s="19" t="str">
        <x:v>locator_component</x:v>
      </x:c>
      <x:c r="I110" s="19" t="n">
        <x:v>13</x:v>
      </x:c>
      <x:c r="J110" s="19" t="str">
        <x:v>result_locator</x:v>
      </x:c>
      <x:c r="K110" s="19" t="str">
        <x:v>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x:v>
      </x:c>
      <x:c r="L110" s="19" t="str">
        <x:v>/Users/lihd/discovery/paleomagnetic-r3-workflow/dist/paleomagnetic-r357-calibrated-workflow-full/data/parsed_mds/3434.txt</x:v>
      </x:c>
    </x:row>
    <x:row r="111" ht="52" customHeight="1">
      <x:c r="A111" s="19" t="str">
        <x:v>3434</x:v>
      </x:c>
      <x:c r="B111" s="19" t="str">
        <x:v>8730</x:v>
      </x:c>
      <x:c r="C111" s="19" t="str">
        <x:v>Mt Les Siltstone</x:v>
      </x:c>
      <x:c r="D111" s="19" t="str">
        <x:v>A Component</x:v>
      </x:c>
      <x:c r="E111" s="19" t="str">
        <x:v>ABSTAIN_INSUFFICIENT</x:v>
      </x:c>
      <x:c r="F111" s="19" t="str"/>
      <x:c r="G111" s="19" t="str">
        <x:v>PAPER_ROW_MATCH</x:v>
      </x:c>
      <x:c r="H111" s="19" t="str">
        <x:v>locator_component</x:v>
      </x:c>
      <x:c r="I111" s="19" t="n">
        <x:v>14</x:v>
      </x:c>
      <x:c r="J111" s="19" t="str">
        <x:v>result_locator</x:v>
      </x:c>
      <x:c r="K111" s="19" t="str">
        <x:v>. Such an origin would be LOCHNESS FORMATION consistent with the interpretation,discussed below,that the The Lochness Formation, pre-dating the Calvert Buddawadda Basalt pre-dates the unconformity. Superbasin (Jackson et al.2000) is the oldest unit sampled Alternatively,B could be an earlier overprint or even the in the McArthur Basin and Lawn Hill Platform. Its age primary remanence.In view of the large tilt of the beds,it is poorly constrained by the date 179069Ma from the is important to know if bedding corrections should be stratigraphically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x:v>
      </x:c>
      <x:c r="L111" s="19" t="str">
        <x:v>/Users/lihd/discovery/paleomagnetic-r3-workflow/dist/paleomagnetic-r357-calibrated-workflow-full/data/parsed_mds/3434.txt</x:v>
      </x:c>
    </x:row>
    <x:row r="112" ht="52" customHeight="1">
      <x:c r="A112" s="19" t="str">
        <x:v>3434</x:v>
      </x:c>
      <x:c r="B112" s="19" t="str">
        <x:v>8730</x:v>
      </x:c>
      <x:c r="C112" s="19" t="str">
        <x:v>Mt Les Siltstone</x:v>
      </x:c>
      <x:c r="D112" s="19" t="str">
        <x:v>A Component</x:v>
      </x:c>
      <x:c r="E112" s="19" t="str">
        <x:v>ABSTAIN_INSUFFICIENT</x:v>
      </x:c>
      <x:c r="F112" s="19" t="str"/>
      <x:c r="G112" s="19" t="str">
        <x:v>PAPER_ROW_MATCH</x:v>
      </x:c>
      <x:c r="H112" s="19" t="str">
        <x:v>locator_component</x:v>
      </x:c>
      <x:c r="I112" s="19" t="n">
        <x:v>14</x:v>
      </x:c>
      <x:c r="J112" s="19" t="str">
        <x:v>result_locator</x:v>
      </x:c>
      <x:c r="K112" s="19" t="str">
        <x:v>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red siltstones and fine- On the other hand,component B being older than 1730Ma, grained sandstones.The beds dip 37°to the southeast. is likely to pre-date most of the deformation,and has there- Twenty samples were collected from the bed and side fore been tilt corrected. cliffs of the Seymour River. Thermal demagnetisation yielded two remanence components,A and B.Component FIERY CREEK VOLCANICS A unblocked at 650–6758C and its in situremanence had a moderate upward inclination to the north (Figure 11a,c). The bimodal Fiery Creek Volcanics we</x:v>
      </x:c>
      <x:c r="L112" s="19" t="str">
        <x:v>/Users/lihd/discovery/paleomagnetic-r3-workflow/dist/paleomagnetic-r357-calibrated-workflow-full/data/parsed_mds/3434.txt</x:v>
      </x:c>
    </x:row>
    <x:row r="113" ht="52" customHeight="1">
      <x:c r="A113" s="19" t="str">
        <x:v>3434</x:v>
      </x:c>
      <x:c r="B113" s="19" t="str">
        <x:v>8730</x:v>
      </x:c>
      <x:c r="C113" s="19" t="str">
        <x:v>Mt Les Siltstone</x:v>
      </x:c>
      <x:c r="D113" s="19" t="str">
        <x:v>A Component</x:v>
      </x:c>
      <x:c r="E113" s="19" t="str">
        <x:v>ABSTAIN_INSUFFICIENT</x:v>
      </x:c>
      <x:c r="F113" s="19" t="str"/>
      <x:c r="G113" s="19" t="str">
        <x:v>PAPER_ROW_MATCH</x:v>
      </x:c>
      <x:c r="H113" s="19" t="str">
        <x:v>locator_component</x:v>
      </x:c>
      <x:c r="I113" s="19" t="n">
        <x:v>14</x:v>
      </x:c>
      <x:c r="J113" s="19" t="str">
        <x:v>result_locator</x:v>
      </x:c>
      <x:c r="K113" s="19" t="str">
        <x:v>e sampled. Also sampled were small remnants of a mafic flow at a second locality ~60km to the northeast (L8, Figure 1).The bedding dip at the second site (~ 40°to 320°), although very poorly defined, differs greatly from the dip at the first locality (35° to 155°), providing a rough fold test.Except for a SHRIMP zircon date of 170963Ma for what appears to be a late felsic intrusive (Scott et al. 1998), the Fiery Creek Volcanics lack chronological constraints. A total of 74 red- and grey-brown samples was collected, 56 of these from the first locality.Thermal demagnetisation yielded two components,A and B,that unblocked generally between 680°C and 690°C and formed coherent directional groups.Component A was found only in the interbedded sediments,and its directions resemble closely those of com- ponent A of the Lochness Formation.As noted above,the Lochness component appears to be an over</x:v>
      </x:c>
      <x:c r="L113" s="19" t="str">
        <x:v>/Users/lihd/discovery/paleomagnetic-r3-workflow/dist/paleomagnetic-r357-calibrated-workflow-full/data/parsed_mds/3434.txt</x:v>
      </x:c>
    </x:row>
    <x:row r="114" ht="52" customHeight="1">
      <x:c r="A114" s="19" t="str">
        <x:v>3434</x:v>
      </x:c>
      <x:c r="B114" s="19" t="str">
        <x:v>8733</x:v>
      </x:c>
      <x:c r="C114" s="19" t="str">
        <x:v>Fiery Creek Formation</x:v>
      </x:c>
      <x:c r="D114" s="19" t="str">
        <x:v>A Component</x:v>
      </x:c>
      <x:c r="E114" s="19" t="str">
        <x:v>ABSTAIN_INSUFFICIENT</x:v>
      </x:c>
      <x:c r="F114" s="19" t="str"/>
      <x:c r="G114" s="19" t="str">
        <x:v>PAPER_ROW_MATCH</x:v>
      </x:c>
      <x:c r="H114" s="19" t="str">
        <x:v>locator_component</x:v>
      </x:c>
      <x:c r="I114" s="19" t="n">
        <x:v>13</x:v>
      </x:c>
      <x:c r="J114" s="19" t="str">
        <x:v>result_locator</x:v>
      </x:c>
      <x:c r="K114" s="19" t="str">
        <x:v>oss-bedded fluvial sandstones. The second spread between the A and C directions (Figure 9d). This interval was a dark red-brown, weathered (ocherous),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x:v>
      </x:c>
      <x:c r="L114" s="19" t="str">
        <x:v>/Users/lihd/discovery/paleomagnetic-r3-workflow/dist/paleomagnetic-r357-calibrated-workflow-full/data/parsed_mds/3434.txt</x:v>
      </x:c>
    </x:row>
    <x:row r="115" ht="52" customHeight="1">
      <x:c r="A115" s="19" t="str">
        <x:v>3434</x:v>
      </x:c>
      <x:c r="B115" s="19" t="str">
        <x:v>8733</x:v>
      </x:c>
      <x:c r="C115" s="19" t="str">
        <x:v>Fiery Creek Formation</x:v>
      </x:c>
      <x:c r="D115" s="19" t="str">
        <x:v>A Component</x:v>
      </x:c>
      <x:c r="E115" s="19" t="str">
        <x:v>ABSTAIN_INSUFFICIENT</x:v>
      </x:c>
      <x:c r="F115" s="19" t="str"/>
      <x:c r="G115" s="19" t="str">
        <x:v>PAPER_ROW_MATCH</x:v>
      </x:c>
      <x:c r="H115" s="19" t="str">
        <x:v>locator_component</x:v>
      </x:c>
      <x:c r="I115" s="19" t="n">
        <x:v>13</x:v>
      </x:c>
      <x:c r="J115" s="19" t="str">
        <x:v>result_locator</x:v>
      </x:c>
      <x:c r="K115" s="19" t="str">
        <x:v>ous), suggests that the remanence is a mixture of the A and C medium-grained sandstone ~10m below the Pff2/Pff3 components,therefore implying the presence of overprint unconformity. Because of the predominance of hematite A at the Pff2 site.Complete separation of A and C compo- the samples were demagnetised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siliciclastics and subordin- the overprint B in the Peters Creek Volcanics and is there- ate carbonates.Also present are tuffaceous beds containing</x:v>
      </x:c>
      <x:c r="L115" s="19" t="str">
        <x:v>/Users/lihd/discovery/paleomagnetic-r3-workflow/dist/paleomagnetic-r357-calibrated-workflow-full/data/parsed_mds/3434.txt</x:v>
      </x:c>
    </x:row>
    <x:row r="116" ht="52" customHeight="1">
      <x:c r="A116" s="19" t="str">
        <x:v>3434</x:v>
      </x:c>
      <x:c r="B116" s="19" t="str">
        <x:v>8733</x:v>
      </x:c>
      <x:c r="C116" s="19" t="str">
        <x:v>Fiery Creek Formation</x:v>
      </x:c>
      <x:c r="D116" s="19" t="str">
        <x:v>A Component</x:v>
      </x:c>
      <x:c r="E116" s="19" t="str">
        <x:v>ABSTAIN_INSUFFICIENT</x:v>
      </x:c>
      <x:c r="F116" s="19" t="str"/>
      <x:c r="G116" s="19" t="str">
        <x:v>PAPER_ROW_MATCH</x:v>
      </x:c>
      <x:c r="H116" s="19" t="str">
        <x:v>locator_component</x:v>
      </x:c>
      <x:c r="I116" s="19" t="n">
        <x:v>13</x:v>
      </x:c>
      <x:c r="J116" s="19" t="str">
        <x:v>result_locator</x:v>
      </x:c>
      <x:c r="K116" s="19" t="str">
        <x:v>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x:v>
      </x:c>
      <x:c r="L116" s="19" t="str">
        <x:v>/Users/lihd/discovery/paleomagnetic-r3-workflow/dist/paleomagnetic-r357-calibrated-workflow-full/data/parsed_mds/3434.txt</x:v>
      </x:c>
    </x:row>
    <x:row r="117" ht="52" customHeight="1">
      <x:c r="A117" s="19" t="str">
        <x:v>3434</x:v>
      </x:c>
      <x:c r="B117" s="19" t="str">
        <x:v>8733</x:v>
      </x:c>
      <x:c r="C117" s="19" t="str">
        <x:v>Fiery Creek Formation</x:v>
      </x:c>
      <x:c r="D117" s="19" t="str">
        <x:v>A Component</x:v>
      </x:c>
      <x:c r="E117" s="19" t="str">
        <x:v>ABSTAIN_INSUFFICIENT</x:v>
      </x:c>
      <x:c r="F117" s="19" t="str"/>
      <x:c r="G117" s="19" t="str">
        <x:v>PAPER_ROW_MATCH</x:v>
      </x:c>
      <x:c r="H117" s="19" t="str">
        <x:v>locator_component</x:v>
      </x:c>
      <x:c r="I117" s="19" t="n">
        <x:v>14</x:v>
      </x:c>
      <x:c r="J117" s="19" t="str">
        <x:v>result_locator</x:v>
      </x:c>
      <x:c r="K117" s="19" t="str">
        <x:v>. Such an origin would be LOCHNESS FORMATION consistent with the interpretation,discussed below,that the The Lochness Formation, pre-dating the Calvert Buddawadda Basalt pre-dates the unconformity. Superbasin (Jackson et al.2000) is the oldest unit sampled Alternatively,B could be an earlier overprint or even the in the McArthur Basin and Lawn Hill Platform. Its age primary remanence.In view of the large tilt of the beds,it is poorly constrained by the date 179069Ma from the is important to know if bedding corrections should be stratigraphically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x:v>
      </x:c>
      <x:c r="L117" s="19" t="str">
        <x:v>/Users/lihd/discovery/paleomagnetic-r3-workflow/dist/paleomagnetic-r357-calibrated-workflow-full/data/parsed_mds/3434.txt</x:v>
      </x:c>
    </x:row>
    <x:row r="118" ht="52" customHeight="1">
      <x:c r="A118" s="19" t="str">
        <x:v>3434</x:v>
      </x:c>
      <x:c r="B118" s="19" t="str">
        <x:v>8733</x:v>
      </x:c>
      <x:c r="C118" s="19" t="str">
        <x:v>Fiery Creek Formation</x:v>
      </x:c>
      <x:c r="D118" s="19" t="str">
        <x:v>A Component</x:v>
      </x:c>
      <x:c r="E118" s="19" t="str">
        <x:v>ABSTAIN_INSUFFICIENT</x:v>
      </x:c>
      <x:c r="F118" s="19" t="str"/>
      <x:c r="G118" s="19" t="str">
        <x:v>PAPER_ROW_MATCH</x:v>
      </x:c>
      <x:c r="H118" s="19" t="str">
        <x:v>locator_component</x:v>
      </x:c>
      <x:c r="I118" s="19" t="n">
        <x:v>14</x:v>
      </x:c>
      <x:c r="J118" s="19" t="str">
        <x:v>result_locator</x:v>
      </x:c>
      <x:c r="K118" s="19" t="str">
        <x:v>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red siltstones and fine- On the other hand,component B being older than 1730Ma, grained sandstones.The beds dip 37°to the southeast. is likely to pre-date most of the deformation,and has there- Twenty samples were collected from the bed and side fore been tilt corrected. cliffs of the Seymour River. Thermal demagnetisation yielded two remanence components,A and B.Component FIERY CREEK VOLCANICS A unblocked at 650–6758C and its in situremanence had a moderate upward inclination to the north (Figure 11a,c). The bimodal Fiery Creek Volcanics we</x:v>
      </x:c>
      <x:c r="L118" s="19" t="str">
        <x:v>/Users/lihd/discovery/paleomagnetic-r3-workflow/dist/paleomagnetic-r357-calibrated-workflow-full/data/parsed_mds/3434.txt</x:v>
      </x:c>
    </x:row>
    <x:row r="119" ht="52" customHeight="1">
      <x:c r="A119" s="19" t="str">
        <x:v>3434</x:v>
      </x:c>
      <x:c r="B119" s="19" t="str">
        <x:v>8733</x:v>
      </x:c>
      <x:c r="C119" s="19" t="str">
        <x:v>Fiery Creek Formation</x:v>
      </x:c>
      <x:c r="D119" s="19" t="str">
        <x:v>A Component</x:v>
      </x:c>
      <x:c r="E119" s="19" t="str">
        <x:v>ABSTAIN_INSUFFICIENT</x:v>
      </x:c>
      <x:c r="F119" s="19" t="str"/>
      <x:c r="G119" s="19" t="str">
        <x:v>PAPER_ROW_MATCH</x:v>
      </x:c>
      <x:c r="H119" s="19" t="str">
        <x:v>locator_component</x:v>
      </x:c>
      <x:c r="I119" s="19" t="n">
        <x:v>14</x:v>
      </x:c>
      <x:c r="J119" s="19" t="str">
        <x:v>result_locator</x:v>
      </x:c>
      <x:c r="K119" s="19" t="str">
        <x:v>e sampled. Also sampled were small remnants of a mafic flow at a second locality ~60km to the northeast (L8, Figure 1).The bedding dip at the second site (~ 40°to 320°), although very poorly defined, differs greatly from the dip at the first locality (35° to 155°), providing a rough fold test.Except for a SHRIMP zircon date of 170963Ma for what appears to be a late felsic intrusive (Scott et al. 1998), the Fiery Creek Volcanics lack chronological constraints. A total of 74 red- and grey-brown samples was collected, 56 of these from the first locality.Thermal demagnetisation yielded two components,A and B,that unblocked generally between 680°C and 690°C and formed coherent directional groups.Component A was found only in the interbedded sediments,and its directions resemble closely those of com- ponent A of the Lochness Formation.As noted above,the Lochness component appears to be an over</x:v>
      </x:c>
      <x:c r="L119" s="19" t="str">
        <x:v>/Users/lihd/discovery/paleomagnetic-r3-workflow/dist/paleomagnetic-r357-calibrated-workflow-full/data/parsed_mds/3434.txt</x:v>
      </x:c>
    </x:row>
    <x:row r="120" ht="52" customHeight="1">
      <x:c r="A120" s="19" t="str">
        <x:v>3434</x:v>
      </x:c>
      <x:c r="B120" s="19" t="str">
        <x:v>8733</x:v>
      </x:c>
      <x:c r="C120" s="19" t="str">
        <x:v>Fiery Creek Formation</x:v>
      </x:c>
      <x:c r="D120" s="19" t="str">
        <x:v>A Component</x:v>
      </x:c>
      <x:c r="E120" s="19" t="str">
        <x:v>ABSTAIN_INSUFFICIENT</x:v>
      </x:c>
      <x:c r="F120" s="19" t="str"/>
      <x:c r="G120" s="19" t="str">
        <x:v>PAPER_ROW_MATCH</x:v>
      </x:c>
      <x:c r="H120" s="19" t="str">
        <x:v>locator_component</x:v>
      </x:c>
      <x:c r="I120" s="19" t="n">
        <x:v>14</x:v>
      </x:c>
      <x:c r="J120" s="19" t="str">
        <x:v>result_locator</x:v>
      </x:c>
      <x:c r="K120" s="19" t="str">
        <x:v>he overall mean direction for the Figure11 Lochness Formation. Field (a) and bedding (b) cor- formation,unit weights were assigned to individual flows rected directions for component A.Field corrected (in situ) direc- and interbedded sediment packages, giving the tilt- tions correspond to a pervasive overprint at the Lawn Hill corrected direction: declination 108.8°, inclination 40.1°. Platform.Bedding corrections yield a pole that does not plot on This resembles closely the mean direction obtained by any known apparent polar wander path segment and these correc- assigning unit weights to each of the samples:109.7°,39.8°. tions are therefore considered inapplicable.Orthogonal plot (c) shows components A and B,B being resolved only in the last 15°C Some volcanic samples contained evidence of a possible interval of demagnetisation.Stereoplot (d) shows B component third, magnetite-resident,</x:v>
      </x:c>
      <x:c r="L120" s="19" t="str">
        <x:v>/Users/lihd/discovery/paleomagnetic-r3-workflow/dist/paleomagnetic-r357-calibrated-workflow-full/data/parsed_mds/3434.txt</x:v>
      </x:c>
    </x:row>
    <x:row r="121" ht="52" customHeight="1">
      <x:c r="A121" s="19" t="str">
        <x:v>3434</x:v>
      </x:c>
      <x:c r="B121" s="19" t="str">
        <x:v>8734</x:v>
      </x:c>
      <x:c r="C121" s="19" t="str">
        <x:v>Fiery Creek Formation</x:v>
      </x:c>
      <x:c r="D121" s="19" t="str">
        <x:v>B Component</x:v>
      </x:c>
      <x:c r="E121" s="19" t="str">
        <x:v>ABSTAIN_INSUFFICIENT</x:v>
      </x:c>
      <x:c r="F121" s="19" t="str"/>
      <x:c r="G121" s="19" t="str">
        <x:v>PAPER_ROW_MATCH</x:v>
      </x:c>
      <x:c r="H121" s="19" t="str">
        <x:v>locator_component</x:v>
      </x:c>
      <x:c r="I121" s="19" t="n">
        <x:v>13</x:v>
      </x:c>
      <x:c r="J121" s="19" t="str">
        <x:v>result_locator</x:v>
      </x:c>
      <x:c r="K121" s="19" t="str">
        <x:v>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siliciclastics and subordin- the overprint B in the Peters Creek Volcanics and is there- ate carbonates.Also present are tuffaceous beds containing fore likewise an overprint. zircons that have been dated by the U–Pb SHRIMP tech- The Pff2 site contains component B (pole FSHO3 in nique at 164067Ma (Page &amp; Sweet 1998). The formation Table 2) that unblocks at 640–660°C and is bipolar with a was sampled in the lower ~25m of a cliff where Wire Creek mode</x:v>
      </x:c>
      <x:c r="L121" s="19" t="str">
        <x:v>/Users/lihd/discovery/paleomagnetic-r3-workflow/dist/paleomagnetic-r357-calibrated-workflow-full/data/parsed_mds/3434.txt</x:v>
      </x:c>
    </x:row>
    <x:row r="122" ht="52" customHeight="1">
      <x:c r="A122" s="19" t="str">
        <x:v>3434</x:v>
      </x:c>
      <x:c r="B122" s="19" t="str">
        <x:v>8734</x:v>
      </x:c>
      <x:c r="C122" s="19" t="str">
        <x:v>Fiery Creek Formation</x:v>
      </x:c>
      <x:c r="D122" s="19" t="str">
        <x:v>B Component</x:v>
      </x:c>
      <x:c r="E122" s="19" t="str">
        <x:v>ABSTAIN_INSUFFICIENT</x:v>
      </x:c>
      <x:c r="F122" s="19" t="str"/>
      <x:c r="G122" s="19" t="str">
        <x:v>PAPER_ROW_MATCH</x:v>
      </x:c>
      <x:c r="H122" s="19" t="str">
        <x:v>locator_component</x:v>
      </x:c>
      <x:c r="I122" s="19" t="n">
        <x:v>13</x:v>
      </x:c>
      <x:c r="J122" s="19" t="str">
        <x:v>result_locator</x:v>
      </x:c>
      <x:c r="K122" s="19" t="str">
        <x:v>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x:v>
      </x:c>
      <x:c r="L122" s="19" t="str">
        <x:v>/Users/lihd/discovery/paleomagnetic-r3-workflow/dist/paleomagnetic-r357-calibrated-workflow-full/data/parsed_mds/3434.txt</x:v>
      </x:c>
    </x:row>
    <x:row r="123" ht="52" customHeight="1">
      <x:c r="A123" s="19" t="str">
        <x:v>3434</x:v>
      </x:c>
      <x:c r="B123" s="19" t="str">
        <x:v>8734</x:v>
      </x:c>
      <x:c r="C123" s="19" t="str">
        <x:v>Fiery Creek Formation</x:v>
      </x:c>
      <x:c r="D123" s="19" t="str">
        <x:v>B Component</x:v>
      </x:c>
      <x:c r="E123" s="19" t="str">
        <x:v>ABSTAIN_INSUFFICIENT</x:v>
      </x:c>
      <x:c r="F123" s="19" t="str"/>
      <x:c r="G123" s="19" t="str">
        <x:v>PAPER_ROW_MATCH</x:v>
      </x:c>
      <x:c r="H123" s="19" t="str">
        <x:v>locator_component</x:v>
      </x:c>
      <x:c r="I123" s="19" t="n">
        <x:v>14</x:v>
      </x:c>
      <x:c r="J123" s="19" t="str">
        <x:v>result_locator</x:v>
      </x:c>
      <x:c r="K123" s="19" t="str">
        <x:v>418 M. Idnurm overprint.As noted above,the latter was found also in the component B (Figure 11c, d). The red colour of the rock nearby Peters Creek Volcanics and Fish River Formation. and truncation of the Lochness Formation by an erosional unconformity that separates the McNamara Group from the older strata suggest that B may be a chem- Lawn Hill Platform: Centre and West ical,possibly weathering-related,overprint acquired dur- ing the depositional hiatus. Such an origin would be LOCHNESS FORMATION consistent with the interpretation,discussed below,that the The Lochness Formation, pre-dating the Calvert Buddawadda Basalt pre-dates the unconformity. Superbasin (Jackson et al.2000) is the oldest unit sampled Alternatively,B could be an earlier overprint or even the in the M</x:v>
      </x:c>
      <x:c r="L123" s="19" t="str">
        <x:v>/Users/lihd/discovery/paleomagnetic-r3-workflow/dist/paleomagnetic-r357-calibrated-workflow-full/data/parsed_mds/3434.txt</x:v>
      </x:c>
    </x:row>
    <x:row r="124" ht="52" customHeight="1">
      <x:c r="A124" s="19" t="str">
        <x:v>3434</x:v>
      </x:c>
      <x:c r="B124" s="19" t="str">
        <x:v>8734</x:v>
      </x:c>
      <x:c r="C124" s="19" t="str">
        <x:v>Fiery Creek Formation</x:v>
      </x:c>
      <x:c r="D124" s="19" t="str">
        <x:v>B Component</x:v>
      </x:c>
      <x:c r="E124" s="19" t="str">
        <x:v>ABSTAIN_INSUFFICIENT</x:v>
      </x:c>
      <x:c r="F124" s="19" t="str"/>
      <x:c r="G124" s="19" t="str">
        <x:v>PAPER_ROW_MATCH</x:v>
      </x:c>
      <x:c r="H124" s="19" t="str">
        <x:v>locator_component</x:v>
      </x:c>
      <x:c r="I124" s="19" t="n">
        <x:v>14</x:v>
      </x:c>
      <x:c r="J124" s="19" t="str">
        <x:v>result_locator</x:v>
      </x:c>
      <x:c r="K124" s="19" t="str">
        <x:v>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red siltstones and fine- On the other hand,component B being older than 1730Ma, grained sandstones.The beds dip 37°to the southeast. is likely to pre-date most of the deformation,and has there- Twenty samples were collected from the bed and side fore been tilt corrected. cliffs of the Seymour River. Thermal demagnetisation yielded two remanence components,A and B.Component FIERY CREEK VOLCANICS A unblocked at 650–6758C and its in situremanence had a moderate upward inclination to the north (Figure 11a,c). The bimodal Fiery Creek Volcanics we</x:v>
      </x:c>
      <x:c r="L124" s="19" t="str">
        <x:v>/Users/lihd/discovery/paleomagnetic-r3-workflow/dist/paleomagnetic-r357-calibrated-workflow-full/data/parsed_mds/3434.txt</x:v>
      </x:c>
    </x:row>
    <x:row r="125" ht="52" customHeight="1">
      <x:c r="A125" s="19" t="str">
        <x:v>3434</x:v>
      </x:c>
      <x:c r="B125" s="19" t="str">
        <x:v>8734</x:v>
      </x:c>
      <x:c r="C125" s="19" t="str">
        <x:v>Fiery Creek Formation</x:v>
      </x:c>
      <x:c r="D125" s="19" t="str">
        <x:v>B Component</x:v>
      </x:c>
      <x:c r="E125" s="19" t="str">
        <x:v>ABSTAIN_INSUFFICIENT</x:v>
      </x:c>
      <x:c r="F125" s="19" t="str"/>
      <x:c r="G125" s="19" t="str">
        <x:v>PAPER_ROW_MATCH</x:v>
      </x:c>
      <x:c r="H125" s="19" t="str">
        <x:v>locator_component</x:v>
      </x:c>
      <x:c r="I125" s="19" t="n">
        <x:v>14</x:v>
      </x:c>
      <x:c r="J125" s="19" t="str">
        <x:v>result_locator</x:v>
      </x:c>
      <x:c r="K125" s="19" t="str">
        <x:v>greatly from the dip at the first locality (35° to 155°), providing a rough fold test.Except for a SHRIMP zircon date of 170963Ma for what appears to be a late felsic intrusive (Scott et al. 1998), the Fiery Creek Volcanics lack chronological constraints. A total of 74 red- and grey-brown samples was collected, 56 of these from the first locality.Thermal demagnetisation yielded two components,A and B,that unblocked generally between 680°C and 690°C and formed coherent directional groups.Component A was found only in the interbedded sediments,and its directions resemble closely those of com- ponent A of the Lochness Formation.As noted above,the Lochness component appears to be an overprint. Component B (Figure 12a,b) was found in both the silici- clastics and volcanics.Before tilt corrections its directions for the two localities differed widely (Figure 12a).Although tilt corrections did </x:v>
      </x:c>
      <x:c r="L125" s="19" t="str">
        <x:v>/Users/lihd/discovery/paleomagnetic-r3-workflow/dist/paleomagnetic-r357-calibrated-workflow-full/data/parsed_mds/3434.txt</x:v>
      </x:c>
    </x:row>
    <x:row r="126" ht="52" customHeight="1">
      <x:c r="A126" s="19" t="str">
        <x:v>3434</x:v>
      </x:c>
      <x:c r="B126" s="19" t="str">
        <x:v>8734</x:v>
      </x:c>
      <x:c r="C126" s="19" t="str">
        <x:v>Fiery Creek Formation</x:v>
      </x:c>
      <x:c r="D126" s="19" t="str">
        <x:v>B Component</x:v>
      </x:c>
      <x:c r="E126" s="19" t="str">
        <x:v>ABSTAIN_INSUFFICIENT</x:v>
      </x:c>
      <x:c r="F126" s="19" t="str"/>
      <x:c r="G126" s="19" t="str">
        <x:v>PAPER_ROW_MATCH</x:v>
      </x:c>
      <x:c r="H126" s="19" t="str">
        <x:v>locator_component</x:v>
      </x:c>
      <x:c r="I126" s="19" t="n">
        <x:v>14</x:v>
      </x:c>
      <x:c r="J126" s="19" t="str">
        <x:v>result_locator</x:v>
      </x:c>
      <x:c r="K126" s="19" t="str">
        <x:v>he overall mean direction for the Figure11 Lochness Formation. Field (a) and bedding (b) cor- formation,unit weights were assigned to individual flows rected directions for component A.Field corrected (in situ) direc- and interbedded sediment packages, giving the tilt- tions correspond to a pervasive overprint at the Lawn Hill corrected direction: declination 108.8°, inclination 40.1°. Platform.Bedding corrections yield a pole that does not plot on This resembles closely the mean direction obtained by any known apparent polar wander path segment and these correc- assigning unit weights to each of the samples:109.7°,39.8°. tions are therefore considered inapplicable.Orthogonal plot (c) shows components A and B,B being resolved only in the last 15°C Some volcanic samples contained evidence of a possible interval of demagnetisation.Stereoplot (d) shows B component third, magnetite-resident,</x:v>
      </x:c>
      <x:c r="L126" s="19" t="str">
        <x:v>/Users/lihd/discovery/paleomagnetic-r3-workflow/dist/paleomagnetic-r357-calibrated-workflow-full/data/parsed_mds/3434.txt</x:v>
      </x:c>
    </x:row>
    <x:row r="127" ht="52" customHeight="1">
      <x:c r="A127" s="19" t="str">
        <x:v>3434</x:v>
      </x:c>
      <x:c r="B127" s="19" t="str">
        <x:v>8734</x:v>
      </x:c>
      <x:c r="C127" s="19" t="str">
        <x:v>Fiery Creek Formation</x:v>
      </x:c>
      <x:c r="D127" s="19" t="str">
        <x:v>B Component</x:v>
      </x:c>
      <x:c r="E127" s="19" t="str">
        <x:v>ABSTAIN_INSUFFICIENT</x:v>
      </x:c>
      <x:c r="F127" s="19" t="str"/>
      <x:c r="G127" s="19" t="str">
        <x:v>PAPER_ROW_MATCH</x:v>
      </x:c>
      <x:c r="H127" s="19" t="str">
        <x:v>locator_component</x:v>
      </x:c>
      <x:c r="I127" s="19" t="n">
        <x:v>14</x:v>
      </x:c>
      <x:c r="J127" s="19" t="str">
        <x:v>result_locator</x:v>
      </x:c>
      <x:c r="K127" s="19" t="str">
        <x:v>ctions for component A.Field corrected (in situ) direc- and interbedded sediment packages, giving the tilt- tions correspond to a pervasive overprint at the Lawn Hill corrected direction: declination 108.8°, inclination 40.1°. Platform.Bedding corrections yield a pole that does not plot on This resembles closely the mean direction obtained by any known apparent polar wander path segment and these correc- assigning unit weights to each of the samples:109.7°,39.8°. tions are therefore considered inapplicable.Orthogonal plot (c) shows components A and B,B being resolved only in the last 15°C Some volcanic samples contained evidence of a possible interval of demagnetisation.Stereoplot (d) shows B component third, magnetite-resident, component that unblocked at directions.Symbols as in Figure 3. 580°C and had directions similar to those of B (Figure 12a). 9002 yraurbeF 21 80:01 :tA ]ailartsuA</x:v>
      </x:c>
      <x:c r="L127" s="19" t="str">
        <x:v>/Users/lihd/discovery/paleomagnetic-r3-workflow/dist/paleomagnetic-r357-calibrated-workflow-full/data/parsed_mds/3434.txt</x:v>
      </x:c>
    </x:row>
    <x:row r="128" ht="52" customHeight="1">
      <x:c r="A128" s="19" t="str">
        <x:v>3434</x:v>
      </x:c>
      <x:c r="B128" s="19" t="str">
        <x:v>8734</x:v>
      </x:c>
      <x:c r="C128" s="19" t="str">
        <x:v>Fiery Creek Formation</x:v>
      </x:c>
      <x:c r="D128" s="19" t="str">
        <x:v>B Component</x:v>
      </x:c>
      <x:c r="E128" s="19" t="str">
        <x:v>ABSTAIN_INSUFFICIENT</x:v>
      </x:c>
      <x:c r="F128" s="19" t="str"/>
      <x:c r="G128" s="19" t="str">
        <x:v>PAPER_ROW_MATCH</x:v>
      </x:c>
      <x:c r="H128" s="19" t="str">
        <x:v>locator_component</x:v>
      </x:c>
      <x:c r="I128" s="19" t="n">
        <x:v>15</x:v>
      </x:c>
      <x:c r="J128" s="19" t="str">
        <x:v>result_locator</x:v>
      </x:c>
      <x:c r="K128" s="19" t="str">
        <x:v>Proterozoic apparent polar wander path 419 Figure12 Fiery Creek Volcanics. Stereodiagrams show field (a) and bedding (b) corrected directions for component B at two localities distinguished in the diagrams by circle and square symbols.Bedding corrections improve the directional agreement between the localities,but retain some differences.The latter are attributed to errors in the bedding dip estimate for the site represented by the square symbols.Orthogonal projection plot (c) shows a small change in the remanence direction at ~600°C.Inflection in the normalised remanence intensity plot (inset) at this temperature suggests that the change is due to the removal of a small magnetite remanence.Symbols as in Figure 3. That component was,however,too poorly defined to give a west-downward inclined group in a background of highly reliable pole. scattere</x:v>
      </x:c>
      <x:c r="L128" s="19" t="str">
        <x:v>/Users/lihd/discovery/paleomagnetic-r3-workflow/dist/paleomagnetic-r357-calibrated-workflow-full/data/parsed_mds/3434.txt</x:v>
      </x:c>
    </x:row>
    <x:row r="129" ht="52" customHeight="1">
      <x:c r="A129" s="19" t="str">
        <x:v>3434</x:v>
      </x:c>
      <x:c r="B129" s="19" t="str">
        <x:v>8735</x:v>
      </x:c>
      <x:c r="C129" s="19" t="str">
        <x:v>Gunpowder Creek Formation</x:v>
      </x:c>
      <x:c r="D129" s="19" t="str">
        <x:v>B Component</x:v>
      </x:c>
      <x:c r="E129" s="19" t="str">
        <x:v>ABSTAIN_INSUFFICIENT</x:v>
      </x:c>
      <x:c r="F129" s="19" t="str"/>
      <x:c r="G129" s="19" t="str">
        <x:v>PAPER_ROW_MATCH</x:v>
      </x:c>
      <x:c r="H129" s="19" t="str">
        <x:v>carrier</x:v>
      </x:c>
      <x:c r="I129" s="19" t="n">
        <x:v>15</x:v>
      </x:c>
      <x:c r="J129" s="19" t="str">
        <x:v>locator_component_context</x:v>
      </x:c>
      <x:c r="K129" s="19" t="str">
        <x:v>emanence intensity plot (inset) at this temperature suggests that the change is due to the removal of a small magnetite remanence.Symbols as in Figure 3. That component was,however,too poorly defined to give a west-downward inclined group in a background of highly reliable pole. scattered directions (Figure 13a).Tilt corrections dispersed the group (Figure 13b),indicating that the magnetisation is post-deformational,i.e.an overprint.Its mean direction GUNPOWDER CREEK FORMATION (declination 250.0°,inclination 66.8°) gives the pole GPRO1. The Gunpowder Creek Formation near the base of the The latter falls near the OP3 group of overprints. McNamara Group consists of fine-grained,shallow-marine Component B unblocked at ~685°C and was found in siliciclastics and minor dolomites.The formation is divided 11 sandstone samples from the upper Gunpowder Creek into two sedimentary packages by an ero</x:v>
      </x:c>
      <x:c r="L129" s="19" t="str">
        <x:v>/Users/lihd/discovery/paleomagnetic-r3-workflow/dist/paleomagnetic-r357-calibrated-workflow-full/data/parsed_mds/3434.txt</x:v>
      </x:c>
    </x:row>
    <x:row r="130" ht="52" customHeight="1">
      <x:c r="A130" s="19" t="str">
        <x:v>3434</x:v>
      </x:c>
      <x:c r="B130" s="19" t="str">
        <x:v>8735</x:v>
      </x:c>
      <x:c r="C130" s="19" t="str">
        <x:v>Gunpowder Creek Formation</x:v>
      </x:c>
      <x:c r="D130" s="19" t="str">
        <x:v>B Component</x:v>
      </x:c>
      <x:c r="E130" s="19" t="str">
        <x:v>ABSTAIN_INSUFFICIENT</x:v>
      </x:c>
      <x:c r="F130" s="19" t="str"/>
      <x:c r="G130" s="19" t="str">
        <x:v>PAPER_ROW_MATCH</x:v>
      </x:c>
      <x:c r="H130" s="19" t="str">
        <x:v>carrier</x:v>
      </x:c>
      <x:c r="I130" s="19" t="n">
        <x:v>15</x:v>
      </x:c>
      <x:c r="J130" s="19" t="str">
        <x:v>locator_component_context</x:v>
      </x:c>
      <x:c r="K130" s="19" t="str">
        <x:v>nit (they straddle the Gun 2.1f surface of conglomerates.Zircons from a tuffaceous bed in the lower Southgate et al.2000).At both sites the beds were distin- Gunpowder Creek Formation give a SHRIMP U–Pb age of guished from drab adjacent lithologies by their dark red- 169463Ma (Page et al. 2000). The age of the upper brown colour. Before tilt corrections the directions from Gunpowder Creek Formation is constrained by U–Pb zircon these localities differed widely;after corrections they con- dates ranging from 165863Ma to 165367Ma in the con- verged (Figure 13c,d),indicating that this component pre- formably overlying Paradise Creek Formation (Pageet al. dates the Isan and earlier orogenies.The B component pole 2000). Resumption of sedimentation after the long depo- (GPRO2) lies on the apparent polar wander path at the sitional break is attributed to thermal relaxation following younger side</x:v>
      </x:c>
      <x:c r="L130" s="19" t="str">
        <x:v>/Users/lihd/discovery/paleomagnetic-r3-workflow/dist/paleomagnetic-r357-calibrated-workflow-full/data/parsed_mds/3434.txt</x:v>
      </x:c>
    </x:row>
    <x:row r="131" ht="52" customHeight="1">
      <x:c r="A131" s="19" t="str">
        <x:v>3434</x:v>
      </x:c>
      <x:c r="B131" s="19" t="str">
        <x:v>8735</x:v>
      </x:c>
      <x:c r="C131" s="19" t="str">
        <x:v>Gunpowder Creek Formation</x:v>
      </x:c>
      <x:c r="D131" s="19" t="str">
        <x:v>B Component</x:v>
      </x:c>
      <x:c r="E131" s="19" t="str">
        <x:v>ABSTAIN_INSUFFICIENT</x:v>
      </x:c>
      <x:c r="F131" s="19" t="str"/>
      <x:c r="G131" s="19" t="str">
        <x:v>PAPER_ROW_MATCH</x:v>
      </x:c>
      <x:c r="H131" s="19" t="str">
        <x:v>diagnostic</x:v>
      </x:c>
      <x:c r="I131" s="19" t="n">
        <x:v>15</x:v>
      </x:c>
      <x:c r="J131" s="19" t="str">
        <x:v>locator_component_context</x:v>
      </x:c>
      <x:c r="K131" s="19" t="str">
        <x:v>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three sampling localities,where it oc</x:v>
      </x:c>
      <x:c r="L131" s="19" t="str">
        <x:v>/Users/lihd/discovery/paleomagnetic-r3-workflow/dist/paleomagnetic-r357-calibrated-workflow-full/data/parsed_mds/3434.txt</x:v>
      </x:c>
    </x:row>
    <x:row r="132" ht="52" customHeight="1">
      <x:c r="A132" s="19" t="str">
        <x:v>3434</x:v>
      </x:c>
      <x:c r="B132" s="19" t="str">
        <x:v>8735</x:v>
      </x:c>
      <x:c r="C132" s="19" t="str">
        <x:v>Gunpowder Creek Formation</x:v>
      </x:c>
      <x:c r="D132" s="19" t="str">
        <x:v>B Component</x:v>
      </x:c>
      <x:c r="E132" s="19" t="str">
        <x:v>ABSTAIN_INSUFFICIENT</x:v>
      </x:c>
      <x:c r="F132" s="19" t="str"/>
      <x:c r="G132" s="19" t="str">
        <x:v>PAPER_ROW_MATCH</x:v>
      </x:c>
      <x:c r="H132" s="19" t="str">
        <x:v>locator_component</x:v>
      </x:c>
      <x:c r="I132" s="19" t="n">
        <x:v>12</x:v>
      </x:c>
      <x:c r="J132" s="19" t="str">
        <x:v>result_locator</x:v>
      </x:c>
      <x:c r="K132" s="19" t="str">
        <x:v>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x:v>
      </x:c>
      <x:c r="L132" s="19" t="str">
        <x:v>/Users/lihd/discovery/paleomagnetic-r3-workflow/dist/paleomagnetic-r357-calibrated-workflow-full/data/parsed_mds/3434.txt</x:v>
      </x:c>
    </x:row>
    <x:row r="133" ht="52" customHeight="1">
      <x:c r="A133" s="19" t="str">
        <x:v>3434</x:v>
      </x:c>
      <x:c r="B133" s="19" t="str">
        <x:v>8735</x:v>
      </x:c>
      <x:c r="C133" s="19" t="str">
        <x:v>Gunpowder Creek Formation</x:v>
      </x:c>
      <x:c r="D133" s="19" t="str">
        <x:v>B Component</x:v>
      </x:c>
      <x:c r="E133" s="19" t="str">
        <x:v>ABSTAIN_INSUFFICIENT</x:v>
      </x:c>
      <x:c r="F133" s="19" t="str"/>
      <x:c r="G133" s="19" t="str">
        <x:v>PAPER_ROW_MATCH</x:v>
      </x:c>
      <x:c r="H133" s="19" t="str">
        <x:v>locator_component</x:v>
      </x:c>
      <x:c r="I133" s="19" t="n">
        <x:v>13</x:v>
      </x:c>
      <x:c r="J133" s="19" t="str">
        <x:v>result_locator</x:v>
      </x:c>
      <x:c r="K133" s="19" t="str">
        <x:v>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siliciclastics and subordin- the overprint B in the Peters Creek Volcanics and is there- ate carbonates.Also present are tuffaceous beds containing fore likewise an overprint. zircons that have been dated by the U–Pb SHRIMP tech- The Pff2 site contains component B (pole FSHO3 in nique at 164067Ma (Page &amp; Sweet 1998). The formation Table 2) that unblocks at 640–660°C and is bipolar with a was sampled in the lower ~25m of a cliff where Wire Creek mode</x:v>
      </x:c>
      <x:c r="L133" s="19" t="str">
        <x:v>/Users/lihd/discovery/paleomagnetic-r3-workflow/dist/paleomagnetic-r357-calibrated-workflow-full/data/parsed_mds/3434.txt</x:v>
      </x:c>
    </x:row>
    <x:row r="134" ht="52" customHeight="1">
      <x:c r="A134" s="19" t="str">
        <x:v>3434</x:v>
      </x:c>
      <x:c r="B134" s="19" t="str">
        <x:v>8735</x:v>
      </x:c>
      <x:c r="C134" s="19" t="str">
        <x:v>Gunpowder Creek Formation</x:v>
      </x:c>
      <x:c r="D134" s="19" t="str">
        <x:v>B Component</x:v>
      </x:c>
      <x:c r="E134" s="19" t="str">
        <x:v>ABSTAIN_INSUFFICIENT</x:v>
      </x:c>
      <x:c r="F134" s="19" t="str"/>
      <x:c r="G134" s="19" t="str">
        <x:v>PAPER_ROW_MATCH</x:v>
      </x:c>
      <x:c r="H134" s="19" t="str">
        <x:v>locator_component</x:v>
      </x:c>
      <x:c r="I134" s="19" t="n">
        <x:v>13</x:v>
      </x:c>
      <x:c r="J134" s="19" t="str">
        <x:v>result_locator</x:v>
      </x:c>
      <x:c r="K134" s="19" t="str">
        <x:v>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x:v>
      </x:c>
      <x:c r="L134" s="19" t="str">
        <x:v>/Users/lihd/discovery/paleomagnetic-r3-workflow/dist/paleomagnetic-r357-calibrated-workflow-full/data/parsed_mds/3434.txt</x:v>
      </x:c>
    </x:row>
    <x:row r="135" ht="52" customHeight="1">
      <x:c r="A135" s="19" t="str">
        <x:v>3434</x:v>
      </x:c>
      <x:c r="B135" s="19" t="str">
        <x:v>8735</x:v>
      </x:c>
      <x:c r="C135" s="19" t="str">
        <x:v>Gunpowder Creek Formation</x:v>
      </x:c>
      <x:c r="D135" s="19" t="str">
        <x:v>B Component</x:v>
      </x:c>
      <x:c r="E135" s="19" t="str">
        <x:v>ABSTAIN_INSUFFICIENT</x:v>
      </x:c>
      <x:c r="F135" s="19" t="str"/>
      <x:c r="G135" s="19" t="str">
        <x:v>PAPER_ROW_MATCH</x:v>
      </x:c>
      <x:c r="H135" s="19" t="str">
        <x:v>locator_component</x:v>
      </x:c>
      <x:c r="I135" s="19" t="n">
        <x:v>14</x:v>
      </x:c>
      <x:c r="J135" s="19" t="str">
        <x:v>result_locator</x:v>
      </x:c>
      <x:c r="K135" s="19" t="str">
        <x:v>418 M. Idnurm overprint.As noted above,the latter was found also in the component B (Figure 11c, d). The red colour of the rock nearby Peters Creek Volcanics and Fish River Formation. and truncation of the Lochness Formation by an erosional unconformity that separates the McNamara Group from the older strata suggest that B may be a chem- Lawn Hill Platform: Centre and West ical,possibly weathering-related,overprint acquired dur- ing the depositional hiatus. Such an origin would be LOCHNESS FORMATION consistent with the interpretation,discussed below,that the The Lochness Formation, pre-dating the Calvert Buddawadda Basalt pre-dates the unconformity. Superbasin (Jackson et al.2000) is the oldest unit sampled Alternatively,B could be an earlier overprint or even the in the M</x:v>
      </x:c>
      <x:c r="L135" s="19" t="str">
        <x:v>/Users/lihd/discovery/paleomagnetic-r3-workflow/dist/paleomagnetic-r357-calibrated-workflow-full/data/parsed_mds/3434.txt</x:v>
      </x:c>
    </x:row>
    <x:row r="136" ht="52" customHeight="1">
      <x:c r="A136" s="19" t="str">
        <x:v>3434</x:v>
      </x:c>
      <x:c r="B136" s="19" t="str">
        <x:v>8735</x:v>
      </x:c>
      <x:c r="C136" s="19" t="str">
        <x:v>Gunpowder Creek Formation</x:v>
      </x:c>
      <x:c r="D136" s="19" t="str">
        <x:v>B Component</x:v>
      </x:c>
      <x:c r="E136" s="19" t="str">
        <x:v>ABSTAIN_INSUFFICIENT</x:v>
      </x:c>
      <x:c r="F136" s="19" t="str"/>
      <x:c r="G136" s="19" t="str">
        <x:v>PAPER_ROW_MATCH</x:v>
      </x:c>
      <x:c r="H136" s="19" t="str">
        <x:v>locator_component</x:v>
      </x:c>
      <x:c r="I136" s="19" t="n">
        <x:v>14</x:v>
      </x:c>
      <x:c r="J136" s="19" t="str">
        <x:v>result_locator</x:v>
      </x:c>
      <x:c r="K136" s="19" t="str">
        <x:v>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red siltstones and fine- On the other hand,component B being older than 1730Ma, grained sandstones.The beds dip 37°to the southeast. is likely to pre-date most of the deformation,and has there- Twenty samples were collected from the bed and side fore been tilt corrected. cliffs of the Seymour River. Thermal demagnetisation yielded two remanence components,A and B.Component FIERY CREEK VOLCANICS A unblocked at 650–6758C and its in situremanence had a moderate upward inclination to the north (Figure 11a,c). The bimodal Fiery Creek Volcanics we</x:v>
      </x:c>
      <x:c r="L136" s="19" t="str">
        <x:v>/Users/lihd/discovery/paleomagnetic-r3-workflow/dist/paleomagnetic-r357-calibrated-workflow-full/data/parsed_mds/3434.txt</x:v>
      </x:c>
    </x:row>
    <x:row r="137" ht="52" customHeight="1">
      <x:c r="A137" s="19" t="str">
        <x:v>3434</x:v>
      </x:c>
      <x:c r="B137" s="19" t="str">
        <x:v>8735</x:v>
      </x:c>
      <x:c r="C137" s="19" t="str">
        <x:v>Gunpowder Creek Formation</x:v>
      </x:c>
      <x:c r="D137" s="19" t="str">
        <x:v>B Component</x:v>
      </x:c>
      <x:c r="E137" s="19" t="str">
        <x:v>ABSTAIN_INSUFFICIENT</x:v>
      </x:c>
      <x:c r="F137" s="19" t="str"/>
      <x:c r="G137" s="19" t="str">
        <x:v>PAPER_ROW_MATCH</x:v>
      </x:c>
      <x:c r="H137" s="19" t="str">
        <x:v>locator_component</x:v>
      </x:c>
      <x:c r="I137" s="19" t="n">
        <x:v>14</x:v>
      </x:c>
      <x:c r="J137" s="19" t="str">
        <x:v>result_locator</x:v>
      </x:c>
      <x:c r="K137" s="19" t="str">
        <x:v>greatly from the dip at the first locality (35° to 155°), providing a rough fold test.Except for a SHRIMP zircon date of 170963Ma for what appears to be a late felsic intrusive (Scott et al. 1998), the Fiery Creek Volcanics lack chronological constraints. A total of 74 red- and grey-brown samples was collected, 56 of these from the first locality.Thermal demagnetisation yielded two components,A and B,that unblocked generally between 680°C and 690°C and formed coherent directional groups.Component A was found only in the interbedded sediments,and its directions resemble closely those of com- ponent A of the Lochness Formation.As noted above,the Lochness component appears to be an overprint. Component B (Figure 12a,b) was found in both the silici- clastics and volcanics.Before tilt corrections its directions for the two localities differed widely (Figure 12a).Although tilt corrections did </x:v>
      </x:c>
      <x:c r="L137" s="19" t="str">
        <x:v>/Users/lihd/discovery/paleomagnetic-r3-workflow/dist/paleomagnetic-r357-calibrated-workflow-full/data/parsed_mds/3434.txt</x:v>
      </x:c>
    </x:row>
    <x:row r="138" ht="52" customHeight="1">
      <x:c r="A138" s="19" t="str">
        <x:v>3434</x:v>
      </x:c>
      <x:c r="B138" s="19" t="str">
        <x:v>8735</x:v>
      </x:c>
      <x:c r="C138" s="19" t="str">
        <x:v>Gunpowder Creek Formation</x:v>
      </x:c>
      <x:c r="D138" s="19" t="str">
        <x:v>B Component</x:v>
      </x:c>
      <x:c r="E138" s="19" t="str">
        <x:v>ABSTAIN_INSUFFICIENT</x:v>
      </x:c>
      <x:c r="F138" s="19" t="str"/>
      <x:c r="G138" s="19" t="str">
        <x:v>PAPER_ROW_MATCH</x:v>
      </x:c>
      <x:c r="H138" s="19" t="str">
        <x:v>locator_component</x:v>
      </x:c>
      <x:c r="I138" s="19" t="n">
        <x:v>14</x:v>
      </x:c>
      <x:c r="J138" s="19" t="str">
        <x:v>result_locator</x:v>
      </x:c>
      <x:c r="K138" s="19" t="str">
        <x:v>he overall mean direction for the Figure11 Lochness Formation. Field (a) and bedding (b) cor- formation,unit weights were assigned to individual flows rected directions for component A.Field corrected (in situ) direc- and interbedded sediment packages, giving the tilt- tions correspond to a pervasive overprint at the Lawn Hill corrected direction: declination 108.8°, inclination 40.1°. Platform.Bedding corrections yield a pole that does not plot on This resembles closely the mean direction obtained by any known apparent polar wander path segment and these correc- assigning unit weights to each of the samples:109.7°,39.8°. tions are therefore considered inapplicable.Orthogonal plot (c) shows components A and B,B being resolved only in the last 15°C Some volcanic samples contained evidence of a possible interval of demagnetisation.Stereoplot (d) shows B component third, magnetite-resident,</x:v>
      </x:c>
      <x:c r="L138" s="19" t="str">
        <x:v>/Users/lihd/discovery/paleomagnetic-r3-workflow/dist/paleomagnetic-r357-calibrated-workflow-full/data/parsed_mds/3434.txt</x:v>
      </x:c>
    </x:row>
    <x:row r="139" ht="52" customHeight="1">
      <x:c r="A139" s="19" t="str">
        <x:v>3434</x:v>
      </x:c>
      <x:c r="B139" s="19" t="str">
        <x:v>8735</x:v>
      </x:c>
      <x:c r="C139" s="19" t="str">
        <x:v>Gunpowder Creek Formation</x:v>
      </x:c>
      <x:c r="D139" s="19" t="str">
        <x:v>B Component</x:v>
      </x:c>
      <x:c r="E139" s="19" t="str">
        <x:v>ABSTAIN_INSUFFICIENT</x:v>
      </x:c>
      <x:c r="F139" s="19" t="str"/>
      <x:c r="G139" s="19" t="str">
        <x:v>PAPER_ROW_MATCH</x:v>
      </x:c>
      <x:c r="H139" s="19" t="str">
        <x:v>locator_component</x:v>
      </x:c>
      <x:c r="I139" s="19" t="n">
        <x:v>14</x:v>
      </x:c>
      <x:c r="J139" s="19" t="str">
        <x:v>result_locator</x:v>
      </x:c>
      <x:c r="K139" s="19" t="str">
        <x:v>ctions for component A.Field corrected (in situ) direc- and interbedded sediment packages, giving the tilt- tions correspond to a pervasive overprint at the Lawn Hill corrected direction: declination 108.8°, inclination 40.1°. Platform.Bedding corrections yield a pole that does not plot on This resembles closely the mean direction obtained by any known apparent polar wander path segment and these correc- assigning unit weights to each of the samples:109.7°,39.8°. tions are therefore considered inapplicable.Orthogonal plot (c) shows components A and B,B being resolved only in the last 15°C Some volcanic samples contained evidence of a possible interval of demagnetisation.Stereoplot (d) shows B component third, magnetite-resident, component that unblocked at directions.Symbols as in Figure 3. 580°C and had directions similar to those of B (Figure 12a). 9002 yraurbeF 21 80:01 :tA ]ailartsuA</x:v>
      </x:c>
      <x:c r="L139" s="19" t="str">
        <x:v>/Users/lihd/discovery/paleomagnetic-r3-workflow/dist/paleomagnetic-r357-calibrated-workflow-full/data/parsed_mds/3434.txt</x:v>
      </x:c>
    </x:row>
    <x:row r="140" ht="52" customHeight="1">
      <x:c r="A140" s="19" t="str">
        <x:v>3434</x:v>
      </x:c>
      <x:c r="B140" s="19" t="str">
        <x:v>8736</x:v>
      </x:c>
      <x:c r="C140" s="19" t="str">
        <x:v>Gunpowder Creek Formation</x:v>
      </x:c>
      <x:c r="D140" s="19" t="str">
        <x:v>C Component</x:v>
      </x:c>
      <x:c r="E140" s="19" t="str">
        <x:v>ABSTAIN_INSUFFICIENT</x:v>
      </x:c>
      <x:c r="F140" s="19" t="str"/>
      <x:c r="G140" s="19" t="str">
        <x:v>PAPER_ROW_MATCH</x:v>
      </x:c>
      <x:c r="H140" s="19" t="str">
        <x:v>carrier</x:v>
      </x:c>
      <x:c r="I140" s="19" t="n">
        <x:v>15</x:v>
      </x:c>
      <x:c r="J140" s="19" t="str">
        <x:v>locator_component_context</x:v>
      </x:c>
      <x:c r="K140" s="19" t="str">
        <x:v>emanence intensity plot (inset) at this temperature suggests that the change is due to the removal of a small magnetite remanence.Symbols as in Figure 3. That component was,however,too poorly defined to give a west-downward inclined group in a background of highly reliable pole. scattered directions (Figure 13a).Tilt corrections dispersed the group (Figure 13b),indicating that the magnetisation is post-deformational,i.e.an overprint.Its mean direction GUNPOWDER CREEK FORMATION (declination 250.0°,inclination 66.8°) gives the pole GPRO1. The Gunpowder Creek Formation near the base of the The latter falls near the OP3 group of overprints. McNamara Group consists of fine-grained,shallow-marine Component B unblocked at ~685°C and was found in siliciclastics and minor dolomites.The formation is divided 11 sandstone samples from the upper Gunpowder Creek into two sedimentary packages by an ero</x:v>
      </x:c>
      <x:c r="L140" s="19" t="str">
        <x:v>/Users/lihd/discovery/paleomagnetic-r3-workflow/dist/paleomagnetic-r357-calibrated-workflow-full/data/parsed_mds/3434.txt</x:v>
      </x:c>
    </x:row>
    <x:row r="141" ht="52" customHeight="1">
      <x:c r="A141" s="19" t="str">
        <x:v>3434</x:v>
      </x:c>
      <x:c r="B141" s="19" t="str">
        <x:v>8736</x:v>
      </x:c>
      <x:c r="C141" s="19" t="str">
        <x:v>Gunpowder Creek Formation</x:v>
      </x:c>
      <x:c r="D141" s="19" t="str">
        <x:v>C Component</x:v>
      </x:c>
      <x:c r="E141" s="19" t="str">
        <x:v>ABSTAIN_INSUFFICIENT</x:v>
      </x:c>
      <x:c r="F141" s="19" t="str"/>
      <x:c r="G141" s="19" t="str">
        <x:v>PAPER_ROW_MATCH</x:v>
      </x:c>
      <x:c r="H141" s="19" t="str">
        <x:v>diagnostic</x:v>
      </x:c>
      <x:c r="I141" s="19" t="n">
        <x:v>15</x:v>
      </x:c>
      <x:c r="J141" s="19" t="str">
        <x:v>locator_component_context</x:v>
      </x:c>
      <x:c r="K141" s="19" t="str">
        <x:v>t (L15 &amp; L16,Figure 1).Moderately steep to near- fluids.As noted in the discussion,the circulation may have vertical bedding dips at the first two localities contrast with been caused by tectonism related to the bend at ca1650Ma moderate dips at the third and provide a good opportunity on the apparent polar wander path. The timing and geo- for fold tests. Rock colour ranged from dark grey to buff chemistry of the alteration suggest that the fluids may have and,less commonly,red-brown.The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x:v>
      </x:c>
      <x:c r="L141" s="19" t="str">
        <x:v>/Users/lihd/discovery/paleomagnetic-r3-workflow/dist/paleomagnetic-r357-calibrated-workflow-full/data/parsed_mds/3434.txt</x:v>
      </x:c>
    </x:row>
    <x:row r="142" ht="52" customHeight="1">
      <x:c r="A142" s="19" t="str">
        <x:v>3434</x:v>
      </x:c>
      <x:c r="B142" s="19" t="str">
        <x:v>8736</x:v>
      </x:c>
      <x:c r="C142" s="19" t="str">
        <x:v>Gunpowder Creek Formation</x:v>
      </x:c>
      <x:c r="D142" s="19" t="str">
        <x:v>C Component</x:v>
      </x:c>
      <x:c r="E142" s="19" t="str">
        <x:v>ABSTAIN_INSUFFICIENT</x:v>
      </x:c>
      <x:c r="F142" s="19" t="str"/>
      <x:c r="G142" s="19" t="str">
        <x:v>PAPER_ROW_MATCH</x:v>
      </x:c>
      <x:c r="H142" s="19" t="str">
        <x:v>locator_component</x:v>
      </x:c>
      <x:c r="I142" s="19" t="n">
        <x:v>8</x:v>
      </x:c>
      <x:c r="J142" s="19" t="str">
        <x:v>result_locator</x:v>
      </x:c>
      <x:c r="K142" s="19" t="str">
        <x:v>is figure may be attributed to by &gt;30°from the group means.The distribution of direc- errors in bedding dips,which were often difficult to esti- tions with ≤580°C unblocking temperatures is streaked, mate accurately.The overall bedding-corrected mean direc- indicating the presence of two components. Comparison tion for the West Branch Volcanics,calculated from the site with Figure 3e suggests that one of these may be the higher means,is declination 100.4°,inclination 42.9°. temperature (600–680°C) component,while the other is an overprint that affected magnetite but not the higher Curie MASTERTON SANDSTONE temperature hematite. Since thermal demagnetisation failed to adequately separate the components,the ≤580°C The previously sampled Masterton Sandstone in the south- directions are discarded. ern McArthur Basin (Idnurm et al.1995) was revisited to Figure 3f shows the remanence direction</x:v>
      </x:c>
      <x:c r="L142" s="19" t="str">
        <x:v>/Users/lihd/discovery/paleomagnetic-r3-workflow/dist/paleomagnetic-r357-calibrated-workflow-full/data/parsed_mds/3434.txt</x:v>
      </x:c>
    </x:row>
    <x:row r="143" ht="52" customHeight="1">
      <x:c r="A143" s="19" t="str">
        <x:v>3434</x:v>
      </x:c>
      <x:c r="B143" s="19" t="str">
        <x:v>8736</x:v>
      </x:c>
      <x:c r="C143" s="19" t="str">
        <x:v>Gunpowder Creek Formation</x:v>
      </x:c>
      <x:c r="D143" s="19" t="str">
        <x:v>C Component</x:v>
      </x:c>
      <x:c r="E143" s="19" t="str">
        <x:v>ABSTAIN_INSUFFICIENT</x:v>
      </x:c>
      <x:c r="F143" s="19" t="str"/>
      <x:c r="G143" s="19" t="str">
        <x:v>PAPER_ROW_MATCH</x:v>
      </x:c>
      <x:c r="H143" s="19" t="str">
        <x:v>locator_component</x:v>
      </x:c>
      <x:c r="I143" s="19" t="n">
        <x:v>12</x:v>
      </x:c>
      <x:c r="J143" s="19" t="str">
        <x:v>result_locator</x:v>
      </x:c>
      <x:c r="K143" s="19" t="str">
        <x:v>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x:v>
      </x:c>
      <x:c r="L143" s="19" t="str">
        <x:v>/Users/lihd/discovery/paleomagnetic-r3-workflow/dist/paleomagnetic-r357-calibrated-workflow-full/data/parsed_mds/3434.txt</x:v>
      </x:c>
    </x:row>
    <x:row r="144" ht="52" customHeight="1">
      <x:c r="A144" s="19" t="str">
        <x:v>3434</x:v>
      </x:c>
      <x:c r="B144" s="19" t="str">
        <x:v>8736</x:v>
      </x:c>
      <x:c r="C144" s="19" t="str">
        <x:v>Gunpowder Creek Formation</x:v>
      </x:c>
      <x:c r="D144" s="19" t="str">
        <x:v>C Component</x:v>
      </x:c>
      <x:c r="E144" s="19" t="str">
        <x:v>ABSTAIN_INSUFFICIENT</x:v>
      </x:c>
      <x:c r="F144" s="19" t="str"/>
      <x:c r="G144" s="19" t="str">
        <x:v>PAPER_ROW_MATCH</x:v>
      </x:c>
      <x:c r="H144" s="19" t="str">
        <x:v>locator_component</x:v>
      </x:c>
      <x:c r="I144" s="19" t="n">
        <x:v>12</x:v>
      </x:c>
      <x:c r="J144" s="19" t="str">
        <x:v>result_locator</x:v>
      </x:c>
      <x:c r="K144" s="19" t="str">
        <x:v>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x:v>
      </x:c>
      <x:c r="L144" s="19" t="str">
        <x:v>/Users/lihd/discovery/paleomagnetic-r3-workflow/dist/paleomagnetic-r357-calibrated-workflow-full/data/parsed_mds/3434.txt</x:v>
      </x:c>
    </x:row>
    <x:row r="145" ht="52" customHeight="1">
      <x:c r="A145" s="19" t="str">
        <x:v>3434</x:v>
      </x:c>
      <x:c r="B145" s="19" t="str">
        <x:v>8736</x:v>
      </x:c>
      <x:c r="C145" s="19" t="str">
        <x:v>Gunpowder Creek Formation</x:v>
      </x:c>
      <x:c r="D145" s="19" t="str">
        <x:v>C Component</x:v>
      </x:c>
      <x:c r="E145" s="19" t="str">
        <x:v>ABSTAIN_INSUFFICIENT</x:v>
      </x:c>
      <x:c r="F145" s="19" t="str"/>
      <x:c r="G145" s="19" t="str">
        <x:v>PAPER_ROW_MATCH</x:v>
      </x:c>
      <x:c r="H145" s="19" t="str">
        <x:v>locator_component</x:v>
      </x:c>
      <x:c r="I145" s="19" t="n">
        <x:v>12</x:v>
      </x:c>
      <x:c r="J145" s="19" t="str">
        <x:v>result_locator</x:v>
      </x:c>
      <x:c r="K145" s="19" t="str">
        <x:v>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x:v>
      </x:c>
      <x:c r="L145" s="19" t="str">
        <x:v>/Users/lihd/discovery/paleomagnetic-r3-workflow/dist/paleomagnetic-r357-calibrated-workflow-full/data/parsed_mds/3434.txt</x:v>
      </x:c>
    </x:row>
    <x:row r="146" ht="52" customHeight="1">
      <x:c r="A146" s="19" t="str">
        <x:v>3434</x:v>
      </x:c>
      <x:c r="B146" s="19" t="str">
        <x:v>8736</x:v>
      </x:c>
      <x:c r="C146" s="19" t="str">
        <x:v>Gunpowder Creek Formation</x:v>
      </x:c>
      <x:c r="D146" s="19" t="str">
        <x:v>C Component</x:v>
      </x:c>
      <x:c r="E146" s="19" t="str">
        <x:v>ABSTAIN_INSUFFICIENT</x:v>
      </x:c>
      <x:c r="F146" s="19" t="str"/>
      <x:c r="G146" s="19" t="str">
        <x:v>PAPER_ROW_MATCH</x:v>
      </x:c>
      <x:c r="H146" s="19" t="str">
        <x:v>locator_component</x:v>
      </x:c>
      <x:c r="I146" s="19" t="n">
        <x:v>12</x:v>
      </x:c>
      <x:c r="J146" s="19" t="str">
        <x:v>result_locator</x:v>
      </x:c>
      <x:c r="K146" s="19" t="str">
        <x:v>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 difference in</x:v>
      </x:c>
      <x:c r="L146" s="19" t="str">
        <x:v>/Users/lihd/discovery/paleomagnetic-r3-workflow/dist/paleomagnetic-r357-calibrated-workflow-full/data/parsed_mds/3434.txt</x:v>
      </x:c>
    </x:row>
    <x:row r="147" ht="52" customHeight="1">
      <x:c r="A147" s="19" t="str">
        <x:v>3434</x:v>
      </x:c>
      <x:c r="B147" s="19" t="str">
        <x:v>8736</x:v>
      </x:c>
      <x:c r="C147" s="19" t="str">
        <x:v>Gunpowder Creek Formation</x:v>
      </x:c>
      <x:c r="D147" s="19" t="str">
        <x:v>C Component</x:v>
      </x:c>
      <x:c r="E147" s="19" t="str">
        <x:v>ABSTAIN_INSUFFICIENT</x:v>
      </x:c>
      <x:c r="F147" s="19" t="str"/>
      <x:c r="G147" s="19" t="str">
        <x:v>PAPER_ROW_MATCH</x:v>
      </x:c>
      <x:c r="H147" s="19" t="str">
        <x:v>locator_component</x:v>
      </x:c>
      <x:c r="I147" s="19" t="n">
        <x:v>13</x:v>
      </x:c>
      <x:c r="J147" s="19" t="str">
        <x:v>result_locator</x:v>
      </x:c>
      <x:c r="K147" s="19" t="str">
        <x:v>t 1998). The formation Table 2) that unblocks at 640–660°C and is bipolar with a was sampled in the lower ~25m of a cliff where Wire Creek moderate north-upward/south-downward inclination has exposed pale greenish-grey and cream siltstones and (Figure 9b).B is based on few directions and has a large con- claystones.Demagnetisation was thermal. fidence circle making it difficult to distinguish from Initial remanence intensities of the samples were low Pliocene or younger chemical weathering effects,and from (typically 1–3mA/m),and were further reduced by removal a common Mesoproterozoic overprint (OP4) in the Lawn at the initial 100°C heating step of a random component. Hill Platform.Another component,C,at this site unblocks Most of the remaining remanences unblocked at 540–630°C and had moderate north-upward/south-downward inclin- ations (Figure 10a).Three samples contained remanences of</x:v>
      </x:c>
      <x:c r="L147" s="19" t="str">
        <x:v>/Users/lihd/discovery/paleomagnetic-r3-workflow/dist/paleomagnetic-r357-calibrated-workflow-full/data/parsed_mds/3434.txt</x:v>
      </x:c>
    </x:row>
    <x:row r="148" ht="52" customHeight="1">
      <x:c r="A148" s="19" t="str">
        <x:v>3434</x:v>
      </x:c>
      <x:c r="B148" s="19" t="str">
        <x:v>8736</x:v>
      </x:c>
      <x:c r="C148" s="19" t="str">
        <x:v>Gunpowder Creek Formation</x:v>
      </x:c>
      <x:c r="D148" s="19" t="str">
        <x:v>C Component</x:v>
      </x:c>
      <x:c r="E148" s="19" t="str">
        <x:v>ABSTAIN_INSUFFICIENT</x:v>
      </x:c>
      <x:c r="F148" s="19" t="str"/>
      <x:c r="G148" s="19" t="str">
        <x:v>PAPER_ROW_MATCH</x:v>
      </x:c>
      <x:c r="H148" s="19" t="str">
        <x:v>locator_component</x:v>
      </x:c>
      <x:c r="I148" s="19" t="n">
        <x:v>13</x:v>
      </x:c>
      <x:c r="J148" s="19" t="str">
        <x:v>result_locator</x:v>
      </x:c>
      <x:c r="K148" s="19" t="str">
        <x:v>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x:v>
      </x:c>
      <x:c r="L148" s="19" t="str">
        <x:v>/Users/lihd/discovery/paleomagnetic-r3-workflow/dist/paleomagnetic-r357-calibrated-workflow-full/data/parsed_mds/3434.txt</x:v>
      </x:c>
    </x:row>
    <x:row r="149" ht="52" customHeight="1">
      <x:c r="A149" s="19" t="str">
        <x:v>3434</x:v>
      </x:c>
      <x:c r="B149" s="19" t="str">
        <x:v>8736</x:v>
      </x:c>
      <x:c r="C149" s="19" t="str">
        <x:v>Gunpowder Creek Formation</x:v>
      </x:c>
      <x:c r="D149" s="19" t="str">
        <x:v>C Component</x:v>
      </x:c>
      <x:c r="E149" s="19" t="str">
        <x:v>ABSTAIN_INSUFFICIENT</x:v>
      </x:c>
      <x:c r="F149" s="19" t="str"/>
      <x:c r="G149" s="19" t="str">
        <x:v>PAPER_ROW_MATCH</x:v>
      </x:c>
      <x:c r="H149" s="19" t="str">
        <x:v>locator_component</x:v>
      </x:c>
      <x:c r="I149" s="19" t="n">
        <x:v>13</x:v>
      </x:c>
      <x:c r="J149" s="19" t="str">
        <x:v>result_locator</x:v>
      </x:c>
      <x:c r="K149" s="19" t="str">
        <x:v>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 projection plot (b) shows a spurious low unblocking mediate between component A (squares) and C (triangles) direc- temperature component LT together with west downward- tions.A and C appear to have similar unblocking temperature inclined component IT found in some sam</x:v>
      </x:c>
      <x:c r="L149" s="19" t="str">
        <x:v>/Users/lihd/discovery/paleomagnetic-r3-workflow/dist/paleomagnetic-r357-calibrated-workflow-full/data/parsed_mds/3434.txt</x:v>
      </x:c>
    </x:row>
    <x:row r="150" ht="52" customHeight="1">
      <x:c r="A150" s="19" t="str">
        <x:v>3434</x:v>
      </x:c>
      <x:c r="B150" s="19" t="str">
        <x:v>8737</x:v>
      </x:c>
      <x:c r="C150" s="19" t="str">
        <x:v>Gunpowder Creek Formation</x:v>
      </x:c>
      <x:c r="D150" s="19" t="str">
        <x:v>D Component</x:v>
      </x:c>
      <x:c r="E150" s="19" t="str">
        <x:v>ABSTAIN_INSUFFICIENT</x:v>
      </x:c>
      <x:c r="F150" s="19" t="str"/>
      <x:c r="G150" s="19" t="str">
        <x:v>PAPER_ROW_MATCH</x:v>
      </x:c>
      <x:c r="H150" s="19" t="str">
        <x:v>diagnostic</x:v>
      </x:c>
      <x:c r="I150" s="19" t="n">
        <x:v>15</x:v>
      </x:c>
      <x:c r="J150" s="19" t="str">
        <x:v>locator_component_context</x:v>
      </x:c>
      <x:c r="K150" s="19" t="str">
        <x:v>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x:v>
      </x:c>
      <x:c r="L150" s="19" t="str">
        <x:v>/Users/lihd/discovery/paleomagnetic-r3-workflow/dist/paleomagnetic-r357-calibrated-workflow-full/data/parsed_mds/3434.txt</x:v>
      </x:c>
    </x:row>
    <x:row r="151" ht="52" customHeight="1">
      <x:c r="A151" s="19" t="str">
        <x:v>3434</x:v>
      </x:c>
      <x:c r="B151" s="19" t="str">
        <x:v>8737</x:v>
      </x:c>
      <x:c r="C151" s="19" t="str">
        <x:v>Gunpowder Creek Formation</x:v>
      </x:c>
      <x:c r="D151" s="19" t="str">
        <x:v>D Component</x:v>
      </x:c>
      <x:c r="E151" s="19" t="str">
        <x:v>ABSTAIN_INSUFFICIENT</x:v>
      </x:c>
      <x:c r="F151" s="19" t="str"/>
      <x:c r="G151" s="19" t="str">
        <x:v>PAPER_ROW_MATCH</x:v>
      </x:c>
      <x:c r="H151" s="19" t="str">
        <x:v>locator_component</x:v>
      </x:c>
      <x:c r="I151" s="19" t="n">
        <x:v>12</x:v>
      </x:c>
      <x:c r="J151" s="19" t="str">
        <x:v>result_locator</x:v>
      </x:c>
      <x:c r="K151" s="19" t="str">
        <x:v>onent.Inset in (a) shows the corresponding decrease in remanence intensity at ~580°C,confirming the presence of magnetite in the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x:v>
      </x:c>
      <x:c r="L151" s="19" t="str">
        <x:v>/Users/lihd/discovery/paleomagnetic-r3-workflow/dist/paleomagnetic-r357-calibrated-workflow-full/data/parsed_mds/3434.txt</x:v>
      </x:c>
    </x:row>
    <x:row r="152" ht="52" customHeight="1">
      <x:c r="A152" s="19" t="str">
        <x:v>3434</x:v>
      </x:c>
      <x:c r="B152" s="19" t="str">
        <x:v>8737</x:v>
      </x:c>
      <x:c r="C152" s="19" t="str">
        <x:v>Gunpowder Creek Formation</x:v>
      </x:c>
      <x:c r="D152" s="19" t="str">
        <x:v>D Component</x:v>
      </x:c>
      <x:c r="E152" s="19" t="str">
        <x:v>ABSTAIN_INSUFFICIENT</x:v>
      </x:c>
      <x:c r="F152" s="19" t="str"/>
      <x:c r="G152" s="19" t="str">
        <x:v>PAPER_ROW_MATCH</x:v>
      </x:c>
      <x:c r="H152" s="19" t="str">
        <x:v>locator_component</x:v>
      </x:c>
      <x:c r="I152" s="19" t="n">
        <x:v>12</x:v>
      </x:c>
      <x:c r="J152" s="19" t="str">
        <x:v>result_locator</x:v>
      </x:c>
      <x:c r="K152" s="19" t="str">
        <x:v>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x:v>
      </x:c>
      <x:c r="L152" s="19" t="str">
        <x:v>/Users/lihd/discovery/paleomagnetic-r3-workflow/dist/paleomagnetic-r357-calibrated-workflow-full/data/parsed_mds/3434.txt</x:v>
      </x:c>
    </x:row>
    <x:row r="153" ht="52" customHeight="1">
      <x:c r="A153" s="19" t="str">
        <x:v>3434</x:v>
      </x:c>
      <x:c r="B153" s="19" t="str">
        <x:v>8737</x:v>
      </x:c>
      <x:c r="C153" s="19" t="str">
        <x:v>Gunpowder Creek Formation</x:v>
      </x:c>
      <x:c r="D153" s="19" t="str">
        <x:v>D Component</x:v>
      </x:c>
      <x:c r="E153" s="19" t="str">
        <x:v>ABSTAIN_INSUFFICIENT</x:v>
      </x:c>
      <x:c r="F153" s="19" t="str"/>
      <x:c r="G153" s="19" t="str">
        <x:v>PAPER_ROW_MATCH</x:v>
      </x:c>
      <x:c r="H153" s="19" t="str">
        <x:v>locator_component</x:v>
      </x:c>
      <x:c r="I153" s="19" t="n">
        <x:v>12</x:v>
      </x:c>
      <x:c r="J153" s="19" t="str">
        <x:v>result_locator</x:v>
      </x:c>
      <x:c r="K153" s="19" t="str">
        <x:v>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 magnetite and Formation as well as in other formations of the Lawn Hill hematite provides a clue to the origin of the remanence Platform,B appears to be an overprint.Component C wit</x:v>
      </x:c>
      <x:c r="L153" s="19" t="str">
        <x:v>/Users/lihd/discovery/paleomagnetic-r3-workflow/dist/paleomagnetic-r357-calibrated-workflow-full/data/parsed_mds/3434.txt</x:v>
      </x:c>
    </x:row>
    <x:row r="154" ht="52" customHeight="1">
      <x:c r="A154" s="19" t="str">
        <x:v>3434</x:v>
      </x:c>
      <x:c r="B154" s="19" t="str">
        <x:v>8737</x:v>
      </x:c>
      <x:c r="C154" s="19" t="str">
        <x:v>Gunpowder Creek Formation</x:v>
      </x:c>
      <x:c r="D154" s="19" t="str">
        <x:v>D Component</x:v>
      </x:c>
      <x:c r="E154" s="19" t="str">
        <x:v>ABSTAIN_INSUFFICIENT</x:v>
      </x:c>
      <x:c r="F154" s="19" t="str"/>
      <x:c r="G154" s="19" t="str">
        <x:v>PAPER_ROW_MATCH</x:v>
      </x:c>
      <x:c r="H154" s="19" t="str">
        <x:v>locator_component</x:v>
      </x:c>
      <x:c r="I154" s="19" t="n">
        <x:v>12</x:v>
      </x:c>
      <x:c r="J154" s="19" t="str">
        <x:v>result_locator</x:v>
      </x:c>
      <x:c r="K154" s="19" t="str">
        <x:v>as in other formations of the Lawn Hill hematite provides a clue to the origin of the remanence Platform,B appears to be an overprint.Component C with components in Ptp1.It suggests that the magnetisation is shallow downward inclinations to the east (Figure 8e) was a thermoremanence, acquired probably when the lava found at only one site (L10.7) where it was the dominant cooled below the Curie point of magnetite (magnetite remanence above 550°C (Figure 8f).C unblocks with a sharp remanence), and that this remanence was later super- decrease in intensity at 570–585°C,indicating magnetite as imposed by a chemical component acquired during the carrier. deuteric alteration (hematite remanence).Component D is Component D,which unblocked at ‡ 570°C,was found at therefore interpreted as the primary remanence of the two sites (L10.6 &amp; L10.9).Its intensity–temperature plots, Buddawadda Basalt.The</x:v>
      </x:c>
      <x:c r="L154" s="19" t="str">
        <x:v>/Users/lihd/discovery/paleomagnetic-r3-workflow/dist/paleomagnetic-r357-calibrated-workflow-full/data/parsed_mds/3434.txt</x:v>
      </x:c>
    </x:row>
    <x:row r="155" ht="52" customHeight="1">
      <x:c r="A155" s="19" t="str">
        <x:v>3434</x:v>
      </x:c>
      <x:c r="B155" s="19" t="str">
        <x:v>8737</x:v>
      </x:c>
      <x:c r="C155" s="19" t="str">
        <x:v>Gunpowder Creek Formation</x:v>
      </x:c>
      <x:c r="D155" s="19" t="str">
        <x:v>D Component</x:v>
      </x:c>
      <x:c r="E155" s="19" t="str">
        <x:v>ABSTAIN_INSUFFICIENT</x:v>
      </x:c>
      <x:c r="F155" s="19" t="str"/>
      <x:c r="G155" s="19" t="str">
        <x:v>PAPER_ROW_MATCH</x:v>
      </x:c>
      <x:c r="H155" s="19" t="str">
        <x:v>locator_component</x:v>
      </x:c>
      <x:c r="I155" s="19" t="n">
        <x:v>14</x:v>
      </x:c>
      <x:c r="J155" s="19" t="str">
        <x:v>result_locator</x:v>
      </x:c>
      <x:c r="K155" s="19" t="str">
        <x:v>418 M. Idnurm overprint.As noted above,the latter was found also in the component B (Figure 11c, d). The red colour of the rock nearby Peters Creek Volcanics and Fish River Formation. and truncation of the Lochness Formation by an erosional unconformity that separates the McNamara Group from the older strata suggest that B may be a chem- Lawn Hill Platform: Centre and West ical,possibly weathering-related,overprint acquired dur- ing the depositional hiatus. Such an origin would be LOCHNESS FORMATION consistent with the interpretation,discussed below,that the The Lochness Formation, pre-dating the Calvert Buddawadda Basalt pre-dates the unconformity. Superbasin (Jackson et al.2000) is the oldest unit sampled Alternatively,B could be an earlier overprint or even the in the McArthur Basin a</x:v>
      </x:c>
      <x:c r="L155" s="19" t="str">
        <x:v>/Users/lihd/discovery/paleomagnetic-r3-workflow/dist/paleomagnetic-r357-calibrated-workflow-full/data/parsed_mds/3434.txt</x:v>
      </x:c>
    </x:row>
    <x:row r="156" ht="52" customHeight="1">
      <x:c r="A156" s="19" t="str">
        <x:v>3434</x:v>
      </x:c>
      <x:c r="B156" s="19" t="str">
        <x:v>8737</x:v>
      </x:c>
      <x:c r="C156" s="19" t="str">
        <x:v>Gunpowder Creek Formation</x:v>
      </x:c>
      <x:c r="D156" s="19" t="str">
        <x:v>D Component</x:v>
      </x:c>
      <x:c r="E156" s="19" t="str">
        <x:v>ABSTAIN_INSUFFICIENT</x:v>
      </x:c>
      <x:c r="F156" s="19" t="str"/>
      <x:c r="G156" s="19" t="str">
        <x:v>PAPER_ROW_MATCH</x:v>
      </x:c>
      <x:c r="H156" s="19" t="str">
        <x:v>locator_component</x:v>
      </x:c>
      <x:c r="I156" s="19" t="n">
        <x:v>16</x:v>
      </x:c>
      <x:c r="J156" s="19" t="str">
        <x:v>result_locator</x:v>
      </x:c>
      <x:c r="K156" s="19" t="str">
        <x:v>420 M. Idnurm inclination –39.2°.This resembles the direction of overprint Remanence intensities were low (typically ~1mA/m),and OP4. many samples either became magnetically unstable during Component D,giving the pole GPRR (Table 2),was found thermal demagnetisation or yielded highly scattered to ran- only in the ferricrete that marks the unconformity at local- dom directions.AF demagnetisation (some after thermal ity L14 (Barr Hole).It unblocks between 660°C and 680°C and and liquid nitrogen pretreatments) failed to eliminate the has a shallow west-upward inclination when tilt corrected scatter by selective removal of spurious remanence com- (Figure 13g).As noted above,similar directions were found ponents.An exception was a group of nine grey dolomite in the McArthur Basin correlative, the lower Masterton samples from the upper part of the type section. The Sandstone,which therefore ap</x:v>
      </x:c>
      <x:c r="L156" s="19" t="str">
        <x:v>/Users/lihd/discovery/paleomagnetic-r3-workflow/dist/paleomagnetic-r357-calibrated-workflow-full/data/parsed_mds/3434.txt</x:v>
      </x:c>
    </x:row>
    <x:row r="157" ht="52" customHeight="1">
      <x:c r="A157" s="19" t="str">
        <x:v>3434</x:v>
      </x:c>
      <x:c r="B157" s="19" t="str">
        <x:v>8737</x:v>
      </x:c>
      <x:c r="C157" s="19" t="str">
        <x:v>Gunpowder Creek Formation</x:v>
      </x:c>
      <x:c r="D157" s="19" t="str">
        <x:v>D Component</x:v>
      </x:c>
      <x:c r="E157" s="19" t="str">
        <x:v>ABSTAIN_INSUFFICIENT</x:v>
      </x:c>
      <x:c r="F157" s="19" t="str"/>
      <x:c r="G157" s="19" t="str">
        <x:v>PAPER_ROW_MATCH</x:v>
      </x:c>
      <x:c r="H157" s="19" t="str">
        <x:v>locator_component</x:v>
      </x:c>
      <x:c r="I157" s="19" t="n">
        <x:v>16</x:v>
      </x:c>
      <x:c r="J157" s="19" t="str">
        <x:v>result_locator</x:v>
      </x:c>
      <x:c r="K157" s="19" t="str">
        <x:v>ent polar wander path,although that part of the path Mt Gordon Fault where also the Gunpowder Creek is very poorly defined.If so,this component may record an Formation was sampled.The rock was predominantly grey. event during the assembly of Rodinia. Figure13 Gunpowder Creek Formation.Field (a) and bedding (b) corrected directions for component A.Dispersal of directions after bedding corrections indicates that A is an overprint.Field (c) and bedding (d) corrected directions for component B.Convergence of directions after bedding corrections indicates that B pre-dates deformation.Orthogonal projection plot (e) shows components A and C.Stereoplots (f) and (g) show the remanence directions for components C and D,respectively.Symbols as in Figure 3. 9002 yraurbeF 21 80:01 :tA ]ailartsuA nretseW fO ytisrevinU[ :yB dedaolnwoD</x:v>
      </x:c>
      <x:c r="L157" s="19" t="str">
        <x:v>/Users/lihd/discovery/paleomagnetic-r3-workflow/dist/paleomagnetic-r357-calibrated-workflow-full/data/parsed_mds/3434.txt</x:v>
      </x:c>
    </x:row>
    <x:row r="158" ht="52" customHeight="1">
      <x:c r="A158" s="19" t="str">
        <x:v>3434</x:v>
      </x:c>
      <x:c r="B158" s="19" t="str">
        <x:v>8738</x:v>
      </x:c>
      <x:c r="C158" s="19" t="str">
        <x:v>Paradise Creek Formation</x:v>
      </x:c>
      <x:c r="D158" s="19" t="str">
        <x:v>A Component</x:v>
      </x:c>
      <x:c r="E158" s="19" t="str">
        <x:v>PRESENT</x:v>
      </x:c>
      <x:c r="F158" s="19" t="str">
        <x:v>IRM,SUSC-T</x:v>
      </x:c>
      <x:c r="G158" s="19" t="str">
        <x:v>PAPER_ROW_MATCH</x:v>
      </x:c>
      <x:c r="H158" s="19" t="str">
        <x:v>method</x:v>
      </x:c>
      <x:c r="I158" s="19" t="n">
        <x:v>5</x:v>
      </x:c>
      <x:c r="J158" s="19" t="str">
        <x:v>same_target_page</x:v>
      </x:c>
      <x:c r="K158" s="19" t="str">
        <x:v>IRM</x:v>
      </x:c>
      <x:c r="L158" s="19" t="str">
        <x:v>/Users/lihd/discovery/paleomagnetic-r3-workflow/dist/paleomagnetic-r357-calibrated-workflow-full/data/parsed_mds/3434.txt</x:v>
      </x:c>
    </x:row>
    <x:row r="159" ht="52" customHeight="1">
      <x:c r="A159" s="19" t="str">
        <x:v>3434</x:v>
      </x:c>
      <x:c r="B159" s="19" t="str">
        <x:v>8738</x:v>
      </x:c>
      <x:c r="C159" s="19" t="str">
        <x:v>Paradise Creek Formation</x:v>
      </x:c>
      <x:c r="D159" s="19" t="str">
        <x:v>A Component</x:v>
      </x:c>
      <x:c r="E159" s="19" t="str">
        <x:v>PRESENT</x:v>
      </x:c>
      <x:c r="F159" s="19" t="str">
        <x:v>IRM,SUSC-T</x:v>
      </x:c>
      <x:c r="G159" s="19" t="str">
        <x:v>PAPER_ROW_MATCH</x:v>
      </x:c>
      <x:c r="H159" s="19" t="str">
        <x:v>diagnostic</x:v>
      </x:c>
      <x:c r="I159" s="19" t="n">
        <x:v>5</x:v>
      </x:c>
      <x:c r="J159" s="19" t="str">
        <x:v>same_target_page</x:v>
      </x:c>
      <x:c r="K159" s="19" t="str">
        <x:v>yielding a total volcanics of a mineral with a Curie temperature of ≤580°C</x:v>
      </x:c>
      <x:c r="L159" s="19" t="str">
        <x:v>/Users/lihd/discovery/paleomagnetic-r3-workflow/dist/paleomagnetic-r357-calibrated-workflow-full/data/parsed_mds/3434.txt</x:v>
      </x:c>
    </x:row>
    <x:row r="160" ht="52" customHeight="1">
      <x:c r="A160" s="19" t="str">
        <x:v>3434</x:v>
      </x:c>
      <x:c r="B160" s="19" t="str">
        <x:v>8738</x:v>
      </x:c>
      <x:c r="C160" s="19" t="str">
        <x:v>Paradise Creek Formation</x:v>
      </x:c>
      <x:c r="D160" s="19" t="str">
        <x:v>A Component</x:v>
      </x:c>
      <x:c r="E160" s="19" t="str">
        <x:v>PRESENT</x:v>
      </x:c>
      <x:c r="F160" s="19" t="str">
        <x:v>IRM,SUSC-T</x:v>
      </x:c>
      <x:c r="G160" s="19" t="str">
        <x:v>PAPER_ROW_MATCH</x:v>
      </x:c>
      <x:c r="H160" s="19" t="str">
        <x:v>method</x:v>
      </x:c>
      <x:c r="I160" s="19" t="n">
        <x:v>5</x:v>
      </x:c>
      <x:c r="J160" s="19" t="str">
        <x:v>same_target_page</x:v>
      </x:c>
      <x:c r="K160" s="19" t="str">
        <x:v>coercivity</x:v>
      </x:c>
      <x:c r="L160" s="19" t="str">
        <x:v>/Users/lihd/discovery/paleomagnetic-r3-workflow/dist/paleomagnetic-r357-calibrated-workflow-full/data/parsed_mds/3434.txt</x:v>
      </x:c>
    </x:row>
    <x:row r="161" ht="52" customHeight="1">
      <x:c r="A161" s="19" t="str">
        <x:v>3434</x:v>
      </x:c>
      <x:c r="B161" s="19" t="str">
        <x:v>8738</x:v>
      </x:c>
      <x:c r="C161" s="19" t="str">
        <x:v>Paradise Creek Formation</x:v>
      </x:c>
      <x:c r="D161" s="19" t="str">
        <x:v>A Component</x:v>
      </x:c>
      <x:c r="E161" s="19" t="str">
        <x:v>PRESENT</x:v>
      </x:c>
      <x:c r="F161" s="19" t="str">
        <x:v>IRM,SUSC-T</x:v>
      </x:c>
      <x:c r="G161" s="19" t="str">
        <x:v>PAPER_ROW_MATCH</x:v>
      </x:c>
      <x:c r="H161" s="19" t="str">
        <x:v>locator_component</x:v>
      </x:c>
      <x:c r="I161" s="19" t="n">
        <x:v>14</x:v>
      </x:c>
      <x:c r="J161" s="19" t="str">
        <x:v>result_locator</x:v>
      </x:c>
      <x:c r="K161" s="19" t="str">
        <x:v>. Such an origin would be LOCHNESS FORMATION consistent with the interpretation,discussed below,that the The Lochness Formation, pre-dating the Calvert Buddawadda Basalt pre-dates the unconformity. Superbasin (Jackson et al.2000) is the oldest unit sampled Alternatively,B could be an earlier overprint or even the in the McArthur Basin and Lawn Hill Platform. Its age primary remanence.In view of the large tilt of the beds,it is poorly constrained by the date 179069Ma from the is important to know if bedding corrections should be stratigraphically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x:v>
      </x:c>
      <x:c r="L161" s="19" t="str">
        <x:v>/Users/lihd/discovery/paleomagnetic-r3-workflow/dist/paleomagnetic-r357-calibrated-workflow-full/data/parsed_mds/3434.txt</x:v>
      </x:c>
    </x:row>
    <x:row r="162" ht="52" customHeight="1">
      <x:c r="A162" s="19" t="str">
        <x:v>3434</x:v>
      </x:c>
      <x:c r="B162" s="19" t="str">
        <x:v>8738</x:v>
      </x:c>
      <x:c r="C162" s="19" t="str">
        <x:v>Paradise Creek Formation</x:v>
      </x:c>
      <x:c r="D162" s="19" t="str">
        <x:v>A Component</x:v>
      </x:c>
      <x:c r="E162" s="19" t="str">
        <x:v>PRESENT</x:v>
      </x:c>
      <x:c r="F162" s="19" t="str">
        <x:v>IRM,SUSC-T</x:v>
      </x:c>
      <x:c r="G162" s="19" t="str">
        <x:v>PAPER_ROW_MATCH</x:v>
      </x:c>
      <x:c r="H162" s="19" t="str">
        <x:v>locator_component</x:v>
      </x:c>
      <x:c r="I162" s="19" t="n">
        <x:v>14</x:v>
      </x:c>
      <x:c r="J162" s="19" t="str">
        <x:v>result_locator</x:v>
      </x:c>
      <x:c r="K162" s="19" t="str">
        <x:v>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red siltstones and fine- On the other hand,component B being older than 1730Ma, grained sandstones.The beds dip 37°to the southeast. is likely to pre-date most of the deformation,and has there- Twenty samples were collected from the bed and side fore been tilt corrected. cliffs of the Seymour River. Thermal demagnetisation yielded two remanence components,A and B.Component FIERY CREEK VOLCANICS A unblocked at 650–6758C and its in situremanence had a moderate upward inclination to the north (Figure 11a,c). The bimodal Fiery Creek Volcanics we</x:v>
      </x:c>
      <x:c r="L162" s="19" t="str">
        <x:v>/Users/lihd/discovery/paleomagnetic-r3-workflow/dist/paleomagnetic-r357-calibrated-workflow-full/data/parsed_mds/3434.txt</x:v>
      </x:c>
    </x:row>
    <x:row r="163" ht="52" customHeight="1">
      <x:c r="A163" s="19" t="str">
        <x:v>3434</x:v>
      </x:c>
      <x:c r="B163" s="19" t="str">
        <x:v>8738</x:v>
      </x:c>
      <x:c r="C163" s="19" t="str">
        <x:v>Paradise Creek Formation</x:v>
      </x:c>
      <x:c r="D163" s="19" t="str">
        <x:v>A Component</x:v>
      </x:c>
      <x:c r="E163" s="19" t="str">
        <x:v>PRESENT</x:v>
      </x:c>
      <x:c r="F163" s="19" t="str">
        <x:v>IRM,SUSC-T</x:v>
      </x:c>
      <x:c r="G163" s="19" t="str">
        <x:v>PAPER_ROW_MATCH</x:v>
      </x:c>
      <x:c r="H163" s="19" t="str">
        <x:v>locator_component</x:v>
      </x:c>
      <x:c r="I163" s="19" t="n">
        <x:v>14</x:v>
      </x:c>
      <x:c r="J163" s="19" t="str">
        <x:v>result_locator</x:v>
      </x:c>
      <x:c r="K163" s="19" t="str">
        <x:v>e sampled. Also sampled were small remnants of a mafic flow at a second locality ~60km to the northeast (L8, Figure 1).The bedding dip at the second site (~ 40°to 320°), although very poorly defined, differs greatly from the dip at the first locality (35° to 155°), providing a rough fold test.Except for a SHRIMP zircon date of 170963Ma for what appears to be a late felsic intrusive (Scott et al. 1998), the Fiery Creek Volcanics lack chronological constraints. A total of 74 red- and grey-brown samples was collected, 56 of these from the first locality.Thermal demagnetisation yielded two components,A and B,that unblocked generally between 680°C and 690°C and formed coherent directional groups.Component A was found only in the interbedded sediments,and its directions resemble closely those of com- ponent A of the Lochness Formation.As noted above,the Lochness component appears to be an over</x:v>
      </x:c>
      <x:c r="L163" s="19" t="str">
        <x:v>/Users/lihd/discovery/paleomagnetic-r3-workflow/dist/paleomagnetic-r357-calibrated-workflow-full/data/parsed_mds/3434.txt</x:v>
      </x:c>
    </x:row>
    <x:row r="164" ht="52" customHeight="1">
      <x:c r="A164" s="19" t="str">
        <x:v>3434</x:v>
      </x:c>
      <x:c r="B164" s="19" t="str">
        <x:v>8738</x:v>
      </x:c>
      <x:c r="C164" s="19" t="str">
        <x:v>Paradise Creek Formation</x:v>
      </x:c>
      <x:c r="D164" s="19" t="str">
        <x:v>A Component</x:v>
      </x:c>
      <x:c r="E164" s="19" t="str">
        <x:v>PRESENT</x:v>
      </x:c>
      <x:c r="F164" s="19" t="str">
        <x:v>IRM,SUSC-T</x:v>
      </x:c>
      <x:c r="G164" s="19" t="str">
        <x:v>PAPER_ROW_MATCH</x:v>
      </x:c>
      <x:c r="H164" s="19" t="str">
        <x:v>locator_component</x:v>
      </x:c>
      <x:c r="I164" s="19" t="n">
        <x:v>14</x:v>
      </x:c>
      <x:c r="J164" s="19" t="str">
        <x:v>result_locator</x:v>
      </x:c>
      <x:c r="K164" s="19" t="str">
        <x:v>he overall mean direction for the Figure11 Lochness Formation. Field (a) and bedding (b) cor- formation,unit weights were assigned to individual flows rected directions for component A.Field corrected (in situ) direc- and interbedded sediment packages, giving the tilt- tions correspond to a pervasive overprint at the Lawn Hill corrected direction: declination 108.8°, inclination 40.1°. Platform.Bedding corrections yield a pole that does not plot on This resembles closely the mean direction obtained by any known apparent polar wander path segment and these correc- assigning unit weights to each of the samples:109.7°,39.8°. tions are therefore considered inapplicable.Orthogonal plot (c) shows components A and B,B being resolved only in the last 15°C Some volcanic samples contained evidence of a possible interval of demagnetisation.Stereoplot (d) shows B component third, magnetite-resident,</x:v>
      </x:c>
      <x:c r="L164" s="19" t="str">
        <x:v>/Users/lihd/discovery/paleomagnetic-r3-workflow/dist/paleomagnetic-r357-calibrated-workflow-full/data/parsed_mds/3434.txt</x:v>
      </x:c>
    </x:row>
    <x:row r="165" ht="52" customHeight="1">
      <x:c r="A165" s="19" t="str">
        <x:v>3434</x:v>
      </x:c>
      <x:c r="B165" s="19" t="str">
        <x:v>8738</x:v>
      </x:c>
      <x:c r="C165" s="19" t="str">
        <x:v>Paradise Creek Formation</x:v>
      </x:c>
      <x:c r="D165" s="19" t="str">
        <x:v>A Component</x:v>
      </x:c>
      <x:c r="E165" s="19" t="str">
        <x:v>PRESENT</x:v>
      </x:c>
      <x:c r="F165" s="19" t="str">
        <x:v>IRM,SUSC-T</x:v>
      </x:c>
      <x:c r="G165" s="19" t="str">
        <x:v>PAPER_ROW_MATCH</x:v>
      </x:c>
      <x:c r="H165" s="19" t="str">
        <x:v>locator_component</x:v>
      </x:c>
      <x:c r="I165" s="19" t="n">
        <x:v>15</x:v>
      </x:c>
      <x:c r="J165" s="19" t="str">
        <x:v>result_locator</x:v>
      </x:c>
      <x:c r="K165" s="19" t="str">
        <x:v>t (L15 &amp; L16,Figure 1).Moderately steep to near- fluids.As noted in the discussion,the circulation may have vertical bedding dips at the first two localities contrast with been caused by tectonism related to the bend at ca1650Ma moderate dips at the third and provide a good opportunity on the apparent polar wander path. The timing and geo- for fold tests. Rock colour ranged from dark grey to buff chemistry of the alteration suggest that the fluids may have and,less commonly,red-brown.The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x:v>
      </x:c>
      <x:c r="L165" s="19" t="str">
        <x:v>/Users/lihd/discovery/paleomagnetic-r3-workflow/dist/paleomagnetic-r357-calibrated-workflow-full/data/parsed_mds/3434.txt</x:v>
      </x:c>
    </x:row>
    <x:row r="166" ht="52" customHeight="1">
      <x:c r="A166" s="19" t="str">
        <x:v>3434</x:v>
      </x:c>
      <x:c r="B166" s="19" t="str">
        <x:v>8738</x:v>
      </x:c>
      <x:c r="C166" s="19" t="str">
        <x:v>Paradise Creek Formation</x:v>
      </x:c>
      <x:c r="D166" s="19" t="str">
        <x:v>A Component</x:v>
      </x:c>
      <x:c r="E166" s="19" t="str">
        <x:v>PRESENT</x:v>
      </x:c>
      <x:c r="F166" s="19" t="str">
        <x:v>IRM,SUSC-T</x:v>
      </x:c>
      <x:c r="G166" s="19" t="str">
        <x:v>PAPER_ROW_MATCH</x:v>
      </x:c>
      <x:c r="H166" s="19" t="str">
        <x:v>locator_component</x:v>
      </x:c>
      <x:c r="I166" s="19" t="n">
        <x:v>15</x:v>
      </x:c>
      <x:c r="J166" s="19" t="str">
        <x:v>result_locator</x:v>
      </x:c>
      <x:c r="K166" s="19" t="str">
        <x:v>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x:v>
      </x:c>
      <x:c r="L166" s="19" t="str">
        <x:v>/Users/lihd/discovery/paleomagnetic-r3-workflow/dist/paleomagnetic-r357-calibrated-workflow-full/data/parsed_mds/3434.txt</x:v>
      </x:c>
    </x:row>
    <x:row r="167" ht="52" customHeight="1">
      <x:c r="A167" s="19" t="str">
        <x:v>3434</x:v>
      </x:c>
      <x:c r="B167" s="19" t="str">
        <x:v>8738</x:v>
      </x:c>
      <x:c r="C167" s="19" t="str">
        <x:v>Paradise Creek Formation</x:v>
      </x:c>
      <x:c r="D167" s="19" t="str">
        <x:v>A Component</x:v>
      </x:c>
      <x:c r="E167" s="19" t="str">
        <x:v>PRESENT</x:v>
      </x:c>
      <x:c r="F167" s="19" t="str">
        <x:v>IRM,SUSC-T</x:v>
      </x:c>
      <x:c r="G167" s="19" t="str">
        <x:v>PAPER_ROW_MATCH</x:v>
      </x:c>
      <x:c r="H167" s="19" t="str">
        <x:v>locator_component</x:v>
      </x:c>
      <x:c r="I167" s="19" t="n">
        <x:v>15</x:v>
      </x:c>
      <x:c r="J167" s="19" t="str">
        <x:v>result_locator</x:v>
      </x:c>
      <x:c r="K167" s="19" t="str">
        <x:v>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three sampling localities,where it oc</x:v>
      </x:c>
      <x:c r="L167" s="19" t="str">
        <x:v>/Users/lihd/discovery/paleomagnetic-r3-workflow/dist/paleomagnetic-r357-calibrated-workflow-full/data/parsed_mds/3434.txt</x:v>
      </x:c>
    </x:row>
    <x:row r="168" ht="52" customHeight="1">
      <x:c r="A168" s="19" t="str">
        <x:v>3434</x:v>
      </x:c>
      <x:c r="B168" s="19" t="str">
        <x:v>8738</x:v>
      </x:c>
      <x:c r="C168" s="19" t="str">
        <x:v>Paradise Creek Formation</x:v>
      </x:c>
      <x:c r="D168" s="19" t="str">
        <x:v>A Component</x:v>
      </x:c>
      <x:c r="E168" s="19" t="str">
        <x:v>PRESENT</x:v>
      </x:c>
      <x:c r="F168" s="19" t="str">
        <x:v>IRM,SUSC-T</x:v>
      </x:c>
      <x:c r="G168" s="19" t="str">
        <x:v>PAPER_ROW_MATCH</x:v>
      </x:c>
      <x:c r="H168" s="19" t="str">
        <x:v>locator_component</x:v>
      </x:c>
      <x:c r="I168" s="19" t="n">
        <x:v>15</x:v>
      </x:c>
      <x:c r="J168" s="19" t="str">
        <x:v>result_locator</x:v>
      </x:c>
      <x:c r="K168" s="19" t="str">
        <x:v>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three sampling localities,where it occurred in both grey deformational. Its mean direction, calculated after and buff s</x:v>
      </x:c>
      <x:c r="L168" s="19" t="str">
        <x:v>/Users/lihd/discovery/paleomagnetic-r3-workflow/dist/paleomagnetic-r357-calibrated-workflow-full/data/parsed_mds/3434.txt</x:v>
      </x:c>
    </x:row>
    <x:row r="169" ht="52" customHeight="1">
      <x:c r="A169" s="19" t="str">
        <x:v>3434</x:v>
      </x:c>
      <x:c r="B169" s="19" t="str">
        <x:v>8739</x:v>
      </x:c>
      <x:c r="C169" s="19" t="str">
        <x:v>Esperanza Formation</x:v>
      </x:c>
      <x:c r="D169" s="19" t="str">
        <x:v>A Component</x:v>
      </x:c>
      <x:c r="E169" s="19" t="str">
        <x:v>PRESENT</x:v>
      </x:c>
      <x:c r="F169" s="19" t="str">
        <x:v>IRM,SUSC-T</x:v>
      </x:c>
      <x:c r="G169" s="19" t="str">
        <x:v>PAPER_ROW_MATCH</x:v>
      </x:c>
      <x:c r="H169" s="19" t="str">
        <x:v>method</x:v>
      </x:c>
      <x:c r="I169" s="19" t="n">
        <x:v>5</x:v>
      </x:c>
      <x:c r="J169" s="19" t="str">
        <x:v>same_target_page</x:v>
      </x:c>
      <x:c r="K169" s="19" t="str">
        <x:v>IRM</x:v>
      </x:c>
      <x:c r="L169" s="19" t="str">
        <x:v>/Users/lihd/discovery/paleomagnetic-r3-workflow/dist/paleomagnetic-r357-calibrated-workflow-full/data/parsed_mds/3434.txt</x:v>
      </x:c>
    </x:row>
    <x:row r="170" ht="52" customHeight="1">
      <x:c r="A170" s="19" t="str">
        <x:v>3434</x:v>
      </x:c>
      <x:c r="B170" s="19" t="str">
        <x:v>8739</x:v>
      </x:c>
      <x:c r="C170" s="19" t="str">
        <x:v>Esperanza Formation</x:v>
      </x:c>
      <x:c r="D170" s="19" t="str">
        <x:v>A Component</x:v>
      </x:c>
      <x:c r="E170" s="19" t="str">
        <x:v>PRESENT</x:v>
      </x:c>
      <x:c r="F170" s="19" t="str">
        <x:v>IRM,SUSC-T</x:v>
      </x:c>
      <x:c r="G170" s="19" t="str">
        <x:v>PAPER_ROW_MATCH</x:v>
      </x:c>
      <x:c r="H170" s="19" t="str">
        <x:v>diagnostic</x:v>
      </x:c>
      <x:c r="I170" s="19" t="n">
        <x:v>5</x:v>
      </x:c>
      <x:c r="J170" s="19" t="str">
        <x:v>same_target_page</x:v>
      </x:c>
      <x:c r="K170" s="19" t="str">
        <x:v>yielding a total volcanics of a mineral with a Curie temperature of ≤580°C</x:v>
      </x:c>
      <x:c r="L170" s="19" t="str">
        <x:v>/Users/lihd/discovery/paleomagnetic-r3-workflow/dist/paleomagnetic-r357-calibrated-workflow-full/data/parsed_mds/3434.txt</x:v>
      </x:c>
    </x:row>
    <x:row r="171" ht="52" customHeight="1">
      <x:c r="A171" s="19" t="str">
        <x:v>3434</x:v>
      </x:c>
      <x:c r="B171" s="19" t="str">
        <x:v>8739</x:v>
      </x:c>
      <x:c r="C171" s="19" t="str">
        <x:v>Esperanza Formation</x:v>
      </x:c>
      <x:c r="D171" s="19" t="str">
        <x:v>A Component</x:v>
      </x:c>
      <x:c r="E171" s="19" t="str">
        <x:v>PRESENT</x:v>
      </x:c>
      <x:c r="F171" s="19" t="str">
        <x:v>IRM,SUSC-T</x:v>
      </x:c>
      <x:c r="G171" s="19" t="str">
        <x:v>PAPER_ROW_MATCH</x:v>
      </x:c>
      <x:c r="H171" s="19" t="str">
        <x:v>method</x:v>
      </x:c>
      <x:c r="I171" s="19" t="n">
        <x:v>5</x:v>
      </x:c>
      <x:c r="J171" s="19" t="str">
        <x:v>same_target_page</x:v>
      </x:c>
      <x:c r="K171" s="19" t="str">
        <x:v>coercivity</x:v>
      </x:c>
      <x:c r="L171" s="19" t="str">
        <x:v>/Users/lihd/discovery/paleomagnetic-r3-workflow/dist/paleomagnetic-r357-calibrated-workflow-full/data/parsed_mds/3434.txt</x:v>
      </x:c>
    </x:row>
    <x:row r="172" ht="52" customHeight="1">
      <x:c r="A172" s="19" t="str">
        <x:v>3434</x:v>
      </x:c>
      <x:c r="B172" s="19" t="str">
        <x:v>8739</x:v>
      </x:c>
      <x:c r="C172" s="19" t="str">
        <x:v>Esperanza Formation</x:v>
      </x:c>
      <x:c r="D172" s="19" t="str">
        <x:v>A Component</x:v>
      </x:c>
      <x:c r="E172" s="19" t="str">
        <x:v>PRESENT</x:v>
      </x:c>
      <x:c r="F172" s="19" t="str">
        <x:v>IRM,SUSC-T</x:v>
      </x:c>
      <x:c r="G172" s="19" t="str">
        <x:v>PAPER_ROW_MATCH</x:v>
      </x:c>
      <x:c r="H172" s="19" t="str">
        <x:v>method</x:v>
      </x:c>
      <x:c r="I172" s="19" t="n">
        <x:v>5</x:v>
      </x:c>
      <x:c r="J172" s="19" t="str">
        <x:v>same_target_page</x:v>
      </x:c>
      <x:c r="K172" s="19" t="str">
        <x:v>unblocking temperature</x:v>
      </x:c>
      <x:c r="L172" s="19" t="str">
        <x:v>/Users/lihd/discovery/paleomagnetic-r3-workflow/dist/paleomagnetic-r357-calibrated-workflow-full/data/parsed_mds/3434.txt</x:v>
      </x:c>
    </x:row>
    <x:row r="173" ht="52" customHeight="1">
      <x:c r="A173" s="19" t="str">
        <x:v>3434</x:v>
      </x:c>
      <x:c r="B173" s="19" t="str">
        <x:v>8739</x:v>
      </x:c>
      <x:c r="C173" s="19" t="str">
        <x:v>Esperanza Formation</x:v>
      </x:c>
      <x:c r="D173" s="19" t="str">
        <x:v>A Component</x:v>
      </x:c>
      <x:c r="E173" s="19" t="str">
        <x:v>PRESENT</x:v>
      </x:c>
      <x:c r="F173" s="19" t="str">
        <x:v>IRM,SUSC-T</x:v>
      </x:c>
      <x:c r="G173" s="19" t="str">
        <x:v>PAPER_ROW_MATCH</x:v>
      </x:c>
      <x:c r="H173" s="19" t="str">
        <x:v>locator_component</x:v>
      </x:c>
      <x:c r="I173" s="19" t="n">
        <x:v>14</x:v>
      </x:c>
      <x:c r="J173" s="19" t="str">
        <x:v>result_locator</x:v>
      </x:c>
      <x:c r="K173" s="19" t="str">
        <x:v>. Such an origin would be LOCHNESS FORMATION consistent with the interpretation,discussed below,that the The Lochness Formation, pre-dating the Calvert Buddawadda Basalt pre-dates the unconformity. Superbasin (Jackson et al.2000) is the oldest unit sampled Alternatively,B could be an earlier overprint or even the in the McArthur Basin and Lawn Hill Platform. Its age primary remanence.In view of the large tilt of the beds,it is poorly constrained by the date 179069Ma from the is important to know if bedding corrections should be stratigraphically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x:v>
      </x:c>
      <x:c r="L173" s="19" t="str">
        <x:v>/Users/lihd/discovery/paleomagnetic-r3-workflow/dist/paleomagnetic-r357-calibrated-workflow-full/data/parsed_mds/3434.txt</x:v>
      </x:c>
    </x:row>
    <x:row r="174" ht="52" customHeight="1">
      <x:c r="A174" s="19" t="str">
        <x:v>3434</x:v>
      </x:c>
      <x:c r="B174" s="19" t="str">
        <x:v>8739</x:v>
      </x:c>
      <x:c r="C174" s="19" t="str">
        <x:v>Esperanza Formation</x:v>
      </x:c>
      <x:c r="D174" s="19" t="str">
        <x:v>A Component</x:v>
      </x:c>
      <x:c r="E174" s="19" t="str">
        <x:v>PRESENT</x:v>
      </x:c>
      <x:c r="F174" s="19" t="str">
        <x:v>IRM,SUSC-T</x:v>
      </x:c>
      <x:c r="G174" s="19" t="str">
        <x:v>PAPER_ROW_MATCH</x:v>
      </x:c>
      <x:c r="H174" s="19" t="str">
        <x:v>locator_component</x:v>
      </x:c>
      <x:c r="I174" s="19" t="n">
        <x:v>14</x:v>
      </x:c>
      <x:c r="J174" s="19" t="str">
        <x:v>result_locator</x:v>
      </x:c>
      <x:c r="K174" s="19" t="str">
        <x:v>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red siltstones and fine- On the other hand,component B being older than 1730Ma, grained sandstones.The beds dip 37°to the southeast. is likely to pre-date most of the deformation,and has there- Twenty samples were collected from the bed and side fore been tilt corrected. cliffs of the Seymour River. Thermal demagnetisation yielded two remanence components,A and B.Component FIERY CREEK VOLCANICS A unblocked at 650–6758C and its in situremanence had a moderate upward inclination to the north (Figure 11a,c). The bimodal Fiery Creek Volcanics we</x:v>
      </x:c>
      <x:c r="L174" s="19" t="str">
        <x:v>/Users/lihd/discovery/paleomagnetic-r3-workflow/dist/paleomagnetic-r357-calibrated-workflow-full/data/parsed_mds/3434.txt</x:v>
      </x:c>
    </x:row>
    <x:row r="175" ht="52" customHeight="1">
      <x:c r="A175" s="19" t="str">
        <x:v>3434</x:v>
      </x:c>
      <x:c r="B175" s="19" t="str">
        <x:v>8739</x:v>
      </x:c>
      <x:c r="C175" s="19" t="str">
        <x:v>Esperanza Formation</x:v>
      </x:c>
      <x:c r="D175" s="19" t="str">
        <x:v>A Component</x:v>
      </x:c>
      <x:c r="E175" s="19" t="str">
        <x:v>PRESENT</x:v>
      </x:c>
      <x:c r="F175" s="19" t="str">
        <x:v>IRM,SUSC-T</x:v>
      </x:c>
      <x:c r="G175" s="19" t="str">
        <x:v>PAPER_ROW_MATCH</x:v>
      </x:c>
      <x:c r="H175" s="19" t="str">
        <x:v>locator_component</x:v>
      </x:c>
      <x:c r="I175" s="19" t="n">
        <x:v>14</x:v>
      </x:c>
      <x:c r="J175" s="19" t="str">
        <x:v>result_locator</x:v>
      </x:c>
      <x:c r="K175" s="19" t="str">
        <x:v>e sampled. Also sampled were small remnants of a mafic flow at a second locality ~60km to the northeast (L8, Figure 1).The bedding dip at the second site (~ 40°to 320°), although very poorly defined, differs greatly from the dip at the first locality (35° to 155°), providing a rough fold test.Except for a SHRIMP zircon date of 170963Ma for what appears to be a late felsic intrusive (Scott et al. 1998), the Fiery Creek Volcanics lack chronological constraints. A total of 74 red- and grey-brown samples was collected, 56 of these from the first locality.Thermal demagnetisation yielded two components,A and B,that unblocked generally between 680°C and 690°C and formed coherent directional groups.Component A was found only in the interbedded sediments,and its directions resemble closely those of com- ponent A of the Lochness Formation.As noted above,the Lochness component appears to be an over</x:v>
      </x:c>
      <x:c r="L175" s="19" t="str">
        <x:v>/Users/lihd/discovery/paleomagnetic-r3-workflow/dist/paleomagnetic-r357-calibrated-workflow-full/data/parsed_mds/3434.txt</x:v>
      </x:c>
    </x:row>
    <x:row r="176" ht="52" customHeight="1">
      <x:c r="A176" s="19" t="str">
        <x:v>3434</x:v>
      </x:c>
      <x:c r="B176" s="19" t="str">
        <x:v>8739</x:v>
      </x:c>
      <x:c r="C176" s="19" t="str">
        <x:v>Esperanza Formation</x:v>
      </x:c>
      <x:c r="D176" s="19" t="str">
        <x:v>A Component</x:v>
      </x:c>
      <x:c r="E176" s="19" t="str">
        <x:v>PRESENT</x:v>
      </x:c>
      <x:c r="F176" s="19" t="str">
        <x:v>IRM,SUSC-T</x:v>
      </x:c>
      <x:c r="G176" s="19" t="str">
        <x:v>PAPER_ROW_MATCH</x:v>
      </x:c>
      <x:c r="H176" s="19" t="str">
        <x:v>locator_component</x:v>
      </x:c>
      <x:c r="I176" s="19" t="n">
        <x:v>14</x:v>
      </x:c>
      <x:c r="J176" s="19" t="str">
        <x:v>result_locator</x:v>
      </x:c>
      <x:c r="K176" s="19" t="str">
        <x:v>he overall mean direction for the Figure11 Lochness Formation. Field (a) and bedding (b) cor- formation,unit weights were assigned to individual flows rected directions for component A.Field corrected (in situ) direc- and interbedded sediment packages, giving the tilt- tions correspond to a pervasive overprint at the Lawn Hill corrected direction: declination 108.8°, inclination 40.1°. Platform.Bedding corrections yield a pole that does not plot on This resembles closely the mean direction obtained by any known apparent polar wander path segment and these correc- assigning unit weights to each of the samples:109.7°,39.8°. tions are therefore considered inapplicable.Orthogonal plot (c) shows components A and B,B being resolved only in the last 15°C Some volcanic samples contained evidence of a possible interval of demagnetisation.Stereoplot (d) shows B component third, magnetite-resident,</x:v>
      </x:c>
      <x:c r="L176" s="19" t="str">
        <x:v>/Users/lihd/discovery/paleomagnetic-r3-workflow/dist/paleomagnetic-r357-calibrated-workflow-full/data/parsed_mds/3434.txt</x:v>
      </x:c>
    </x:row>
    <x:row r="177" ht="52" customHeight="1">
      <x:c r="A177" s="19" t="str">
        <x:v>3434</x:v>
      </x:c>
      <x:c r="B177" s="19" t="str">
        <x:v>8739</x:v>
      </x:c>
      <x:c r="C177" s="19" t="str">
        <x:v>Esperanza Formation</x:v>
      </x:c>
      <x:c r="D177" s="19" t="str">
        <x:v>A Component</x:v>
      </x:c>
      <x:c r="E177" s="19" t="str">
        <x:v>PRESENT</x:v>
      </x:c>
      <x:c r="F177" s="19" t="str">
        <x:v>IRM,SUSC-T</x:v>
      </x:c>
      <x:c r="G177" s="19" t="str">
        <x:v>PAPER_ROW_MATCH</x:v>
      </x:c>
      <x:c r="H177" s="19" t="str">
        <x:v>locator_component</x:v>
      </x:c>
      <x:c r="I177" s="19" t="n">
        <x:v>15</x:v>
      </x:c>
      <x:c r="J177" s="19" t="str">
        <x:v>result_locator</x:v>
      </x:c>
      <x:c r="K177" s="19" t="str">
        <x:v>t (L15 &amp; L16,Figure 1).Moderately steep to near- fluids.As noted in the discussion,the circulation may have vertical bedding dips at the first two localities contrast with been caused by tectonism related to the bend at ca1650Ma moderate dips at the third and provide a good opportunity on the apparent polar wander path. The timing and geo- for fold tests. Rock colour ranged from dark grey to buff chemistry of the alteration suggest that the fluids may have and,less commonly,red-brown.The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x:v>
      </x:c>
      <x:c r="L177" s="19" t="str">
        <x:v>/Users/lihd/discovery/paleomagnetic-r3-workflow/dist/paleomagnetic-r357-calibrated-workflow-full/data/parsed_mds/3434.txt</x:v>
      </x:c>
    </x:row>
    <x:row r="178" ht="52" customHeight="1">
      <x:c r="A178" s="19" t="str">
        <x:v>3434</x:v>
      </x:c>
      <x:c r="B178" s="19" t="str">
        <x:v>8739</x:v>
      </x:c>
      <x:c r="C178" s="19" t="str">
        <x:v>Esperanza Formation</x:v>
      </x:c>
      <x:c r="D178" s="19" t="str">
        <x:v>A Component</x:v>
      </x:c>
      <x:c r="E178" s="19" t="str">
        <x:v>PRESENT</x:v>
      </x:c>
      <x:c r="F178" s="19" t="str">
        <x:v>IRM,SUSC-T</x:v>
      </x:c>
      <x:c r="G178" s="19" t="str">
        <x:v>PAPER_ROW_MATCH</x:v>
      </x:c>
      <x:c r="H178" s="19" t="str">
        <x:v>locator_component</x:v>
      </x:c>
      <x:c r="I178" s="19" t="n">
        <x:v>15</x:v>
      </x:c>
      <x:c r="J178" s="19" t="str">
        <x:v>result_locator</x:v>
      </x:c>
      <x:c r="K178" s="19" t="str">
        <x:v>y,red-brown.The relative effectiveness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x:v>
      </x:c>
      <x:c r="L178" s="19" t="str">
        <x:v>/Users/lihd/discovery/paleomagnetic-r3-workflow/dist/paleomagnetic-r357-calibrated-workflow-full/data/parsed_mds/3434.txt</x:v>
      </x:c>
    </x:row>
    <x:row r="179" ht="52" customHeight="1">
      <x:c r="A179" s="19" t="str">
        <x:v>3434</x:v>
      </x:c>
      <x:c r="B179" s="19" t="str">
        <x:v>8739</x:v>
      </x:c>
      <x:c r="C179" s="19" t="str">
        <x:v>Esperanza Formation</x:v>
      </x:c>
      <x:c r="D179" s="19" t="str">
        <x:v>A Component</x:v>
      </x:c>
      <x:c r="E179" s="19" t="str">
        <x:v>PRESENT</x:v>
      </x:c>
      <x:c r="F179" s="19" t="str">
        <x:v>IRM,SUSC-T</x:v>
      </x:c>
      <x:c r="G179" s="19" t="str">
        <x:v>PAPER_ROW_MATCH</x:v>
      </x:c>
      <x:c r="H179" s="19" t="str">
        <x:v>locator_component</x:v>
      </x:c>
      <x:c r="I179" s="19" t="n">
        <x:v>15</x:v>
      </x:c>
      <x:c r="J179" s="19" t="str">
        <x:v>result_locator</x:v>
      </x:c>
      <x:c r="K179" s="19" t="str">
        <x:v>ss been related to those responsible for Pb–Zn mineralisation of thermal and AF demagnetisations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three sampling localities,where it oc</x:v>
      </x:c>
      <x:c r="L179" s="19" t="str">
        <x:v>/Users/lihd/discovery/paleomagnetic-r3-workflow/dist/paleomagnetic-r357-calibrated-workflow-full/data/parsed_mds/3434.txt</x:v>
      </x:c>
    </x:row>
    <x:row r="180" ht="52" customHeight="1">
      <x:c r="A180" s="19" t="str">
        <x:v>3434</x:v>
      </x:c>
      <x:c r="B180" s="19" t="str">
        <x:v>8739</x:v>
      </x:c>
      <x:c r="C180" s="19" t="str">
        <x:v>Esperanza Formation</x:v>
      </x:c>
      <x:c r="D180" s="19" t="str">
        <x:v>A Component</x:v>
      </x:c>
      <x:c r="E180" s="19" t="str">
        <x:v>PRESENT</x:v>
      </x:c>
      <x:c r="F180" s="19" t="str">
        <x:v>IRM,SUSC-T</x:v>
      </x:c>
      <x:c r="G180" s="19" t="str">
        <x:v>PAPER_ROW_MATCH</x:v>
      </x:c>
      <x:c r="H180" s="19" t="str">
        <x:v>locator_component</x:v>
      </x:c>
      <x:c r="I180" s="19" t="n">
        <x:v>15</x:v>
      </x:c>
      <x:c r="J180" s="19" t="str">
        <x:v>result_locator</x:v>
      </x:c>
      <x:c r="K180" s="19" t="str">
        <x:v>magnetisations was tested on pilot at Mt Isa. specimens. For some specimens AF demagnetisation The third component, C, has a dual polarity and was applied after thermal (100°C) or liquid nitrogen pre- moderate north-upward/south-downward inclinations treatment. Thermal demagnetisation was found to give (Figure 13f).C is pervasive throughout the formation and less scatter in orthogonal projection plots and was there- has a relatively narrow range of unblocking temperatures fore adopted for routine work. (typically 580–660°C) making it difficult to separate from Four remanence components,A–D,were resolved in the components A (Figure 13e) and B.Dispersal of directions Gunpowder Creek Formation.Component A was found at after bedding corrections indicates that C is post- all three sampling localities,where it occurred in both grey deformational. Its mean direction, calculated after and buff s</x:v>
      </x:c>
      <x:c r="L180" s="19" t="str">
        <x:v>/Users/lihd/discovery/paleomagnetic-r3-workflow/dist/paleomagnetic-r357-calibrated-workflow-full/data/parsed_mds/3434.txt</x:v>
      </x:c>
    </x:row>
    <x:row r="181" ht="52" customHeight="1">
      <x:c r="A181" s="19" t="str">
        <x:v>3434</x:v>
      </x:c>
      <x:c r="B181" s="19" t="str">
        <x:v>8740</x:v>
      </x:c>
      <x:c r="C181" s="19" t="str">
        <x:v>Lawn Hill Formation</x:v>
      </x:c>
      <x:c r="D181" s="19" t="str">
        <x:v>B Component</x:v>
      </x:c>
      <x:c r="E181" s="19" t="str">
        <x:v>PRESENT</x:v>
      </x:c>
      <x:c r="F181" s="19" t="str">
        <x:v>IRM,SUSC-T</x:v>
      </x:c>
      <x:c r="G181" s="19" t="str">
        <x:v>PAPER_ROW_MATCH</x:v>
      </x:c>
      <x:c r="H181" s="19" t="str">
        <x:v>method</x:v>
      </x:c>
      <x:c r="I181" s="19" t="n">
        <x:v>5</x:v>
      </x:c>
      <x:c r="J181" s="19" t="str">
        <x:v>target_same_sentence</x:v>
      </x:c>
      <x:c r="K181" s="19" t="str">
        <x:v>Normally two or more specimens were demagnetised per sample.Both thermomagnetic analysis (Figure 3a) and RESULTS remanence intensity behaviour during thermal demag- Four formations were sampled in the McArthur Basin and netisation (Figure 3b) indicated the presence in the nine formations in the Lawn Hill Platform,yielding a total volcanics of a mineral with a Curie temperature of ≤580°C, 9002 yraurbeF 21 80:01 :tA ]ailartsuA nretseW fO ytisrevinU[ :yB dedaolnwoD</x:v>
      </x:c>
      <x:c r="L181" s="19" t="str">
        <x:v>/Users/lihd/discovery/paleomagnetic-r3-workflow/dist/paleomagnetic-r357-calibrated-workflow-full/data/parsed_mds/3434.txt</x:v>
      </x:c>
    </x:row>
    <x:row r="182" ht="52" customHeight="1">
      <x:c r="A182" s="19" t="str">
        <x:v>3434</x:v>
      </x:c>
      <x:c r="B182" s="19" t="str">
        <x:v>8740</x:v>
      </x:c>
      <x:c r="C182" s="19" t="str">
        <x:v>Lawn Hill Formation</x:v>
      </x:c>
      <x:c r="D182" s="19" t="str">
        <x:v>B Component</x:v>
      </x:c>
      <x:c r="E182" s="19" t="str">
        <x:v>PRESENT</x:v>
      </x:c>
      <x:c r="F182" s="19" t="str">
        <x:v>IRM,SUSC-T</x:v>
      </x:c>
      <x:c r="G182" s="19" t="str">
        <x:v>PAPER_ROW_MATCH</x:v>
      </x:c>
      <x:c r="H182" s="19" t="str">
        <x:v>method</x:v>
      </x:c>
      <x:c r="I182" s="19" t="n">
        <x:v>5</x:v>
      </x:c>
      <x:c r="J182" s="19" t="str">
        <x:v>same_target_page</x:v>
      </x:c>
      <x:c r="K182" s="19" t="str">
        <x:v>IRM</x:v>
      </x:c>
      <x:c r="L182" s="19" t="str">
        <x:v>/Users/lihd/discovery/paleomagnetic-r3-workflow/dist/paleomagnetic-r357-calibrated-workflow-full/data/parsed_mds/3434.txt</x:v>
      </x:c>
    </x:row>
    <x:row r="183" ht="52" customHeight="1">
      <x:c r="A183" s="19" t="str">
        <x:v>3434</x:v>
      </x:c>
      <x:c r="B183" s="19" t="str">
        <x:v>8740</x:v>
      </x:c>
      <x:c r="C183" s="19" t="str">
        <x:v>Lawn Hill Formation</x:v>
      </x:c>
      <x:c r="D183" s="19" t="str">
        <x:v>B Component</x:v>
      </x:c>
      <x:c r="E183" s="19" t="str">
        <x:v>PRESENT</x:v>
      </x:c>
      <x:c r="F183" s="19" t="str">
        <x:v>IRM,SUSC-T</x:v>
      </x:c>
      <x:c r="G183" s="19" t="str">
        <x:v>PAPER_ROW_MATCH</x:v>
      </x:c>
      <x:c r="H183" s="19" t="str">
        <x:v>diagnostic</x:v>
      </x:c>
      <x:c r="I183" s="19" t="n">
        <x:v>5</x:v>
      </x:c>
      <x:c r="J183" s="19" t="str">
        <x:v>target_same_sentence</x:v>
      </x:c>
      <x:c r="K183" s="19" t="str">
        <x:v>Normally two or more specimens were demagnetised per sample.Both thermomagnetic analysis (Figure 3a) and RESULTS remanence intensity behaviour during thermal demag- Four formations were sampled in the McArthur Basin and netisation (Figure 3b) indicated the presence in the nine formations in the Lawn Hill Platform,yielding a total volcanics of a mineral with a Curie temperature of ≤580°C, 9002 yraurbeF 21 80:01 :tA ]ailartsuA nretseW fO ytisrevinU[ :yB dedaolnwoD</x:v>
      </x:c>
      <x:c r="L183" s="19" t="str">
        <x:v>/Users/lihd/discovery/paleomagnetic-r3-workflow/dist/paleomagnetic-r357-calibrated-workflow-full/data/parsed_mds/3434.txt</x:v>
      </x:c>
    </x:row>
    <x:row r="184" ht="52" customHeight="1">
      <x:c r="A184" s="19" t="str">
        <x:v>3434</x:v>
      </x:c>
      <x:c r="B184" s="19" t="str">
        <x:v>8740</x:v>
      </x:c>
      <x:c r="C184" s="19" t="str">
        <x:v>Lawn Hill Formation</x:v>
      </x:c>
      <x:c r="D184" s="19" t="str">
        <x:v>B Component</x:v>
      </x:c>
      <x:c r="E184" s="19" t="str">
        <x:v>PRESENT</x:v>
      </x:c>
      <x:c r="F184" s="19" t="str">
        <x:v>IRM,SUSC-T</x:v>
      </x:c>
      <x:c r="G184" s="19" t="str">
        <x:v>PAPER_ROW_MATCH</x:v>
      </x:c>
      <x:c r="H184" s="19" t="str">
        <x:v>method</x:v>
      </x:c>
      <x:c r="I184" s="19" t="n">
        <x:v>5</x:v>
      </x:c>
      <x:c r="J184" s="19" t="str">
        <x:v>target_same_sentence</x:v>
      </x:c>
      <x:c r="K184" s="19" t="str">
        <x:v>Most McArthur Basin (localities L1.1–L1.7,Figure 1).Dated at ca specimens were demagnetised thermally.Depending on the 1709Ma by SHRIMP U–Pb analysis of zircons (Kruse et al. unblocking temperature, 15 to 25 stepwise heatings were 1994), they represent the youngest flows extruded at dif- required.Specimens from sites that yielded large scatters ferent centres along a ~1000km northwesterly band across in remanence directions were first partly demagnetised by the Lawn Hill Platform and McArthur Basin during a AF before thermal treatments in an attempt to remove ran- 20 million year period of mainly felsic magmatism.</x:v>
      </x:c>
      <x:c r="L184" s="19" t="str">
        <x:v>/Users/lihd/discovery/paleomagnetic-r3-workflow/dist/paleomagnetic-r357-calibrated-workflow-full/data/parsed_mds/3434.txt</x:v>
      </x:c>
    </x:row>
    <x:row r="185" ht="52" customHeight="1">
      <x:c r="A185" s="19" t="str">
        <x:v>3434</x:v>
      </x:c>
      <x:c r="B185" s="19" t="str">
        <x:v>8740</x:v>
      </x:c>
      <x:c r="C185" s="19" t="str">
        <x:v>Lawn Hill Formation</x:v>
      </x:c>
      <x:c r="D185" s="19" t="str">
        <x:v>B Component</x:v>
      </x:c>
      <x:c r="E185" s="19" t="str">
        <x:v>PRESENT</x:v>
      </x:c>
      <x:c r="F185" s="19" t="str">
        <x:v>IRM,SUSC-T</x:v>
      </x:c>
      <x:c r="G185" s="19" t="str">
        <x:v>PAPER_ROW_MATCH</x:v>
      </x:c>
      <x:c r="H185" s="19" t="str">
        <x:v>method</x:v>
      </x:c>
      <x:c r="I185" s="19" t="n">
        <x:v>5</x:v>
      </x:c>
      <x:c r="J185" s="19" t="str">
        <x:v>target_context</x:v>
      </x:c>
      <x:c r="K185" s="19" t="str">
        <x:v>coercivity</x:v>
      </x:c>
      <x:c r="L185" s="19" t="str">
        <x:v>/Users/lihd/discovery/paleomagnetic-r3-workflow/dist/paleomagnetic-r357-calibrated-workflow-full/data/parsed_mds/3434.txt</x:v>
      </x:c>
    </x:row>
    <x:row r="186" ht="52" customHeight="1">
      <x:c r="A186" s="19" t="str">
        <x:v>3434</x:v>
      </x:c>
      <x:c r="B186" s="19" t="str">
        <x:v>8740</x:v>
      </x:c>
      <x:c r="C186" s="19" t="str">
        <x:v>Lawn Hill Formation</x:v>
      </x:c>
      <x:c r="D186" s="19" t="str">
        <x:v>B Component</x:v>
      </x:c>
      <x:c r="E186" s="19" t="str">
        <x:v>PRESENT</x:v>
      </x:c>
      <x:c r="F186" s="19" t="str">
        <x:v>IRM,SUSC-T</x:v>
      </x:c>
      <x:c r="G186" s="19" t="str">
        <x:v>PAPER_ROW_MATCH</x:v>
      </x:c>
      <x:c r="H186" s="19" t="str">
        <x:v>locator_component</x:v>
      </x:c>
      <x:c r="I186" s="19" t="n">
        <x:v>11</x:v>
      </x:c>
      <x:c r="J186" s="19" t="str">
        <x:v>result_locator</x:v>
      </x:c>
      <x:c r="K186" s="19" t="str">
        <x:v>ere subjected to the same laboratory treatments and analysis as the samples from Ptp5.Second,a geomagnetic reversal occurs between Ptp5 and Ptp6,again implying the absence of blanket magnetic overprinting.The polarities in Ptp5 are the same at the Wire and Walford Creeks sites and are oppo- site to those in the other members. Scarcity of unweathered outcrop, pervasive chemical alteration,and difficulty in the absence of field relation- ships of distinguishing the basalt flows from shallow dolerite intrusives posed problems in the sampling of Ptp1.The alteration is characterised by hematisation with variable degrees of destruction of magnetite. Thermal demagnetisation yielded three remanence components:B, C and D.Component B with steep west downward dipping Figure7 Balbirini Dolomite. Remanence directions from the directions and an unblocking temperature of ~685°C was lower (a) and upper </x:v>
      </x:c>
      <x:c r="L186" s="19" t="str">
        <x:v>/Users/lihd/discovery/paleomagnetic-r3-workflow/dist/paleomagnetic-r357-calibrated-workflow-full/data/parsed_mds/3434.txt</x:v>
      </x:c>
    </x:row>
    <x:row r="187" ht="52" customHeight="1">
      <x:c r="A187" s="19" t="str">
        <x:v>3434</x:v>
      </x:c>
      <x:c r="B187" s="19" t="str">
        <x:v>8740</x:v>
      </x:c>
      <x:c r="C187" s="19" t="str">
        <x:v>Lawn Hill Formation</x:v>
      </x:c>
      <x:c r="D187" s="19" t="str">
        <x:v>B Component</x:v>
      </x:c>
      <x:c r="E187" s="19" t="str">
        <x:v>PRESENT</x:v>
      </x:c>
      <x:c r="F187" s="19" t="str">
        <x:v>IRM,SUSC-T</x:v>
      </x:c>
      <x:c r="G187" s="19" t="str">
        <x:v>PAPER_ROW_MATCH</x:v>
      </x:c>
      <x:c r="H187" s="19" t="str">
        <x:v>locator_component</x:v>
      </x:c>
      <x:c r="I187" s="19" t="n">
        <x:v>11</x:v>
      </x:c>
      <x:c r="J187" s="19" t="str">
        <x:v>result_locator</x:v>
      </x:c>
      <x:c r="K187" s="19" t="str">
        <x:v>ame laboratory treatments and analysis as the samples from Ptp5.Second,a geomagnetic reversal occurs between Ptp5 and Ptp6,again implying the absence of blanket magnetic overprinting.The polarities in Ptp5 are the same at the Wire and Walford Creeks sites and are oppo- site to those in the other members. Scarcity of unweathered outcrop, pervasive chemical alteration,and difficulty in the absence of field relation- ships of distinguishing the basalt flows from shallow dolerite intrusives posed problems in the sampling of Ptp1.The alteration is characterised by hematisation with variable degrees of destruction of magnetite. Thermal demagnetisation yielded three remanence components:B, C and D.Component B with steep west downward dipping Figure7 Balbirini Dolomite. Remanence directions from the directions and an unblocking temperature of ~685°C was lower (a) and upper (b) dolomite.Symbols a</x:v>
      </x:c>
      <x:c r="L187" s="19" t="str">
        <x:v>/Users/lihd/discovery/paleomagnetic-r3-workflow/dist/paleomagnetic-r357-calibrated-workflow-full/data/parsed_mds/3434.txt</x:v>
      </x:c>
    </x:row>
    <x:row r="188" ht="52" customHeight="1">
      <x:c r="A188" s="19" t="str">
        <x:v>3434</x:v>
      </x:c>
      <x:c r="B188" s="19" t="str">
        <x:v>8740</x:v>
      </x:c>
      <x:c r="C188" s="19" t="str">
        <x:v>Lawn Hill Formation</x:v>
      </x:c>
      <x:c r="D188" s="19" t="str">
        <x:v>B Component</x:v>
      </x:c>
      <x:c r="E188" s="19" t="str">
        <x:v>PRESENT</x:v>
      </x:c>
      <x:c r="F188" s="19" t="str">
        <x:v>IRM,SUSC-T</x:v>
      </x:c>
      <x:c r="G188" s="19" t="str">
        <x:v>PAPER_ROW_MATCH</x:v>
      </x:c>
      <x:c r="H188" s="19" t="str">
        <x:v>locator_component</x:v>
      </x:c>
      <x:c r="I188" s="19" t="n">
        <x:v>12</x:v>
      </x:c>
      <x:c r="J188" s="19" t="str">
        <x:v>result_locator</x:v>
      </x:c>
      <x:c r="K188" s="19" t="str">
        <x:v>he red felsic members of the Peters Creek Volcanics.Tight clustering of remanence directions in the felsic samples in (b) contrasts the randomness of the directions in felsic clasts within a conglomerate that lies immediately on top of the Peters Creek Volcanics (c).The latter samples provide a positive conglomerate test.Stereoplot (d) shows the high-temperature B com- ponent in the Buddawadda Basalt and a northwest band of pseudo-directions in a dolerite that intrudes the Buddawadda Basalt.Plot (e) shows magnetite temperature range directions in the mafics,including components C and D discussed in the text.Plots (f) and (g) are examples oforthogonal projection plots for mafics that contain components B,C and D.Outliers x in the stereoplots were excluded from pole calculations.Symbols as in Figure 3. direction is encountered in the overlying Fish River The presence of component D in both</x:v>
      </x:c>
      <x:c r="L188" s="19" t="str">
        <x:v>/Users/lihd/discovery/paleomagnetic-r3-workflow/dist/paleomagnetic-r357-calibrated-workflow-full/data/parsed_mds/3434.txt</x:v>
      </x:c>
    </x:row>
    <x:row r="189" ht="52" customHeight="1">
      <x:c r="A189" s="19" t="str">
        <x:v>3434</x:v>
      </x:c>
      <x:c r="B189" s="19" t="str">
        <x:v>8740</x:v>
      </x:c>
      <x:c r="C189" s="19" t="str">
        <x:v>Lawn Hill Formation</x:v>
      </x:c>
      <x:c r="D189" s="19" t="str">
        <x:v>B Component</x:v>
      </x:c>
      <x:c r="E189" s="19" t="str">
        <x:v>PRESENT</x:v>
      </x:c>
      <x:c r="F189" s="19" t="str">
        <x:v>IRM,SUSC-T</x:v>
      </x:c>
      <x:c r="G189" s="19" t="str">
        <x:v>PAPER_ROW_MATCH</x:v>
      </x:c>
      <x:c r="H189" s="19" t="str">
        <x:v>locator_component</x:v>
      </x:c>
      <x:c r="I189" s="19" t="n">
        <x:v>13</x:v>
      </x:c>
      <x:c r="J189" s="19" t="str">
        <x:v>result_locator</x:v>
      </x:c>
      <x:c r="K189" s="19" t="str">
        <x:v>ed thermally. nents in the remanence is made difficult by the similarity The difference in the stratigraphic settings of the two of their unblocking temperatures and directions. sampling sites is reflected in their remanences.The Pff1 site contains component A (pole FSHO2 in Table 2) that MT LES SILTSTONE unblocks in the range 560–670°C and has a steep west- downward inclination (Figure 9a).Component A resembles The Mt Les Siltstone comprises siliciclastics and subordin- the overprint B in the Peters Creek Volcanics and is there- ate carbonates.Also present are tuffaceous beds containing fore likewise an overprint. zircons that have been dated by the U–Pb SHRIMP tech- The Pff2 site contains component B (pole FSHO3 in nique at 164067Ma (Page &amp; Sweet 1998). The formation Table 2) that unblocks at 640–660°C and is bipolar with a was sampled in the lower ~25m of a cliff where Wire Creek mode</x:v>
      </x:c>
      <x:c r="L189" s="19" t="str">
        <x:v>/Users/lihd/discovery/paleomagnetic-r3-workflow/dist/paleomagnetic-r357-calibrated-workflow-full/data/parsed_mds/3434.txt</x:v>
      </x:c>
    </x:row>
    <x:row r="190" ht="52" customHeight="1">
      <x:c r="A190" s="19" t="str">
        <x:v>3434</x:v>
      </x:c>
      <x:c r="B190" s="19" t="str">
        <x:v>8740</x:v>
      </x:c>
      <x:c r="C190" s="19" t="str">
        <x:v>Lawn Hill Formation</x:v>
      </x:c>
      <x:c r="D190" s="19" t="str">
        <x:v>B Component</x:v>
      </x:c>
      <x:c r="E190" s="19" t="str">
        <x:v>PRESENT</x:v>
      </x:c>
      <x:c r="F190" s="19" t="str">
        <x:v>IRM,SUSC-T</x:v>
      </x:c>
      <x:c r="G190" s="19" t="str">
        <x:v>PAPER_ROW_MATCH</x:v>
      </x:c>
      <x:c r="H190" s="19" t="str">
        <x:v>locator_component</x:v>
      </x:c>
      <x:c r="I190" s="19" t="n">
        <x:v>13</x:v>
      </x:c>
      <x:c r="J190" s="19" t="str">
        <x:v>result_locator</x:v>
      </x:c>
      <x:c r="K190" s="19" t="str">
        <x:v>e mean direction before tilt correction (declination 1.6°,inclination –37.7°) is similar to that of the Mesoproterozoic overprint OP4 found throughout the Lawn Hill Platform, as well as Pliocene directions related, for example,to chemical weathering.The latter possibility is unlikely because the component is present in seemingly unweathered green-grey samples.Consequently,the over- print is interpreted as OP4. Six samples from the base of the cliff contained evi- dence of a moderately steep,west-downward-directed com- ponent (Figure 10b),suggesting the presence of an OP3-like Figure9 Fish River Formation. Remanence directions for Figure10 Mt Les Siltstone.Stereoplot (a) shows bipolar reman- components A (a),B (b) and C (c).Filled circles in (d) indicate ence directions characteristic of the sampled section and ortho- directions interpreted as pseudo-directions,since they are inter- gonal</x:v>
      </x:c>
      <x:c r="L190" s="19" t="str">
        <x:v>/Users/lihd/discovery/paleomagnetic-r3-workflow/dist/paleomagnetic-r357-calibrated-workflow-full/data/parsed_mds/3434.txt</x:v>
      </x:c>
    </x:row>
    <x:row r="191" ht="52" customHeight="1">
      <x:c r="A191" s="19" t="str">
        <x:v>3434</x:v>
      </x:c>
      <x:c r="B191" s="19" t="str">
        <x:v>8740</x:v>
      </x:c>
      <x:c r="C191" s="19" t="str">
        <x:v>Lawn Hill Formation</x:v>
      </x:c>
      <x:c r="D191" s="19" t="str">
        <x:v>B Component</x:v>
      </x:c>
      <x:c r="E191" s="19" t="str">
        <x:v>PRESENT</x:v>
      </x:c>
      <x:c r="F191" s="19" t="str">
        <x:v>IRM,SUSC-T</x:v>
      </x:c>
      <x:c r="G191" s="19" t="str">
        <x:v>PAPER_ROW_MATCH</x:v>
      </x:c>
      <x:c r="H191" s="19" t="str">
        <x:v>locator_component</x:v>
      </x:c>
      <x:c r="I191" s="19" t="n">
        <x:v>14</x:v>
      </x:c>
      <x:c r="J191" s="19" t="str">
        <x:v>result_locator</x:v>
      </x:c>
      <x:c r="K191" s="19" t="str">
        <x:v>418 M. Idnurm overprint.As noted above,the latter was found also in the component B (Figure 11c, d). The red colour of the rock nearby Peters Creek Volcanics and Fish River Formation. and truncation of the Lochness Formation by an erosional unconformity that separates the McNamara Group from the older strata suggest that B may be a chem- Lawn Hill Platform: Centre and West ical,possibly weathering-related,overprint acquired dur- ing the depositional hiatus. Such an origin would be LOCHNESS FORMATION consistent with the interpretation,discussed below,that the The Lochness Formation, pre-dating the Calvert Buddawadda Basalt pre-dates the unconformity. Superbasin (Jackson et al.2000) is the oldest unit sampled Alternatively,B could be an earlier overprint or even the in the M</x:v>
      </x:c>
      <x:c r="L191" s="19" t="str">
        <x:v>/Users/lihd/discovery/paleomagnetic-r3-workflow/dist/paleomagnetic-r357-calibrated-workflow-full/data/parsed_mds/3434.txt</x:v>
      </x:c>
    </x:row>
    <x:row r="192" ht="52" customHeight="1">
      <x:c r="A192" s="19" t="str">
        <x:v>3434</x:v>
      </x:c>
      <x:c r="B192" s="19" t="str">
        <x:v>8740</x:v>
      </x:c>
      <x:c r="C192" s="19" t="str">
        <x:v>Lawn Hill Formation</x:v>
      </x:c>
      <x:c r="D192" s="19" t="str">
        <x:v>B Component</x:v>
      </x:c>
      <x:c r="E192" s="19" t="str">
        <x:v>PRESENT</x:v>
      </x:c>
      <x:c r="F192" s="19" t="str">
        <x:v>IRM,SUSC-T</x:v>
      </x:c>
      <x:c r="G192" s="19" t="str">
        <x:v>PAPER_ROW_MATCH</x:v>
      </x:c>
      <x:c r="H192" s="19" t="str">
        <x:v>locator_component</x:v>
      </x:c>
      <x:c r="I192" s="19" t="n">
        <x:v>14</x:v>
      </x:c>
      <x:c r="J192" s="19" t="str">
        <x:v>result_locator</x:v>
      </x:c>
      <x:c r="K192" s="19" t="str">
        <x:v>ally older Bottletree Formation (Page 1983) applied to the remanence directions. As discussed later, and 170963Ma from the younger Fiery Creek Volcanics component A post-dates the main stages of the Isan (Scott et al.1998).At its Seymour River sampling locality Orogeny;therefore tilt corrections have not been applied. the Lochness Formation comprises red siltstones and fine- On the other hand,component B being older than 1730Ma, grained sandstones.The beds dip 37°to the southeast. is likely to pre-date most of the deformation,and has there- Twenty samples were collected from the bed and side fore been tilt corrected. cliffs of the Seymour River. Thermal demagnetisation yielded two remanence components,A and B.Component FIERY CREEK VOLCANICS A unblocked at 650–6758C and its in situremanence had a moderate upward inclination to the north (Figure 11a,c). The bimodal Fiery Creek Volcanics we</x:v>
      </x:c>
      <x:c r="L192" s="19" t="str">
        <x:v>/Users/lihd/discovery/paleomagnetic-r3-workflow/dist/paleomagnetic-r357-calibrated-workflow-full/data/parsed_mds/3434.txt</x:v>
      </x:c>
    </x:row>
    <x:row r="193" ht="52" customHeight="1">
      <x:c r="A193" s="19" t="str">
        <x:v>3434</x:v>
      </x:c>
      <x:c r="B193" s="19" t="str">
        <x:v>8740</x:v>
      </x:c>
      <x:c r="C193" s="19" t="str">
        <x:v>Lawn Hill Formation</x:v>
      </x:c>
      <x:c r="D193" s="19" t="str">
        <x:v>B Component</x:v>
      </x:c>
      <x:c r="E193" s="19" t="str">
        <x:v>PRESENT</x:v>
      </x:c>
      <x:c r="F193" s="19" t="str">
        <x:v>IRM,SUSC-T</x:v>
      </x:c>
      <x:c r="G193" s="19" t="str">
        <x:v>PAPER_ROW_MATCH</x:v>
      </x:c>
      <x:c r="H193" s="19" t="str">
        <x:v>locator_component</x:v>
      </x:c>
      <x:c r="I193" s="19" t="n">
        <x:v>14</x:v>
      </x:c>
      <x:c r="J193" s="19" t="str">
        <x:v>result_locator</x:v>
      </x:c>
      <x:c r="K193" s="19" t="str">
        <x:v>greatly from the dip at the first locality (35° to 155°), providing a rough fold test.Except for a SHRIMP zircon date of 170963Ma for what appears to be a late felsic intrusive (Scott et al. 1998), the Fiery Creek Volcanics lack chronological constraints. A total of 74 red- and grey-brown samples was collected, 56 of these from the first locality.Thermal demagnetisation yielded two components,A and B,that unblocked generally between 680°C and 690°C and formed coherent directional groups.Component A was found only in the interbedded sediments,and its directions resemble closely those of com- ponent A of the Lochness Formation.As noted above,the Lochness component appears to be an overprint. Component B (Figure 12a,b) was found in both the silici- clastics and volcanics.Before tilt corrections its directions for the two localities differed widely (Figure 12a).Although tilt corrections did </x:v>
      </x:c>
      <x:c r="L193" s="19" t="str">
        <x:v>/Users/lihd/discovery/paleomagnetic-r3-workflow/dist/paleomagnetic-r357-calibrated-workflow-full/data/parsed_mds/3434.txt</x:v>
      </x:c>
    </x:row>
    <x:row r="194" ht="52" customHeight="1">
      <x:c r="A194" s="19" t="str">
        <x:v>3774</x:v>
      </x:c>
      <x:c r="B194" s="19" t="str">
        <x:v>9410</x:v>
      </x:c>
      <x:c r="C194" s="19" t="str">
        <x:v>Modipe Gabbro</x:v>
      </x:c>
      <x:c r="D194" s="19" t="str"/>
      <x:c r="E194" s="19" t="str">
        <x:v>PRESENT</x:v>
      </x:c>
      <x:c r="F194" s="19" t="str">
        <x:v>HYST,FORC(PSD/SD MAGN)</x:v>
      </x:c>
      <x:c r="G194" s="19" t="str">
        <x:v>PAPER_ROW_MATCH</x:v>
      </x:c>
      <x:c r="H194" s="19" t="str">
        <x:v>method</x:v>
      </x:c>
      <x:c r="I194" s="19" t="n">
        <x:v>3</x:v>
      </x:c>
      <x:c r="J194" s="19" t="str">
        <x:v>target_context</x:v>
      </x:c>
      <x:c r="K194" s="19" t="str">
        <x:v>hysteresis</x:v>
      </x:c>
      <x:c r="L194" s="19" t="str">
        <x:v>/Users/lihd/discovery/paleomagnetic-r3-workflow/dist/paleomagnetic-r357-calibrated-workflow-full/data/parsed_mds/3774.txt</x:v>
      </x:c>
    </x:row>
    <x:row r="195" ht="52" customHeight="1">
      <x:c r="A195" s="19" t="str">
        <x:v>3774</x:v>
      </x:c>
      <x:c r="B195" s="19" t="str">
        <x:v>9410</x:v>
      </x:c>
      <x:c r="C195" s="19" t="str">
        <x:v>Modipe Gabbro</x:v>
      </x:c>
      <x:c r="D195" s="19" t="str"/>
      <x:c r="E195" s="19" t="str">
        <x:v>PRESENT</x:v>
      </x:c>
      <x:c r="F195" s="19" t="str">
        <x:v>HYST,FORC(PSD/SD MAGN)</x:v>
      </x:c>
      <x:c r="G195" s="19" t="str">
        <x:v>PAPER_ROW_MATCH</x:v>
      </x:c>
      <x:c r="H195" s="19" t="str">
        <x:v>method</x:v>
      </x:c>
      <x:c r="I195" s="19" t="n">
        <x:v>8</x:v>
      </x:c>
      <x:c r="J195" s="19" t="str">
        <x:v>target_context</x:v>
      </x:c>
      <x:c r="K195" s="19" t="str">
        <x:v>Hysteresis</x:v>
      </x:c>
      <x:c r="L195" s="19" t="str">
        <x:v>/Users/lihd/discovery/paleomagnetic-r3-workflow/dist/paleomagnetic-r357-calibrated-workflow-full/data/parsed_mds/3774.txt</x:v>
      </x:c>
    </x:row>
    <x:row r="196" ht="52" customHeight="1">
      <x:c r="A196" s="19" t="str">
        <x:v>3774</x:v>
      </x:c>
      <x:c r="B196" s="19" t="str">
        <x:v>9410</x:v>
      </x:c>
      <x:c r="C196" s="19" t="str">
        <x:v>Modipe Gabbro</x:v>
      </x:c>
      <x:c r="D196" s="19" t="str"/>
      <x:c r="E196" s="19" t="str">
        <x:v>PRESENT</x:v>
      </x:c>
      <x:c r="F196" s="19" t="str">
        <x:v>HYST,FORC(PSD/SD MAGN)</x:v>
      </x:c>
      <x:c r="G196" s="19" t="str">
        <x:v>PAPER_ROW_MATCH</x:v>
      </x:c>
      <x:c r="H196" s="19" t="str">
        <x:v>method</x:v>
      </x:c>
      <x:c r="I196" s="19" t="n">
        <x:v>1</x:v>
      </x:c>
      <x:c r="J196" s="19" t="str">
        <x:v>same_target_page</x:v>
      </x:c>
      <x:c r="K196" s="19" t="str">
        <x:v>FORC</x:v>
      </x:c>
      <x:c r="L196" s="19" t="str">
        <x:v>/Users/lihd/discovery/paleomagnetic-r3-workflow/dist/paleomagnetic-r357-calibrated-workflow-full/data/parsed_mds/3774.txt</x:v>
      </x:c>
    </x:row>
    <x:row r="197" ht="52" customHeight="1">
      <x:c r="A197" s="19" t="str">
        <x:v>3774</x:v>
      </x:c>
      <x:c r="B197" s="19" t="str">
        <x:v>9410</x:v>
      </x:c>
      <x:c r="C197" s="19" t="str">
        <x:v>Modipe Gabbro</x:v>
      </x:c>
      <x:c r="D197" s="19" t="str"/>
      <x:c r="E197" s="19" t="str">
        <x:v>PRESENT</x:v>
      </x:c>
      <x:c r="F197" s="19" t="str">
        <x:v>HYST,FORC(PSD/SD MAGN)</x:v>
      </x:c>
      <x:c r="G197" s="19" t="str">
        <x:v>PAPER_ROW_MATCH</x:v>
      </x:c>
      <x:c r="H197" s="19" t="str">
        <x:v>carrier</x:v>
      </x:c>
      <x:c r="I197" s="19" t="n">
        <x:v>3</x:v>
      </x:c>
      <x:c r="J197" s="19" t="str">
        <x:v>target_same_sentence</x:v>
      </x:c>
      <x:c r="K197" s="19" t="str">
        <x:v>Indeed, and7 Cresults.Anexamplefrom eachcategoryis occasional large magnetite grains are present in the shown in Figure 6, and the results for all 25 speci- Modipe Gabbro [Evans et al., 1968].</x:v>
      </x:c>
      <x:c r="L197" s="19" t="str">
        <x:v>/Users/lihd/discovery/paleomagnetic-r3-workflow/dist/paleomagnetic-r357-calibrated-workflow-full/data/parsed_mds/3774.txt</x:v>
      </x:c>
    </x:row>
    <x:row r="198" ht="52" customHeight="1">
      <x:c r="A198" s="19" t="str">
        <x:v>3774</x:v>
      </x:c>
      <x:c r="B198" s="19" t="str">
        <x:v>9410</x:v>
      </x:c>
      <x:c r="C198" s="19" t="str">
        <x:v>Modipe Gabbro</x:v>
      </x:c>
      <x:c r="D198" s="19" t="str"/>
      <x:c r="E198" s="19" t="str">
        <x:v>PRESENT</x:v>
      </x:c>
      <x:c r="F198" s="19" t="str">
        <x:v>HYST,FORC(PSD/SD MAGN)</x:v>
      </x:c>
      <x:c r="G198" s="19" t="str">
        <x:v>PAPER_ROW_MATCH</x:v>
      </x:c>
      <x:c r="H198" s="19" t="str">
        <x:v>carrier</x:v>
      </x:c>
      <x:c r="I198" s="19" t="n">
        <x:v>4</x:v>
      </x:c>
      <x:c r="J198" s="19" t="str">
        <x:v>same_target_page</x:v>
      </x:c>
      <x:c r="K198" s="19" t="str">
        <x:v>magnetite</x:v>
      </x:c>
      <x:c r="L198" s="19" t="str">
        <x:v>/Users/lihd/discovery/paleomagnetic-r3-workflow/dist/paleomagnetic-r357-calibrated-workflow-full/data/parsed_mds/3774.txt</x:v>
      </x:c>
    </x:row>
    <x:row r="199" ht="52" customHeight="1">
      <x:c r="A199" s="19" t="str">
        <x:v>3774</x:v>
      </x:c>
      <x:c r="B199" s="19" t="str">
        <x:v>9410</x:v>
      </x:c>
      <x:c r="C199" s="19" t="str">
        <x:v>Modipe Gabbro</x:v>
      </x:c>
      <x:c r="D199" s="19" t="str"/>
      <x:c r="E199" s="19" t="str">
        <x:v>PRESENT</x:v>
      </x:c>
      <x:c r="F199" s="19" t="str">
        <x:v>HYST,FORC(PSD/SD MAGN)</x:v>
      </x:c>
      <x:c r="G199" s="19" t="str">
        <x:v>PAPER_ROW_MATCH</x:v>
      </x:c>
      <x:c r="H199" s="19" t="str">
        <x:v>carrier</x:v>
      </x:c>
      <x:c r="I199" s="19" t="n">
        <x:v>8</x:v>
      </x:c>
      <x:c r="J199" s="19" t="str">
        <x:v>same_target_page</x:v>
      </x:c>
      <x:c r="K199" s="19" t="str">
        <x:v>magnetite</x:v>
      </x:c>
      <x:c r="L199" s="19" t="str">
        <x:v>/Users/lihd/discovery/paleomagnetic-r3-workflow/dist/paleomagnetic-r357-calibrated-workflow-full/data/parsed_mds/3774.txt</x:v>
      </x:c>
    </x:row>
    <x:row r="200" ht="52" customHeight="1">
      <x:c r="A200" s="19" t="str">
        <x:v>3774</x:v>
      </x:c>
      <x:c r="B200" s="19" t="str">
        <x:v>9410</x:v>
      </x:c>
      <x:c r="C200" s="19" t="str">
        <x:v>Modipe Gabbro</x:v>
      </x:c>
      <x:c r="D200" s="19" t="str"/>
      <x:c r="E200" s="19" t="str">
        <x:v>PRESENT</x:v>
      </x:c>
      <x:c r="F200" s="19" t="str">
        <x:v>HYST,FORC(PSD/SD MAGN)</x:v>
      </x:c>
      <x:c r="G200" s="19" t="str">
        <x:v>PAPER_ROW_MATCH</x:v>
      </x:c>
      <x:c r="H200" s="19" t="str">
        <x:v>bridge</x:v>
      </x:c>
      <x:c r="I200" s="19" t="n">
        <x:v>8</x:v>
      </x:c>
      <x:c r="J200" s="19" t="str">
        <x:v>same_target_page</x:v>
      </x:c>
      <x:c r="K200" s="19" t="str">
        <x:v>TRM in single-domain (2007), Geomagnetic field strength 3.2 billion years ago magnetite</x:v>
      </x:c>
      <x:c r="L200" s="19" t="str">
        <x:v>/Users/lihd/discovery/paleomagnetic-r3-workflow/dist/paleomagnetic-r357-calibrated-workflow-full/data/parsed_mds/3774.txt</x:v>
      </x:c>
    </x:row>
    <x:row r="201" ht="52" customHeight="1">
      <x:c r="A201" s="19" t="str">
        <x:v>3774</x:v>
      </x:c>
      <x:c r="B201" s="19" t="str">
        <x:v>9410</x:v>
      </x:c>
      <x:c r="C201" s="19" t="str">
        <x:v>Modipe Gabbro</x:v>
      </x:c>
      <x:c r="D201" s="19" t="str"/>
      <x:c r="E201" s="19" t="str">
        <x:v>PRESENT</x:v>
      </x:c>
      <x:c r="F201" s="19" t="str">
        <x:v>HYST,FORC(PSD/SD MAGN)</x:v>
      </x:c>
      <x:c r="G201" s="19" t="str">
        <x:v>PAPER_ROW_MATCH</x:v>
      </x:c>
      <x:c r="H201" s="19" t="str">
        <x:v>locator_direction</x:v>
      </x:c>
      <x:c r="I201" s="19" t="n">
        <x:v>2</x:v>
      </x:c>
      <x:c r="J201" s="19" t="str">
        <x:v>result_locator</x:v>
      </x:c>
      <x:c r="K201" s="19" t="str">
        <x:v>ral plagioclase and 3.1. Directional andRock-Magnetic anhedral pyroxene. They also demonstrated that Experiments the dominant carrier of stable magnetic remanence is magnetite in the form of tiny pyroxene-hosted [ 4 ] Five standard paleomagnetic specimens were inclusions. These conclusions were confirmed by progressively demagnetized (two AF, three TH) to modern analysis on the samples collected by Evans check the stability of the Natural Remanent Mag- and McElhinny [1966] involving FORC measure- netization (NRM). Figure 2 shows an AF example. ments and micromagnetic simulations [Muxworthy Theotherfourgavesimilardirections,andtheover- andEvans,2013].Forthepresentinvestigation,cy- allmeanisD¼192(cid:4),I¼70(cid:4),(cid:3) 95 ¼5(cid:4) andk¼217. lindrical specimens of two different sizes were [ ] Figure 3 shows hysteresis ratios on a ‘‘Day’’ 5 used: standard paleomagnetic specimens (25.4 m</x:v>
      </x:c>
      <x:c r="L201" s="19" t="str">
        <x:v>/Users/lihd/discovery/paleomagnetic-r3-workflow/dist/paleomagnetic-r357-calibrated-workflow-full/data/parsed_mds/3774.txt</x:v>
      </x:c>
    </x:row>
    <x:row r="202" ht="52" customHeight="1">
      <x:c r="A202" s="19" t="str">
        <x:v>3774</x:v>
      </x:c>
      <x:c r="B202" s="19" t="str">
        <x:v>9411</x:v>
      </x:c>
      <x:c r="C202" s="19" t="str">
        <x:v>Modipe Gabbro</x:v>
      </x:c>
      <x:c r="D202" s="19" t="str">
        <x:v>Combined result</x:v>
      </x:c>
      <x:c r="E202" s="19" t="str">
        <x:v>PRESENT</x:v>
      </x:c>
      <x:c r="F202" s="19" t="str">
        <x:v>HYST,FORC(PSD/SD MAGN)</x:v>
      </x:c>
      <x:c r="G202" s="19" t="str">
        <x:v>METADATA_UNIQUE</x:v>
      </x:c>
      <x:c r="H202" s="19" t="str">
        <x:v>method</x:v>
      </x:c>
      <x:c r="I202" s="19" t="n">
        <x:v>3</x:v>
      </x:c>
      <x:c r="J202" s="19" t="str">
        <x:v>target_context</x:v>
      </x:c>
      <x:c r="K202" s="19" t="str">
        <x:v>hysteresis</x:v>
      </x:c>
      <x:c r="L202" s="19" t="str">
        <x:v>/Users/lihd/discovery/paleomagnetic-r3-workflow/dist/paleomagnetic-r357-calibrated-workflow-full/data/parsed_mds/3774.txt</x:v>
      </x:c>
    </x:row>
    <x:row r="203" ht="52" customHeight="1">
      <x:c r="A203" s="19" t="str">
        <x:v>3774</x:v>
      </x:c>
      <x:c r="B203" s="19" t="str">
        <x:v>9411</x:v>
      </x:c>
      <x:c r="C203" s="19" t="str">
        <x:v>Modipe Gabbro</x:v>
      </x:c>
      <x:c r="D203" s="19" t="str">
        <x:v>Combined result</x:v>
      </x:c>
      <x:c r="E203" s="19" t="str">
        <x:v>PRESENT</x:v>
      </x:c>
      <x:c r="F203" s="19" t="str">
        <x:v>HYST,FORC(PSD/SD MAGN)</x:v>
      </x:c>
      <x:c r="G203" s="19" t="str">
        <x:v>METADATA_UNIQUE</x:v>
      </x:c>
      <x:c r="H203" s="19" t="str">
        <x:v>method</x:v>
      </x:c>
      <x:c r="I203" s="19" t="n">
        <x:v>8</x:v>
      </x:c>
      <x:c r="J203" s="19" t="str">
        <x:v>target_context</x:v>
      </x:c>
      <x:c r="K203" s="19" t="str">
        <x:v>Hysteresis</x:v>
      </x:c>
      <x:c r="L203" s="19" t="str">
        <x:v>/Users/lihd/discovery/paleomagnetic-r3-workflow/dist/paleomagnetic-r357-calibrated-workflow-full/data/parsed_mds/3774.txt</x:v>
      </x:c>
    </x:row>
    <x:row r="204" ht="52" customHeight="1">
      <x:c r="A204" s="19" t="str">
        <x:v>3774</x:v>
      </x:c>
      <x:c r="B204" s="19" t="str">
        <x:v>9411</x:v>
      </x:c>
      <x:c r="C204" s="19" t="str">
        <x:v>Modipe Gabbro</x:v>
      </x:c>
      <x:c r="D204" s="19" t="str">
        <x:v>Combined result</x:v>
      </x:c>
      <x:c r="E204" s="19" t="str">
        <x:v>PRESENT</x:v>
      </x:c>
      <x:c r="F204" s="19" t="str">
        <x:v>HYST,FORC(PSD/SD MAGN)</x:v>
      </x:c>
      <x:c r="G204" s="19" t="str">
        <x:v>METADATA_UNIQUE</x:v>
      </x:c>
      <x:c r="H204" s="19" t="str">
        <x:v>method</x:v>
      </x:c>
      <x:c r="I204" s="19" t="n">
        <x:v>1</x:v>
      </x:c>
      <x:c r="J204" s="19" t="str">
        <x:v>same_target_page</x:v>
      </x:c>
      <x:c r="K204" s="19" t="str">
        <x:v>FORC</x:v>
      </x:c>
      <x:c r="L204" s="19" t="str">
        <x:v>/Users/lihd/discovery/paleomagnetic-r3-workflow/dist/paleomagnetic-r357-calibrated-workflow-full/data/parsed_mds/3774.txt</x:v>
      </x:c>
    </x:row>
    <x:row r="205" ht="52" customHeight="1">
      <x:c r="A205" s="19" t="str">
        <x:v>3774</x:v>
      </x:c>
      <x:c r="B205" s="19" t="str">
        <x:v>9411</x:v>
      </x:c>
      <x:c r="C205" s="19" t="str">
        <x:v>Modipe Gabbro</x:v>
      </x:c>
      <x:c r="D205" s="19" t="str">
        <x:v>Combined result</x:v>
      </x:c>
      <x:c r="E205" s="19" t="str">
        <x:v>PRESENT</x:v>
      </x:c>
      <x:c r="F205" s="19" t="str">
        <x:v>HYST,FORC(PSD/SD MAGN)</x:v>
      </x:c>
      <x:c r="G205" s="19" t="str">
        <x:v>METADATA_UNIQUE</x:v>
      </x:c>
      <x:c r="H205" s="19" t="str">
        <x:v>carrier</x:v>
      </x:c>
      <x:c r="I205" s="19" t="n">
        <x:v>3</x:v>
      </x:c>
      <x:c r="J205" s="19" t="str">
        <x:v>target_same_sentence</x:v>
      </x:c>
      <x:c r="K205" s="19" t="str">
        <x:v>Indeed, and7 Cresults.Anexamplefrom eachcategoryis occasional large magnetite grains are present in the shown in Figure 6, and the results for all 25 speci- Modipe Gabbro [Evans et al., 1968].</x:v>
      </x:c>
      <x:c r="L205" s="19" t="str">
        <x:v>/Users/lihd/discovery/paleomagnetic-r3-workflow/dist/paleomagnetic-r357-calibrated-workflow-full/data/parsed_mds/3774.txt</x:v>
      </x:c>
    </x:row>
    <x:row r="206" ht="52" customHeight="1">
      <x:c r="A206" s="19" t="str">
        <x:v>3774</x:v>
      </x:c>
      <x:c r="B206" s="19" t="str">
        <x:v>9411</x:v>
      </x:c>
      <x:c r="C206" s="19" t="str">
        <x:v>Modipe Gabbro</x:v>
      </x:c>
      <x:c r="D206" s="19" t="str">
        <x:v>Combined result</x:v>
      </x:c>
      <x:c r="E206" s="19" t="str">
        <x:v>PRESENT</x:v>
      </x:c>
      <x:c r="F206" s="19" t="str">
        <x:v>HYST,FORC(PSD/SD MAGN)</x:v>
      </x:c>
      <x:c r="G206" s="19" t="str">
        <x:v>METADATA_UNIQUE</x:v>
      </x:c>
      <x:c r="H206" s="19" t="str">
        <x:v>carrier</x:v>
      </x:c>
      <x:c r="I206" s="19" t="n">
        <x:v>4</x:v>
      </x:c>
      <x:c r="J206" s="19" t="str">
        <x:v>same_target_page</x:v>
      </x:c>
      <x:c r="K206" s="19" t="str">
        <x:v>magnetite</x:v>
      </x:c>
      <x:c r="L206" s="19" t="str">
        <x:v>/Users/lihd/discovery/paleomagnetic-r3-workflow/dist/paleomagnetic-r357-calibrated-workflow-full/data/parsed_mds/3774.txt</x:v>
      </x:c>
    </x:row>
    <x:row r="207" ht="52" customHeight="1">
      <x:c r="A207" s="19" t="str">
        <x:v>3774</x:v>
      </x:c>
      <x:c r="B207" s="19" t="str">
        <x:v>9411</x:v>
      </x:c>
      <x:c r="C207" s="19" t="str">
        <x:v>Modipe Gabbro</x:v>
      </x:c>
      <x:c r="D207" s="19" t="str">
        <x:v>Combined result</x:v>
      </x:c>
      <x:c r="E207" s="19" t="str">
        <x:v>PRESENT</x:v>
      </x:c>
      <x:c r="F207" s="19" t="str">
        <x:v>HYST,FORC(PSD/SD MAGN)</x:v>
      </x:c>
      <x:c r="G207" s="19" t="str">
        <x:v>METADATA_UNIQUE</x:v>
      </x:c>
      <x:c r="H207" s="19" t="str">
        <x:v>carrier</x:v>
      </x:c>
      <x:c r="I207" s="19" t="n">
        <x:v>8</x:v>
      </x:c>
      <x:c r="J207" s="19" t="str">
        <x:v>same_target_page</x:v>
      </x:c>
      <x:c r="K207" s="19" t="str">
        <x:v>magnetite</x:v>
      </x:c>
      <x:c r="L207" s="19" t="str">
        <x:v>/Users/lihd/discovery/paleomagnetic-r3-workflow/dist/paleomagnetic-r357-calibrated-workflow-full/data/parsed_mds/3774.txt</x:v>
      </x:c>
    </x:row>
    <x:row r="208" ht="52" customHeight="1">
      <x:c r="A208" s="19" t="str">
        <x:v>3774</x:v>
      </x:c>
      <x:c r="B208" s="19" t="str">
        <x:v>9411</x:v>
      </x:c>
      <x:c r="C208" s="19" t="str">
        <x:v>Modipe Gabbro</x:v>
      </x:c>
      <x:c r="D208" s="19" t="str">
        <x:v>Combined result</x:v>
      </x:c>
      <x:c r="E208" s="19" t="str">
        <x:v>PRESENT</x:v>
      </x:c>
      <x:c r="F208" s="19" t="str">
        <x:v>HYST,FORC(PSD/SD MAGN)</x:v>
      </x:c>
      <x:c r="G208" s="19" t="str">
        <x:v>METADATA_UNIQUE</x:v>
      </x:c>
      <x:c r="H208" s="19" t="str">
        <x:v>bridge</x:v>
      </x:c>
      <x:c r="I208" s="19" t="n">
        <x:v>8</x:v>
      </x:c>
      <x:c r="J208" s="19" t="str">
        <x:v>same_target_page</x:v>
      </x:c>
      <x:c r="K208" s="19" t="str">
        <x:v>TRM in single-domain (2007), Geomagnetic field strength 3.2 billion years ago magnetite</x:v>
      </x:c>
      <x:c r="L208" s="19" t="str">
        <x:v>/Users/lihd/discovery/paleomagnetic-r3-workflow/dist/paleomagnetic-r357-calibrated-workflow-full/data/parsed_mds/3774.txt</x:v>
      </x:c>
    </x:row>
    <x:row r="209" ht="52" customHeight="1">
      <x:c r="A209" s="19" t="str">
        <x:v>4168</x:v>
      </x:c>
      <x:c r="B209" s="19" t="str">
        <x:v>10005</x:v>
      </x:c>
      <x:c r="C209" s="19" t="str">
        <x:v>Kopparnäs Dykes</x:v>
      </x:c>
      <x:c r="D209" s="19" t="str"/>
      <x:c r="E209" s="19" t="str">
        <x:v>PRESENT</x:v>
      </x:c>
      <x:c r="F209" s="19" t="str">
        <x:v>IRM,SUSC-T,HYST,SEM,OP(TM,PYRR,ILM,MAGN)</x:v>
      </x:c>
      <x:c r="G209" s="19" t="str">
        <x:v>PAPER_ROW_MATCH</x:v>
      </x:c>
      <x:c r="H209" s="19" t="str">
        <x:v>method</x:v>
      </x:c>
      <x:c r="I209" s="19" t="n">
        <x:v>6</x:v>
      </x:c>
      <x:c r="J209" s="19" t="str">
        <x:v>target_same_sentence</x:v>
      </x:c>
      <x:c r="K209" s="19" t="str">
        <x:v>Salminen et al. P r e c a m b r i a n R e s e a r c h 365(2021)106406 (IRM) (Lowrie, 1990) and acquisition of IRM curves were carried out presence of titanomagnetite with variable Ti-content as exemplified with a Molspin pulse magnetizer (GTK) for Kopparna¨s samples.</x:v>
      </x:c>
      <x:c r="L209" s="19" t="str">
        <x:v>/Users/lihd/discovery/paleomagnetic-r3-workflow/dist/paleomagnetic-r357-calibrated-workflow-full/data/parsed_mds/4168.txt</x:v>
      </x:c>
    </x:row>
    <x:row r="210" ht="52" customHeight="1">
      <x:c r="A210" s="19" t="str">
        <x:v>4168</x:v>
      </x:c>
      <x:c r="B210" s="19" t="str">
        <x:v>10005</x:v>
      </x:c>
      <x:c r="C210" s="19" t="str">
        <x:v>Kopparnäs Dykes</x:v>
      </x:c>
      <x:c r="D210" s="19" t="str"/>
      <x:c r="E210" s="19" t="str">
        <x:v>PRESENT</x:v>
      </x:c>
      <x:c r="F210" s="19" t="str">
        <x:v>IRM,SUSC-T,HYST,SEM,OP(TM,PYRR,ILM,MAGN)</x:v>
      </x:c>
      <x:c r="G210" s="19" t="str">
        <x:v>PAPER_ROW_MATCH</x:v>
      </x:c>
      <x:c r="H210" s="19" t="str">
        <x:v>method</x:v>
      </x:c>
      <x:c r="I210" s="19" t="n">
        <x:v>6</x:v>
      </x:c>
      <x:c r="J210" s="19" t="str">
        <x:v>target_same_sentence</x:v>
      </x:c>
      <x:c r="K210" s="19" t="str">
        <x:v>SEM studies of the dykes SQUID magnetometer (UH, LTU) and for the Kopparna¨s dykes with a RF show the presence of titanomagnetite, ilmenite, pyrite and occasionally SQUID magnetometer (GTK) to isolate a characteristic remanent pyrrhotite (Fig. 3).</x:v>
      </x:c>
      <x:c r="L210" s="19" t="str">
        <x:v>/Users/lihd/discovery/paleomagnetic-r3-workflow/dist/paleomagnetic-r357-calibrated-workflow-full/data/parsed_mds/4168.txt</x:v>
      </x:c>
    </x:row>
    <x:row r="211" ht="52" customHeight="1">
      <x:c r="A211" s="19" t="str">
        <x:v>4168</x:v>
      </x:c>
      <x:c r="B211" s="19" t="str">
        <x:v>10005</x:v>
      </x:c>
      <x:c r="C211" s="19" t="str">
        <x:v>Kopparnäs Dykes</x:v>
      </x:c>
      <x:c r="D211" s="19" t="str"/>
      <x:c r="E211" s="19" t="str">
        <x:v>PRESENT</x:v>
      </x:c>
      <x:c r="F211" s="19" t="str">
        <x:v>IRM,SUSC-T,HYST,SEM,OP(TM,PYRR,ILM,MAGN)</x:v>
      </x:c>
      <x:c r="G211" s="19" t="str">
        <x:v>PAPER_ROW_MATCH</x:v>
      </x:c>
      <x:c r="H211" s="19" t="str">
        <x:v>method</x:v>
      </x:c>
      <x:c r="I211" s="19" t="n">
        <x:v>7</x:v>
      </x:c>
      <x:c r="J211" s="19" t="str">
        <x:v>target_same_sentence</x:v>
      </x:c>
      <x:c r="K211" s="19" t="str">
        <x:v>Kopparna¨s petrophysics, rock magnetism and SEM (a) Remanence – magnetic susceptibility plot (logarithmic scales) of the site mean values of the dykes.</x:v>
      </x:c>
      <x:c r="L211" s="19" t="str">
        <x:v>/Users/lihd/discovery/paleomagnetic-r3-workflow/dist/paleomagnetic-r357-calibrated-workflow-full/data/parsed_mds/4168.txt</x:v>
      </x:c>
    </x:row>
    <x:row r="212" ht="52" customHeight="1">
      <x:c r="A212" s="19" t="str">
        <x:v>4168</x:v>
      </x:c>
      <x:c r="B212" s="19" t="str">
        <x:v>10005</x:v>
      </x:c>
      <x:c r="C212" s="19" t="str">
        <x:v>Kopparnäs Dykes</x:v>
      </x:c>
      <x:c r="D212" s="19" t="str"/>
      <x:c r="E212" s="19" t="str">
        <x:v>PRESENT</x:v>
      </x:c>
      <x:c r="F212" s="19" t="str">
        <x:v>IRM,SUSC-T,HYST,SEM,OP(TM,PYRR,ILM,MAGN)</x:v>
      </x:c>
      <x:c r="G212" s="19" t="str">
        <x:v>PAPER_ROW_MATCH</x:v>
      </x:c>
      <x:c r="H212" s="19" t="str">
        <x:v>method</x:v>
      </x:c>
      <x:c r="I212" s="19" t="n">
        <x:v>6</x:v>
      </x:c>
      <x:c r="J212" s="19" t="str">
        <x:v>near_target</x:v>
      </x:c>
      <x:c r="K212" s="19" t="str">
        <x:v>thin section</x:v>
      </x:c>
      <x:c r="L212" s="19" t="str">
        <x:v>/Users/lihd/discovery/paleomagnetic-r3-workflow/dist/paleomagnetic-r357-calibrated-workflow-full/data/parsed_mds/4168.txt</x:v>
      </x:c>
    </x:row>
    <x:row r="213" ht="52" customHeight="1">
      <x:c r="A213" s="19" t="str">
        <x:v>4168</x:v>
      </x:c>
      <x:c r="B213" s="19" t="str">
        <x:v>10005</x:v>
      </x:c>
      <x:c r="C213" s="19" t="str">
        <x:v>Kopparnäs Dykes</x:v>
      </x:c>
      <x:c r="D213" s="19" t="str"/>
      <x:c r="E213" s="19" t="str">
        <x:v>PRESENT</x:v>
      </x:c>
      <x:c r="F213" s="19" t="str">
        <x:v>IRM,SUSC-T,HYST,SEM,OP(TM,PYRR,ILM,MAGN)</x:v>
      </x:c>
      <x:c r="G213" s="19" t="str">
        <x:v>PAPER_ROW_MATCH</x:v>
      </x:c>
      <x:c r="H213" s="19" t="str">
        <x:v>method</x:v>
      </x:c>
      <x:c r="I213" s="19" t="n">
        <x:v>5</x:v>
      </x:c>
      <x:c r="J213" s="19" t="str">
        <x:v>target_context</x:v>
      </x:c>
      <x:c r="K213" s="19" t="str">
        <x:v>Temperature dependence of low-field magnetic susceptibility</x:v>
      </x:c>
      <x:c r="L213" s="19" t="str">
        <x:v>/Users/lihd/discovery/paleomagnetic-r3-workflow/dist/paleomagnetic-r357-calibrated-workflow-full/data/parsed_mds/4168.txt</x:v>
      </x:c>
    </x:row>
    <x:row r="214" ht="52" customHeight="1">
      <x:c r="A214" s="19" t="str">
        <x:v>4168</x:v>
      </x:c>
      <x:c r="B214" s="19" t="str">
        <x:v>10005</x:v>
      </x:c>
      <x:c r="C214" s="19" t="str">
        <x:v>Kopparnäs Dykes</x:v>
      </x:c>
      <x:c r="D214" s="19" t="str"/>
      <x:c r="E214" s="19" t="str">
        <x:v>PRESENT</x:v>
      </x:c>
      <x:c r="F214" s="19" t="str">
        <x:v>IRM,SUSC-T,HYST,SEM,OP(TM,PYRR,ILM,MAGN)</x:v>
      </x:c>
      <x:c r="G214" s="19" t="str">
        <x:v>PAPER_ROW_MATCH</x:v>
      </x:c>
      <x:c r="H214" s="19" t="str">
        <x:v>method</x:v>
      </x:c>
      <x:c r="I214" s="19" t="n">
        <x:v>6</x:v>
      </x:c>
      <x:c r="J214" s="19" t="str">
        <x:v>target_context</x:v>
      </x:c>
      <x:c r="K214" s="19" t="str">
        <x:v>hysteresis</x:v>
      </x:c>
      <x:c r="L214" s="19" t="str">
        <x:v>/Users/lihd/discovery/paleomagnetic-r3-workflow/dist/paleomagnetic-r357-calibrated-workflow-full/data/parsed_mds/4168.txt</x:v>
      </x:c>
    </x:row>
    <x:row r="215" ht="52" customHeight="1">
      <x:c r="A215" s="19" t="str">
        <x:v>4168</x:v>
      </x:c>
      <x:c r="B215" s="19" t="str">
        <x:v>10005</x:v>
      </x:c>
      <x:c r="C215" s="19" t="str">
        <x:v>Kopparnäs Dykes</x:v>
      </x:c>
      <x:c r="D215" s="19" t="str"/>
      <x:c r="E215" s="19" t="str">
        <x:v>PRESENT</x:v>
      </x:c>
      <x:c r="F215" s="19" t="str">
        <x:v>IRM,SUSC-T,HYST,SEM,OP(TM,PYRR,ILM,MAGN)</x:v>
      </x:c>
      <x:c r="G215" s="19" t="str">
        <x:v>PAPER_ROW_MATCH</x:v>
      </x:c>
      <x:c r="H215" s="19" t="str">
        <x:v>carrier</x:v>
      </x:c>
      <x:c r="I215" s="19" t="n">
        <x:v>6</x:v>
      </x:c>
      <x:c r="J215" s="19" t="str">
        <x:v>target_same_sentence</x:v>
      </x:c>
      <x:c r="K215" s="19" t="str">
        <x:v>Salminen et al. P r e c a m b r i a n R e s e a r c h 365(2021)106406 (IRM) (Lowrie, 1990) and acquisition of IRM curves were carried out presence of titanomagnetite with variable Ti-content as exemplified with a Molspin pulse magnetizer (GTK) for Kopparna¨s samples.</x:v>
      </x:c>
      <x:c r="L215" s="19" t="str">
        <x:v>/Users/lihd/discovery/paleomagnetic-r3-workflow/dist/paleomagnetic-r357-calibrated-workflow-full/data/parsed_mds/4168.txt</x:v>
      </x:c>
    </x:row>
    <x:row r="216" ht="52" customHeight="1">
      <x:c r="A216" s="19" t="str">
        <x:v>4168</x:v>
      </x:c>
      <x:c r="B216" s="19" t="str">
        <x:v>10005</x:v>
      </x:c>
      <x:c r="C216" s="19" t="str">
        <x:v>Kopparnäs Dykes</x:v>
      </x:c>
      <x:c r="D216" s="19" t="str"/>
      <x:c r="E216" s="19" t="str">
        <x:v>PRESENT</x:v>
      </x:c>
      <x:c r="F216" s="19" t="str">
        <x:v>IRM,SUSC-T,HYST,SEM,OP(TM,PYRR,ILM,MAGN)</x:v>
      </x:c>
      <x:c r="G216" s="19" t="str">
        <x:v>PAPER_ROW_MATCH</x:v>
      </x:c>
      <x:c r="H216" s="19" t="str">
        <x:v>locator_pole</x:v>
      </x:c>
      <x:c r="I216" s="19" t="n">
        <x:v>7</x:v>
      </x:c>
      <x:c r="J216" s="19" t="str">
        <x:v>result_locator</x:v>
      </x:c>
      <x:c r="K216" s="19" t="str">
        <x:v>J. Salminen et al. P r e c a m b r i a n R e s e a r c h 365(2021)106406 Fig. 3. Kopparna¨s petrophysics, rock magnetism and SEM (a) Remanence – magnetic susceptibility plot (logarithmic scales) of the site mean values of the dykes. Koenigsberger’s Q ratios (calculated with magnetic field value of 41 A/m) are shown as straight lines. (b) Isothermal Remanent Magnetization acquisition curves. (c- e) 3-axis Lowrie tests (Lowrie, 1990). (f-h) Thermomagnetic curves. (i) Scanning electron microscope (SEM) images of the samples KK1 and KI5. Abbrevations: ilm = ilmenite, Ti-mgt =titanomagnetite, po =pyrrhotite. I: 1.2◦(α 95: 7◦, k: 27) yielding a paleomagnetic pole at Plat: 27◦N, Plong: Sipoo diabase and quartz porphyry dykes (Mertanen and Pesonen, 1995) 173◦E (A95: 5◦, K: 47, with N: 98, B: 17) (Figs. 5 and 11, Table 1). Ac- and a 1639 Ma pole from the Suomenniemi dyke swarm (Salminen et al., c</x:v>
      </x:c>
      <x:c r="L216" s="19" t="str">
        <x:v>/Users/lihd/discovery/paleomagnetic-r3-workflow/dist/paleomagnetic-r357-calibrated-workflow-full/data/parsed_mds/4168.txt</x:v>
      </x:c>
    </x:row>
    <x:row r="217" ht="52" customHeight="1">
      <x:c r="A217" s="19" t="str">
        <x:v>4168</x:v>
      </x:c>
      <x:c r="B217" s="19" t="str">
        <x:v>10005</x:v>
      </x:c>
      <x:c r="C217" s="19" t="str">
        <x:v>Kopparnäs Dykes</x:v>
      </x:c>
      <x:c r="D217" s="19" t="str"/>
      <x:c r="E217" s="19" t="str">
        <x:v>PRESENT</x:v>
      </x:c>
      <x:c r="F217" s="19" t="str">
        <x:v>IRM,SUSC-T,HYST,SEM,OP(TM,PYRR,ILM,MAGN)</x:v>
      </x:c>
      <x:c r="G217" s="19" t="str">
        <x:v>PAPER_ROW_MATCH</x:v>
      </x:c>
      <x:c r="H217" s="19" t="str">
        <x:v>locator_pole</x:v>
      </x:c>
      <x:c r="I217" s="19" t="n">
        <x:v>8</x:v>
      </x:c>
      <x:c r="J217" s="19" t="str">
        <x:v>result_locator</x:v>
      </x:c>
      <x:c r="K217" s="19" t="str">
        <x:v>12 N *8/16 33.3 24.2 13.7 17.3 37.6 162.0 10.0 KR diabase dyke 60.043 24.248 85 0.15–0.7 N *12/19 36.0 6.4 12.2 13.6 27.1 162.9 9.6 KS diabase dyke 60.044 24.264 90 1 N *5/7 28.8 6.9 24.5 10.7 29.6 170.8 18.6 KT diabase dyke 60.044 24.271 80 1 N *8/17 20.1 (cid:0) 0.7 15.2 14.3 27.5 181.6 8.8 Mean diabase, N polarity N *14/85/151 30.1 5.1 6.0 45.3 28.1 169.7 4.7 73.1 KA 60.040 24.280 70 1 R *5/7 189.1 11.5 15.2 26.2 23.5 194.5 9.8 KB 60.040 24.280 70 0.7 R *4/4 192.1 11.2 35.2 7.8 23.7 191.3 23.6 KN 60.044 24.243 95–110 0.05 R *6/11 200.4 27.4 6.9 96.7 13.7 184.1 6.9 Mean diabase, R polarity R *3/13/22 193.7 16.7 16.5 56.7 20.5 189.7 11.8 110.8 Combined mean diabase, N +R polaritya C *17/98/173 27.3 1.2 7.0 27.0 26.9 173.3 5.0 46.9 Baked host rocks Distance from the dyke (m) KD baked granite 0.05–0.2 N *4/7 336.9 (cid:0) 35.1 11.2 68.6 8.3 226.4 11.6 KE baked gneiss 0.01 N *1/1 342.8 (ci</x:v>
      </x:c>
      <x:c r="L217" s="19" t="str">
        <x:v>/Users/lihd/discovery/paleomagnetic-r3-workflow/dist/paleomagnetic-r357-calibrated-workflow-full/data/parsed_mds/4168.txt</x:v>
      </x:c>
    </x:row>
    <x:row r="218" ht="52" customHeight="1">
      <x:c r="A218" s="19" t="str">
        <x:v>4168</x:v>
      </x:c>
      <x:c r="B218" s="19" t="str">
        <x:v>10005</x:v>
      </x:c>
      <x:c r="C218" s="19" t="str">
        <x:v>Kopparnäs Dykes</x:v>
      </x:c>
      <x:c r="D218" s="19" t="str"/>
      <x:c r="E218" s="19" t="str">
        <x:v>PRESENT</x:v>
      </x:c>
      <x:c r="F218" s="19" t="str">
        <x:v>IRM,SUSC-T,HYST,SEM,OP(TM,PYRR,ILM,MAGN)</x:v>
      </x:c>
      <x:c r="G218" s="19" t="str">
        <x:v>PAPER_ROW_MATCH</x:v>
      </x:c>
      <x:c r="H218" s="19" t="str">
        <x:v>locator_direction</x:v>
      </x:c>
      <x:c r="I218" s="19" t="n">
        <x:v>20</x:v>
      </x:c>
      <x:c r="J218" s="19" t="str">
        <x:v>result_locator</x:v>
      </x:c>
      <x:c r="K218" s="19" t="str">
        <x:v>20 PrecambrianResearch365(2021)106406 Table 6 Selected paleomagnetic data for Baltica. Code Rockname Slat (◦N) Slon (◦E) Age (Ma) Met Age references NominalAge Pol B N D (◦) I (◦) α 95 (◦) k Plat (◦N) Plon (◦E) A95 (◦) Q/R1234567 SUM Key Pole references/ (Ma) Notes B1 Turinge gabbro-diabase 63 15 1703 ±6, c, g Elming et al. (2019) 1700 N 6 56 343 44 5 199 52 220 4.8 Q1 1 1 1 1 0 1 6 ** Elming et al. 1687 ±13, (2019) 1622 ±5, R1 0 0 1 1 0 1 4 1700 ±4 B2 H¨ame dyke +Satakunta 61 21–27 1642 ±2, g Salminen et al. (2017), 1645 C 15 75 355 (cid:0) 04 13 10 26 209 10.9 R1 1 1 1 1 1 1 7 ** this work E-W dykes Luttinen et al. 1647 ±14, (submitted) 1640 ±6 B3 Suomenniemi dyke 61 27 1635 ±2, g Siivola (1987), Vaasjoki 1639 N 9 32 031 07 11 22 28 172 7.6 R1 1 1 0 1 1 1 6 ** Salminen et al. swarm et al. (1991), Siivola (2019) 1643 ±5, (1987) 1638 ±32 B4 Sipoo quartz porphyry 60 25 1633 ±10 g To¨rnroo</x:v>
      </x:c>
      <x:c r="L218" s="19" t="str">
        <x:v>/Users/lihd/discovery/paleomagnetic-r3-workflow/dist/paleomagnetic-r357-calibrated-workflow-full/data/parsed_mds/4168.txt</x:v>
      </x:c>
    </x:row>
    <x:row r="219" ht="52" customHeight="1">
      <x:c r="A219" s="19" t="str">
        <x:v>4168</x:v>
      </x:c>
      <x:c r="B219" s="19" t="str">
        <x:v>10005</x:v>
      </x:c>
      <x:c r="C219" s="19" t="str">
        <x:v>Kopparnäs Dykes</x:v>
      </x:c>
      <x:c r="D219" s="19" t="str"/>
      <x:c r="E219" s="19" t="str">
        <x:v>PRESENT</x:v>
      </x:c>
      <x:c r="F219" s="19" t="str">
        <x:v>IRM,SUSC-T,HYST,SEM,OP(TM,PYRR,ILM,MAGN)</x:v>
      </x:c>
      <x:c r="G219" s="19" t="str">
        <x:v>PAPER_ROW_MATCH</x:v>
      </x:c>
      <x:c r="H219" s="19" t="str">
        <x:v>locator_direction</x:v>
      </x:c>
      <x:c r="I219" s="19" t="n">
        <x:v>20</x:v>
      </x:c>
      <x:c r="J219" s="19" t="str">
        <x:v>result_locator</x:v>
      </x:c>
      <x:c r="K219" s="19" t="str">
        <x:v>20 PrecambrianResearch365(2021)106406 Table 6 Selected paleomagnetic data for Baltica. Code Rockname Slat (◦N) Slon (◦E) Age (Ma) Met Age references NominalAge Pol B N D (◦) I (◦) α 95 (◦) k Plat (◦N) Plon (◦E) A95 (◦) Q/R1234567 SUM Key Pole references/ (Ma) Notes B1 Turinge gabbro-diabase 63 15 1703 ±6, c, g Elming et al. (2019) 1700 N 6 56 343 44 5 199 52 220 4.8 Q1 1 1 1 1 0 1 6 ** Elming et al. 1687 ±13, (2019) 1622 ±5, R1 0 0 1 1 0 1 4 1700 ±4 B2 H¨ame dyke +Satakunta 61 21–27 1642 ±2, g Salminen et al. (2017), 1645 C 15 75 355 (cid:0) 04 13 10 26 209 10.9 R1 1 1 1 1 1 1 7 ** this work E-W dykes Luttinen et al. 1647 ±14, (submitted) 1640 ±6 B3 Suomenniemi dyke 61 27 1635 ±2, g Siivola (1987), Vaasjoki 1639 N 9 32 031 07 11 22 28 172 7.6 R1 1 1 0 1 1 1 6 ** Salminen et al. swarm et al. (1991), Siivola (2019) 1643 ±5, (1987) 1638 ±32 B4 Sipoo quartz porphyry 60 25 1633 ±10 g To¨rnroo</x:v>
      </x:c>
      <x:c r="L219" s="19" t="str">
        <x:v>/Users/lihd/discovery/paleomagnetic-r3-workflow/dist/paleomagnetic-r357-calibrated-workflow-full/data/parsed_mds/4168.txt</x:v>
      </x:c>
    </x:row>
    <x:row r="220" ht="52" customHeight="1">
      <x:c r="A220" s="19" t="str">
        <x:v>4168</x:v>
      </x:c>
      <x:c r="B220" s="19" t="str">
        <x:v>10005</x:v>
      </x:c>
      <x:c r="C220" s="19" t="str">
        <x:v>Kopparnäs Dykes</x:v>
      </x:c>
      <x:c r="D220" s="19" t="str"/>
      <x:c r="E220" s="19" t="str">
        <x:v>PRESENT</x:v>
      </x:c>
      <x:c r="F220" s="19" t="str">
        <x:v>IRM,SUSC-T,HYST,SEM,OP(TM,PYRR,ILM,MAGN)</x:v>
      </x:c>
      <x:c r="G220" s="19" t="str">
        <x:v>PAPER_ROW_MATCH</x:v>
      </x:c>
      <x:c r="H220" s="19" t="str">
        <x:v>locator_direction</x:v>
      </x:c>
      <x:c r="I220" s="19" t="n">
        <x:v>20</x:v>
      </x:c>
      <x:c r="J220" s="19" t="str">
        <x:v>result_locator</x:v>
      </x:c>
      <x:c r="K220" s="19" t="str">
        <x:v>), Elming et al. (2009) B7 Nordingrå granite 63 19 1578 ±19 g Welin and Lundqvist 1578 C 28 28 221 (cid:0) 25 13 5 03 149 10.5 Q1 0 1 0 0 1 0 3 *** Piper (1980) (1984) R0 0 1 0 0 1 0 2 B8 Åland intrusives 60 20 1575.9 ±3, g Salminen et al. (2016a), 1576 C 96 366 009 (cid:0) 11 4 14 24 191 2.9 Q1 1 1 1 1 1 1 7 A Salminen et al. Salminen et al. (2016b) R 1 1 1 1 1 1 1 7 (2016a), 1569 ±3, Salminen et al. 1577 ±12 (2016b) B9 Satakunta dyke swarm 62 22 1565 ±35, g Lehtonen et al. (2003), 1576 C 20 104 012 03 3 16 29 188 6.6 Q1 1 1 1 1 1 1 7 A Salminen et al. Salminen et al. (2014b) R1 1 1 1 1 1 1 7 (2014b) 1575.9 ±3 Kopparn¨as dykes 60 20 1645 ±5; g Vaasjoki (1977), Kosunen 1640 C 17 98 027 01 7 27 27 173 5 R0 1 1 0 1 0 1 4 ** this work, , see 1640 ±14 (2004) Table 2 age from Obn¨ass rapakivi granite Ragunda-dykes group 2 63 16 1505 ±12, g Persson (1999) 1514 C 20 122 020 49 11 10 56 163 11 R</x:v>
      </x:c>
      <x:c r="L220" s="19" t="str">
        <x:v>/Users/lihd/discovery/paleomagnetic-r3-workflow/dist/paleomagnetic-r357-calibrated-workflow-full/data/parsed_mds/4168.txt</x:v>
      </x:c>
    </x:row>
    <x:row r="221" ht="52" customHeight="1">
      <x:c r="A221" s="19" t="str">
        <x:v>4168</x:v>
      </x:c>
      <x:c r="B221" s="19" t="str">
        <x:v>10005</x:v>
      </x:c>
      <x:c r="C221" s="19" t="str">
        <x:v>Kopparnäs Dykes</x:v>
      </x:c>
      <x:c r="D221" s="19" t="str"/>
      <x:c r="E221" s="19" t="str">
        <x:v>PRESENT</x:v>
      </x:c>
      <x:c r="F221" s="19" t="str">
        <x:v>IRM,SUSC-T,HYST,SEM,OP(TM,PYRR,ILM,MAGN)</x:v>
      </x:c>
      <x:c r="G221" s="19" t="str">
        <x:v>PAPER_ROW_MATCH</x:v>
      </x:c>
      <x:c r="H221" s="19" t="str">
        <x:v>locator_direction</x:v>
      </x:c>
      <x:c r="I221" s="19" t="n">
        <x:v>20</x:v>
      </x:c>
      <x:c r="J221" s="19" t="str">
        <x:v>result_locator</x:v>
      </x:c>
      <x:c r="K221" s="19" t="str">
        <x:v>anite Ragunda-dykes group 2 63 16 1505 ±12, g Persson (1999) 1514 C 20 122 020 49 11 10 56 163 11 R1 1 1 1 1 0 1 6 ** this work, see +host Table 2 1514 ±5 Ragunda-dykes group 1* 63 16 C 12 63 003 (cid:0) 24 19 6 13 194 14.9 R0 1 1 1 1 1 1 5 ** this work Stro¨msbro rapakivi* 61 17 1500 ±19 g Andersson (1997b) 1500 N 1 5 017 (cid:0) 49 17 21 (cid:0) 01 182 18.4 R0 0 1 0 1 0 0 2 ** this work Stro¨msbro dykes* 61 17 g Andersson (1997b) 1500 N 4 35 013 –22 16 35 18 184 15.1 R0 0 0 0 1 0 1 2 ** this work Ro¨do¨ rapakivi* 62 18 1497 ±6 g Andersson et al. (2001) 1497 N 1 20 024 (cid:0) 35 6 36 06 175 4.8 R1 0 1 1 1 0 1 5 ** this work Ro¨do¨ dykes 62 18 Andersson et al. (2001) 1497 R 7 55 178 (cid:0) 27 11 34 42 201 8.4 R0 0 1 1 1 0 1 4 ** this work Noran 60 15 1469 ±10 g Claesson and Kresten 1469 N 4 31 015 00 19 24 28 179 10.9 R1 0 1 0 1 0 1 4 ** this work (1997) *R-polarity Mean 1500 62 17 R 5</x:v>
      </x:c>
      <x:c r="L221" s="19" t="str">
        <x:v>/Users/lihd/discovery/paleomagnetic-r3-workflow/dist/paleomagnetic-r357-calibrated-workflow-full/data/parsed_mds/4168.txt</x:v>
      </x:c>
    </x:row>
    <x:row r="222" ht="52" customHeight="1">
      <x:c r="A222" s="19" t="str">
        <x:v>4168</x:v>
      </x:c>
      <x:c r="B222" s="19" t="str">
        <x:v>10005</x:v>
      </x:c>
      <x:c r="C222" s="19" t="str">
        <x:v>Kopparnäs Dykes</x:v>
      </x:c>
      <x:c r="D222" s="19" t="str"/>
      <x:c r="E222" s="19" t="str">
        <x:v>PRESENT</x:v>
      </x:c>
      <x:c r="F222" s="19" t="str">
        <x:v>IRM,SUSC-T,HYST,SEM,OP(TM,PYRR,ILM,MAGN)</x:v>
      </x:c>
      <x:c r="G222" s="19" t="str">
        <x:v>PAPER_ROW_MATCH</x:v>
      </x:c>
      <x:c r="H222" s="19" t="str">
        <x:v>locator_direction</x:v>
      </x:c>
      <x:c r="I222" s="19" t="n">
        <x:v>20</x:v>
      </x:c>
      <x:c r="J222" s="19" t="str">
        <x:v>result_locator</x:v>
      </x:c>
      <x:c r="K222" s="19" t="str">
        <x:v>0) 24 19 6 13 194 14.9 R0 1 1 1 1 1 1 5 ** this work Stro¨msbro rapakivi* 61 17 1500 ±19 g Andersson (1997b) 1500 N 1 5 017 (cid:0) 49 17 21 (cid:0) 01 182 18.4 R0 0 1 0 1 0 0 2 ** this work Stro¨msbro dykes* 61 17 g Andersson (1997b) 1500 N 4 35 013 –22 16 35 18 184 15.1 R0 0 0 0 1 0 1 2 ** this work Ro¨do¨ rapakivi* 62 18 1497 ±6 g Andersson et al. (2001) 1497 N 1 20 024 (cid:0) 35 6 36 06 175 4.8 R1 0 1 1 1 0 1 5 ** this work Ro¨do¨ dykes 62 18 Andersson et al. (2001) 1497 R 7 55 178 (cid:0) 27 11 34 42 201 8.4 R0 0 1 1 1 0 1 4 ** this work Noran 60 15 1469 ±10 g Claesson and Kresten 1469 N 4 31 015 00 19 24 28 179 10.9 R1 0 1 0 1 0 1 4 ** this work (1997) *R-polarity Mean 1500 62 17 R 5 27 351 (cid:0) 31 34 6 07 206 23 ** this work (Ragunda- dykes group 1, R- polarity) *N-polarity Mean 1500 62 17 N 13 96 014 (cid:0) 30 11 11 11 184 8.6 ** this work (Ragunda-dykes group 1 N-polarity, </x:v>
      </x:c>
      <x:c r="L222" s="19" t="str">
        <x:v>/Users/lihd/discovery/paleomagnetic-r3-workflow/dist/paleomagnetic-r357-calibrated-workflow-full/data/parsed_mds/4168.txt</x:v>
      </x:c>
    </x:row>
    <x:row r="223" ht="52" customHeight="1">
      <x:c r="A223" s="19" t="str">
        <x:v>4168</x:v>
      </x:c>
      <x:c r="B223" s="19" t="str">
        <x:v>10006</x:v>
      </x:c>
      <x:c r="C223" s="19" t="str">
        <x:v>Ragunda Dykes, Group 2+host</x:v>
      </x:c>
      <x:c r="D223" s="19" t="str"/>
      <x:c r="E223" s="19" t="str">
        <x:v>PRESENT</x:v>
      </x:c>
      <x:c r="F223" s="19" t="str">
        <x:v>IRM,SUSC-T,HYST(PYRR,MAGN,TM)</x:v>
      </x:c>
      <x:c r="G223" s="19" t="str">
        <x:v>PAPER_ROW_MATCH</x:v>
      </x:c>
      <x:c r="H223" s="19" t="str">
        <x:v>method</x:v>
      </x:c>
      <x:c r="I223" s="19" t="n">
        <x:v>5</x:v>
      </x:c>
      <x:c r="J223" s="19" t="str">
        <x:v>near_target</x:v>
      </x:c>
      <x:c r="K223" s="19" t="str">
        <x:v>Temperature dependence of low-field magnetic susceptibility</x:v>
      </x:c>
      <x:c r="L223" s="19" t="str">
        <x:v>/Users/lihd/discovery/paleomagnetic-r3-workflow/dist/paleomagnetic-r357-calibrated-workflow-full/data/parsed_mds/4168.txt</x:v>
      </x:c>
    </x:row>
    <x:row r="224" ht="52" customHeight="1">
      <x:c r="A224" s="19" t="str">
        <x:v>4168</x:v>
      </x:c>
      <x:c r="B224" s="19" t="str">
        <x:v>10006</x:v>
      </x:c>
      <x:c r="C224" s="19" t="str">
        <x:v>Ragunda Dykes, Group 2+host</x:v>
      </x:c>
      <x:c r="D224" s="19" t="str"/>
      <x:c r="E224" s="19" t="str">
        <x:v>PRESENT</x:v>
      </x:c>
      <x:c r="F224" s="19" t="str">
        <x:v>IRM,SUSC-T,HYST(PYRR,MAGN,TM)</x:v>
      </x:c>
      <x:c r="G224" s="19" t="str">
        <x:v>PAPER_ROW_MATCH</x:v>
      </x:c>
      <x:c r="H224" s="19" t="str">
        <x:v>method</x:v>
      </x:c>
      <x:c r="I224" s="19" t="n">
        <x:v>6</x:v>
      </x:c>
      <x:c r="J224" s="19" t="str">
        <x:v>near_target</x:v>
      </x:c>
      <x:c r="K224" s="19" t="str">
        <x:v>hysteresis</x:v>
      </x:c>
      <x:c r="L224" s="19" t="str">
        <x:v>/Users/lihd/discovery/paleomagnetic-r3-workflow/dist/paleomagnetic-r357-calibrated-workflow-full/data/parsed_mds/4168.txt</x:v>
      </x:c>
    </x:row>
    <x:row r="225" ht="52" customHeight="1">
      <x:c r="A225" s="19" t="str">
        <x:v>4168</x:v>
      </x:c>
      <x:c r="B225" s="19" t="str">
        <x:v>10006</x:v>
      </x:c>
      <x:c r="C225" s="19" t="str">
        <x:v>Ragunda Dykes, Group 2+host</x:v>
      </x:c>
      <x:c r="D225" s="19" t="str"/>
      <x:c r="E225" s="19" t="str">
        <x:v>PRESENT</x:v>
      </x:c>
      <x:c r="F225" s="19" t="str">
        <x:v>IRM,SUSC-T,HYST(PYRR,MAGN,TM)</x:v>
      </x:c>
      <x:c r="G225" s="19" t="str">
        <x:v>PAPER_ROW_MATCH</x:v>
      </x:c>
      <x:c r="H225" s="19" t="str">
        <x:v>method</x:v>
      </x:c>
      <x:c r="I225" s="19" t="n">
        <x:v>6</x:v>
      </x:c>
      <x:c r="J225" s="19" t="str">
        <x:v>near_target</x:v>
      </x:c>
      <x:c r="K225" s="19" t="str">
        <x:v>IRM</x:v>
      </x:c>
      <x:c r="L225" s="19" t="str">
        <x:v>/Users/lihd/discovery/paleomagnetic-r3-workflow/dist/paleomagnetic-r357-calibrated-workflow-full/data/parsed_mds/4168.txt</x:v>
      </x:c>
    </x:row>
    <x:row r="226" ht="52" customHeight="1">
      <x:c r="A226" s="19" t="str">
        <x:v>4168</x:v>
      </x:c>
      <x:c r="B226" s="19" t="str">
        <x:v>10006</x:v>
      </x:c>
      <x:c r="C226" s="19" t="str">
        <x:v>Ragunda Dykes, Group 2+host</x:v>
      </x:c>
      <x:c r="D226" s="19" t="str"/>
      <x:c r="E226" s="19" t="str">
        <x:v>PRESENT</x:v>
      </x:c>
      <x:c r="F226" s="19" t="str">
        <x:v>IRM,SUSC-T,HYST(PYRR,MAGN,TM)</x:v>
      </x:c>
      <x:c r="G226" s="19" t="str">
        <x:v>PAPER_ROW_MATCH</x:v>
      </x:c>
      <x:c r="H226" s="19" t="str">
        <x:v>method</x:v>
      </x:c>
      <x:c r="I226" s="19" t="n">
        <x:v>9</x:v>
      </x:c>
      <x:c r="J226" s="19" t="str">
        <x:v>near_target</x:v>
      </x:c>
      <x:c r="K226" s="19" t="str">
        <x:v>hysteresis</x:v>
      </x:c>
      <x:c r="L226" s="19" t="str">
        <x:v>/Users/lihd/discovery/paleomagnetic-r3-workflow/dist/paleomagnetic-r357-calibrated-workflow-full/data/parsed_mds/4168.txt</x:v>
      </x:c>
    </x:row>
    <x:row r="227" ht="52" customHeight="1">
      <x:c r="A227" s="19" t="str">
        <x:v>4168</x:v>
      </x:c>
      <x:c r="B227" s="19" t="str">
        <x:v>10006</x:v>
      </x:c>
      <x:c r="C227" s="19" t="str">
        <x:v>Ragunda Dykes, Group 2+host</x:v>
      </x:c>
      <x:c r="D227" s="19" t="str"/>
      <x:c r="E227" s="19" t="str">
        <x:v>PRESENT</x:v>
      </x:c>
      <x:c r="F227" s="19" t="str">
        <x:v>IRM,SUSC-T,HYST(PYRR,MAGN,TM)</x:v>
      </x:c>
      <x:c r="G227" s="19" t="str">
        <x:v>PAPER_ROW_MATCH</x:v>
      </x:c>
      <x:c r="H227" s="19" t="str">
        <x:v>carrier</x:v>
      </x:c>
      <x:c r="I227" s="19" t="n">
        <x:v>6</x:v>
      </x:c>
      <x:c r="J227" s="19" t="str">
        <x:v>near_target</x:v>
      </x:c>
      <x:c r="K227" s="19" t="str">
        <x:v>pyrrhotite</x:v>
      </x:c>
      <x:c r="L227" s="19" t="str">
        <x:v>/Users/lihd/discovery/paleomagnetic-r3-workflow/dist/paleomagnetic-r357-calibrated-workflow-full/data/parsed_mds/4168.txt</x:v>
      </x:c>
    </x:row>
    <x:row r="228" ht="52" customHeight="1">
      <x:c r="A228" s="19" t="str">
        <x:v>4168</x:v>
      </x:c>
      <x:c r="B228" s="19" t="str">
        <x:v>10006</x:v>
      </x:c>
      <x:c r="C228" s="19" t="str">
        <x:v>Ragunda Dykes, Group 2+host</x:v>
      </x:c>
      <x:c r="D228" s="19" t="str"/>
      <x:c r="E228" s="19" t="str">
        <x:v>PRESENT</x:v>
      </x:c>
      <x:c r="F228" s="19" t="str">
        <x:v>IRM,SUSC-T,HYST(PYRR,MAGN,TM)</x:v>
      </x:c>
      <x:c r="G228" s="19" t="str">
        <x:v>PAPER_ROW_MATCH</x:v>
      </x:c>
      <x:c r="H228" s="19" t="str">
        <x:v>carrier</x:v>
      </x:c>
      <x:c r="I228" s="19" t="n">
        <x:v>6</x:v>
      </x:c>
      <x:c r="J228" s="19" t="str">
        <x:v>near_target</x:v>
      </x:c>
      <x:c r="K228" s="19" t="str">
        <x:v>magnetite</x:v>
      </x:c>
      <x:c r="L228" s="19" t="str">
        <x:v>/Users/lihd/discovery/paleomagnetic-r3-workflow/dist/paleomagnetic-r357-calibrated-workflow-full/data/parsed_mds/4168.txt</x:v>
      </x:c>
    </x:row>
    <x:row r="229" ht="52" customHeight="1">
      <x:c r="A229" s="19" t="str">
        <x:v>4168</x:v>
      </x:c>
      <x:c r="B229" s="19" t="str">
        <x:v>10006</x:v>
      </x:c>
      <x:c r="C229" s="19" t="str">
        <x:v>Ragunda Dykes, Group 2+host</x:v>
      </x:c>
      <x:c r="D229" s="19" t="str"/>
      <x:c r="E229" s="19" t="str">
        <x:v>PRESENT</x:v>
      </x:c>
      <x:c r="F229" s="19" t="str">
        <x:v>IRM,SUSC-T,HYST(PYRR,MAGN,TM)</x:v>
      </x:c>
      <x:c r="G229" s="19" t="str">
        <x:v>PAPER_ROW_MATCH</x:v>
      </x:c>
      <x:c r="H229" s="19" t="str">
        <x:v>carrier</x:v>
      </x:c>
      <x:c r="I229" s="19" t="n">
        <x:v>9</x:v>
      </x:c>
      <x:c r="J229" s="19" t="str">
        <x:v>near_target</x:v>
      </x:c>
      <x:c r="K229" s="19" t="str">
        <x:v>pyrrhotite</x:v>
      </x:c>
      <x:c r="L229" s="19" t="str">
        <x:v>/Users/lihd/discovery/paleomagnetic-r3-workflow/dist/paleomagnetic-r357-calibrated-workflow-full/data/parsed_mds/4168.txt</x:v>
      </x:c>
    </x:row>
    <x:row r="230" ht="52" customHeight="1">
      <x:c r="A230" s="19" t="str">
        <x:v>4168</x:v>
      </x:c>
      <x:c r="B230" s="19" t="str">
        <x:v>10006</x:v>
      </x:c>
      <x:c r="C230" s="19" t="str">
        <x:v>Ragunda Dykes, Group 2+host</x:v>
      </x:c>
      <x:c r="D230" s="19" t="str"/>
      <x:c r="E230" s="19" t="str">
        <x:v>PRESENT</x:v>
      </x:c>
      <x:c r="F230" s="19" t="str">
        <x:v>IRM,SUSC-T,HYST(PYRR,MAGN,TM)</x:v>
      </x:c>
      <x:c r="G230" s="19" t="str">
        <x:v>PAPER_ROW_MATCH</x:v>
      </x:c>
      <x:c r="H230" s="19" t="str">
        <x:v>carrier</x:v>
      </x:c>
      <x:c r="I230" s="19" t="n">
        <x:v>9</x:v>
      </x:c>
      <x:c r="J230" s="19" t="str">
        <x:v>near_target</x:v>
      </x:c>
      <x:c r="K230" s="19" t="str">
        <x:v>magnetite</x:v>
      </x:c>
      <x:c r="L230" s="19" t="str">
        <x:v>/Users/lihd/discovery/paleomagnetic-r3-workflow/dist/paleomagnetic-r357-calibrated-workflow-full/data/parsed_mds/4168.txt</x:v>
      </x:c>
    </x:row>
    <x:row r="231" ht="52" customHeight="1">
      <x:c r="A231" s="19" t="str">
        <x:v>4168</x:v>
      </x:c>
      <x:c r="B231" s="19" t="str">
        <x:v>10006</x:v>
      </x:c>
      <x:c r="C231" s="19" t="str">
        <x:v>Ragunda Dykes, Group 2+host</x:v>
      </x:c>
      <x:c r="D231" s="19" t="str"/>
      <x:c r="E231" s="19" t="str">
        <x:v>PRESENT</x:v>
      </x:c>
      <x:c r="F231" s="19" t="str">
        <x:v>IRM,SUSC-T,HYST(PYRR,MAGN,TM)</x:v>
      </x:c>
      <x:c r="G231" s="19" t="str">
        <x:v>PAPER_ROW_MATCH</x:v>
      </x:c>
      <x:c r="H231" s="19" t="str">
        <x:v>locator_direction</x:v>
      </x:c>
      <x:c r="I231" s="19" t="n">
        <x:v>20</x:v>
      </x:c>
      <x:c r="J231" s="19" t="str">
        <x:v>result_locator</x:v>
      </x:c>
      <x:c r="K231" s="19" t="str">
        <x:v>R0 0 1 0 0 1 0 2 B8 Åland intrusives 60 20 1575.9 ±3, g Salminen et al. (2016a), 1576 C 96 366 009 (cid:0) 11 4 14 24 191 2.9 Q1 1 1 1 1 1 1 7 A Salminen et al. Salminen et al. (2016b) R 1 1 1 1 1 1 1 7 (2016a), 1569 ±3, Salminen et al. 1577 ±12 (2016b) B9 Satakunta dyke swarm 62 22 1565 ±35, g Lehtonen et al. (2003), 1576 C 20 104 012 03 3 16 29 188 6.6 Q1 1 1 1 1 1 1 7 A Salminen et al. Salminen et al. (2014b) R1 1 1 1 1 1 1 7 (2014b) 1575.9 ±3 Kopparn¨as dykes 60 20 1645 ±5; g Vaasjoki (1977), Kosunen 1640 C 17 98 027 01 7 27 27 173 5 R0 1 1 0 1 0 1 4 ** this work, , see 1640 ±14 (2004) Table 2 age from Obn¨ass rapakivi granite Ragunda-dykes group 2 63 16 1505 ±12, g Persson (1999) 1514 C 20 122 020 49 11 10 56 163 11 R1 1 1 1 1 0 1 6 ** this work, see +host Table 2 1514 ±5 Ragunda-dykes group 1* 63 16 C 12 63 003 (cid:0) 24 19 6 13 194 14.9 R0 1 1 1 1 1 1 5 ** this work Stro¨msbro ra</x:v>
      </x:c>
      <x:c r="L231" s="19" t="str">
        <x:v>/Users/lihd/discovery/paleomagnetic-r3-workflow/dist/paleomagnetic-r357-calibrated-workflow-full/data/parsed_mds/4168.txt</x:v>
      </x:c>
    </x:row>
    <x:row r="232" ht="52" customHeight="1">
      <x:c r="A232" s="19" t="str">
        <x:v>4168</x:v>
      </x:c>
      <x:c r="B232" s="19" t="str">
        <x:v>10006</x:v>
      </x:c>
      <x:c r="C232" s="19" t="str">
        <x:v>Ragunda Dykes, Group 2+host</x:v>
      </x:c>
      <x:c r="D232" s="19" t="str"/>
      <x:c r="E232" s="19" t="str">
        <x:v>PRESENT</x:v>
      </x:c>
      <x:c r="F232" s="19" t="str">
        <x:v>IRM,SUSC-T,HYST(PYRR,MAGN,TM)</x:v>
      </x:c>
      <x:c r="G232" s="19" t="str">
        <x:v>PAPER_ROW_MATCH</x:v>
      </x:c>
      <x:c r="H232" s="19" t="str">
        <x:v>locator_pole</x:v>
      </x:c>
      <x:c r="I232" s="19" t="n">
        <x:v>20</x:v>
      </x:c>
      <x:c r="J232" s="19" t="str">
        <x:v>result_locator</x:v>
      </x:c>
      <x:c r="K232" s="19" t="str">
        <x:v>land intrusives 60 20 1575.9 ±3, g Salminen et al. (2016a), 1576 C 96 366 009 (cid:0) 11 4 14 24 191 2.9 Q1 1 1 1 1 1 1 7 A Salminen et al. Salminen et al. (2016b) R 1 1 1 1 1 1 1 7 (2016a), 1569 ±3, Salminen et al. 1577 ±12 (2016b) B9 Satakunta dyke swarm 62 22 1565 ±35, g Lehtonen et al. (2003), 1576 C 20 104 012 03 3 16 29 188 6.6 Q1 1 1 1 1 1 1 7 A Salminen et al. Salminen et al. (2014b) R1 1 1 1 1 1 1 7 (2014b) 1575.9 ±3 Kopparn¨as dykes 60 20 1645 ±5; g Vaasjoki (1977), Kosunen 1640 C 17 98 027 01 7 27 27 173 5 R0 1 1 0 1 0 1 4 ** this work, , see 1640 ±14 (2004) Table 2 age from Obn¨ass rapakivi granite Ragunda-dykes group 2 63 16 1505 ±12, g Persson (1999) 1514 C 20 122 020 49 11 10 56 163 11 R1 1 1 1 1 0 1 6 ** this work, see +host Table 2 1514 ±5 Ragunda-dykes group 1* 63 16 C 12 63 003 (cid:0) 24 19 6 13 194 14.9 R0 1 1 1 1 1 1 5 ** this work Stro¨msbro rapakivi* 61 17 1500 ±1</x:v>
      </x:c>
      <x:c r="L232" s="19" t="str">
        <x:v>/Users/lihd/discovery/paleomagnetic-r3-workflow/dist/paleomagnetic-r357-calibrated-workflow-full/data/parsed_mds/4168.txt</x:v>
      </x:c>
    </x:row>
    <x:row r="233" ht="52" customHeight="1">
      <x:c r="A233" s="19" t="str">
        <x:v>4168</x:v>
      </x:c>
      <x:c r="B233" s="19" t="str">
        <x:v>10008</x:v>
      </x:c>
      <x:c r="C233" s="19" t="str">
        <x:v>Strömsbro Rapakivi Complex</x:v>
      </x:c>
      <x:c r="D233" s="19" t="str"/>
      <x:c r="E233" s="19" t="str">
        <x:v>ABSTAIN_INSUFFICIENT</x:v>
      </x:c>
      <x:c r="F233" s="19" t="str"/>
      <x:c r="G233" s="19" t="str">
        <x:v>PAPER_ROW_MATCH</x:v>
      </x:c>
      <x:c r="H233" s="19" t="str">
        <x:v>locator_pole</x:v>
      </x:c>
      <x:c r="I233" s="19" t="n">
        <x:v>1</x:v>
      </x:c>
      <x:c r="J233" s="19" t="str">
        <x:v>result_locator</x:v>
      </x:c>
      <x:c r="K233" s="19" t="str">
        <x:v>, 2007; Dall’Agnol et al., ~1640–1400 Ma (e.g. Emslie, 1978; Windley, 1993; Åh¨all and Connelly, 2012) are associated with coeval gabbroic rocks of the massif-type 1998; Karlstrom et al., 2001; Ashwal and Bybee, 2017). Various theories anorthosite clan (e.g. Ashwal, 1993; Alviola et al., 1999) and they have been put forward to explain this Proterozoic magmatism. In one set often include both silicic and basic dykes (e.g. Haapala et al., 1990; of models the common bimodal occurrence of the Proterozoic massif- Haapala and Ra¨mo¨, 1992; Ra¨mo¨ and Haapala, 1995). Massif-type Pro- type anorthosite batholiths and related crustal magmatic rocks (anor- terozoic anorthosites occur as small plutons (1–10 km2) to large com- thosites-mangereite-charnockite-granitoids, AMCG complex; Emslie, posite batholiths (up to 18000 km2). Composition, textures, variable 1978) are described as typical of “anorog</x:v>
      </x:c>
      <x:c r="L233" s="19" t="str">
        <x:v>/Users/lihd/discovery/paleomagnetic-r3-workflow/dist/paleomagnetic-r357-calibrated-workflow-full/data/parsed_mds/4168.txt</x:v>
      </x:c>
    </x:row>
    <x:row r="234" ht="52" customHeight="1">
      <x:c r="A234" s="19" t="str">
        <x:v>4168</x:v>
      </x:c>
      <x:c r="B234" s="19" t="str">
        <x:v>10008</x:v>
      </x:c>
      <x:c r="C234" s="19" t="str">
        <x:v>Strömsbro Rapakivi Complex</x:v>
      </x:c>
      <x:c r="D234" s="19" t="str"/>
      <x:c r="E234" s="19" t="str">
        <x:v>ABSTAIN_INSUFFICIENT</x:v>
      </x:c>
      <x:c r="F234" s="19" t="str"/>
      <x:c r="G234" s="19" t="str">
        <x:v>PAPER_ROW_MATCH</x:v>
      </x:c>
      <x:c r="H234" s="19" t="str">
        <x:v>locator_pole</x:v>
      </x:c>
      <x:c r="I234" s="19" t="n">
        <x:v>2</x:v>
      </x:c>
      <x:c r="J234" s="19" t="str">
        <x:v>result_locator</x:v>
      </x:c>
      <x:c r="K234" s="19" t="str">
        <x:v>es and associated dyke swarms in central Sweden. matism is enhanced on a stationary low-latitude position. However, if Proterozoic magmatism during the Nuna supercontinent assembly was 2.1. The Kopparna¨s dyke swarm initiated by active convergent margin processes (e.g. Ashwal and Bybee, 2017), it is likely that the spatial arrangement of linear belts of massif- The E-W trending ~0.05–2 m wide Kopparna¨s diabase dykes outcrop type anorthosites continue from one craton to the other in a super- in a very limited area in southeastern Finland extending about two ki- continental reconstruction and can be visualized in paleogeographical lometers in length and about half a kilometer in width (Figs. 1 and 2). reconstructions. We will use new data from the intrusions related to the The widest dykes are located in the eastern part of the swarm close to the Mesoproterozoic Obbna¨s, Ragunda Stro¨msbr</x:v>
      </x:c>
      <x:c r="L234" s="19" t="str">
        <x:v>/Users/lihd/discovery/paleomagnetic-r3-workflow/dist/paleomagnetic-r357-calibrated-workflow-full/data/parsed_mds/4168.txt</x:v>
      </x:c>
    </x:row>
    <x:row r="235" ht="52" customHeight="1">
      <x:c r="A235" s="19" t="str">
        <x:v>4168</x:v>
      </x:c>
      <x:c r="B235" s="19" t="str">
        <x:v>10008</x:v>
      </x:c>
      <x:c r="C235" s="19" t="str">
        <x:v>Strömsbro Rapakivi Complex</x:v>
      </x:c>
      <x:c r="D235" s="19" t="str"/>
      <x:c r="E235" s="19" t="str">
        <x:v>ABSTAIN_INSUFFICIENT</x:v>
      </x:c>
      <x:c r="F235" s="19" t="str"/>
      <x:c r="G235" s="19" t="str">
        <x:v>PAPER_ROW_MATCH</x:v>
      </x:c>
      <x:c r="H235" s="19" t="str">
        <x:v>locator_pole</x:v>
      </x:c>
      <x:c r="I235" s="19" t="n">
        <x:v>4</x:v>
      </x:c>
      <x:c r="J235" s="19" t="str">
        <x:v>result_locator</x:v>
      </x:c>
      <x:c r="K235" s="19" t="str">
        <x:v>J. Salminen et al. P r e c a m b r i a n R e s e a r c h 365(2021)106406 Fig. 2. Geological maps of the study areas with the location of sampling sites (a) Kopparna¨s dyke swarm, (b) Ragunda rapakivi massif, (c) Stro¨msbro rapakivi massif, (d) Ro¨do¨ rapakivi massif, (e) Noran pluton. Stro¨msbro and Noran rapakivi complexes form part of a system of 2.2.1. The Ragunda rapakivi complex 1530–1440 Ma anorogenic intrusions distributed in one of a broad WNW The bimodal Ragunda rapakivi complex, intruding Svecofennian trending zones running from Lithuania in the south, west of Åland igneous and metamorphic rocks in central Sweden, is formed by three (Finland) towards central Sweden (Fig. 1) (e.g. Persson, 1999; Ander- massifs altogether ca. 550 km2 in size (Figs. 1 and 2b). These massifs sson et al., 2001; Ripa and Stephens, 2020). The basic components of produce clear aeromagnetic anomalies be</x:v>
      </x:c>
      <x:c r="L235" s="19" t="str">
        <x:v>/Users/lihd/discovery/paleomagnetic-r3-workflow/dist/paleomagnetic-r357-calibrated-workflow-full/data/parsed_mds/4168.txt</x:v>
      </x:c>
    </x:row>
    <x:row r="236" ht="52" customHeight="1">
      <x:c r="A236" s="19" t="str">
        <x:v>4168</x:v>
      </x:c>
      <x:c r="B236" s="19" t="str">
        <x:v>10008</x:v>
      </x:c>
      <x:c r="C236" s="19" t="str">
        <x:v>Strömsbro Rapakivi Complex</x:v>
      </x:c>
      <x:c r="D236" s="19" t="str"/>
      <x:c r="E236" s="19" t="str">
        <x:v>ABSTAIN_INSUFFICIENT</x:v>
      </x:c>
      <x:c r="F236" s="19" t="str"/>
      <x:c r="G236" s="19" t="str">
        <x:v>PAPER_ROW_MATCH</x:v>
      </x:c>
      <x:c r="H236" s="19" t="str">
        <x:v>locator_pole</x:v>
      </x:c>
      <x:c r="I236" s="19" t="n">
        <x:v>4</x:v>
      </x:c>
      <x:c r="J236" s="19" t="str">
        <x:v>result_locator</x:v>
      </x:c>
      <x:c r="K236" s="19" t="str">
        <x:v>06406 Fig. 2. Geological maps of the study areas with the location of sampling sites (a) Kopparna¨s dyke swarm, (b) Ragunda rapakivi massif, (c) Stro¨msbro rapakivi massif, (d) Ro¨do¨ rapakivi massif, (e) Noran pluton. Stro¨msbro and Noran rapakivi complexes form part of a system of 2.2.1. The Ragunda rapakivi complex 1530–1440 Ma anorogenic intrusions distributed in one of a broad WNW The bimodal Ragunda rapakivi complex, intruding Svecofennian trending zones running from Lithuania in the south, west of Åland igneous and metamorphic rocks in central Sweden, is formed by three (Finland) towards central Sweden (Fig. 1) (e.g. Persson, 1999; Ander- massifs altogether ca. 550 km2 in size (Figs. 1 and 2b). These massifs sson et al., 2001; Ripa and Stephens, 2020). The basic components of produce clear aeromagnetic anomalies being consistent with existing these rapakivi complexes have been com</x:v>
      </x:c>
      <x:c r="L236" s="19" t="str">
        <x:v>/Users/lihd/discovery/paleomagnetic-r3-workflow/dist/paleomagnetic-r357-calibrated-workflow-full/data/parsed_mds/4168.txt</x:v>
      </x:c>
    </x:row>
    <x:row r="237" ht="52" customHeight="1">
      <x:c r="A237" s="19" t="str">
        <x:v>4168</x:v>
      </x:c>
      <x:c r="B237" s="19" t="str">
        <x:v>10008</x:v>
      </x:c>
      <x:c r="C237" s="19" t="str">
        <x:v>Strömsbro Rapakivi Complex</x:v>
      </x:c>
      <x:c r="D237" s="19" t="str"/>
      <x:c r="E237" s="19" t="str">
        <x:v>ABSTAIN_INSUFFICIENT</x:v>
      </x:c>
      <x:c r="F237" s="19" t="str"/>
      <x:c r="G237" s="19" t="str">
        <x:v>PAPER_ROW_MATCH</x:v>
      </x:c>
      <x:c r="H237" s="19" t="str">
        <x:v>locator_pole</x:v>
      </x:c>
      <x:c r="I237" s="19" t="n">
        <x:v>4</x:v>
      </x:c>
      <x:c r="J237" s="19" t="str">
        <x:v>result_locator</x:v>
      </x:c>
      <x:c r="K237" s="19" t="str">
        <x:v>r c h 365(2021)106406 Fig. 2. Geological maps of the study areas with the location of sampling sites (a) Kopparna¨s dyke swarm, (b) Ragunda rapakivi massif, (c) Stro¨msbro rapakivi massif, (d) Ro¨do¨ rapakivi massif, (e) Noran pluton. Stro¨msbro and Noran rapakivi complexes form part of a system of 2.2.1. The Ragunda rapakivi complex 1530–1440 Ma anorogenic intrusions distributed in one of a broad WNW The bimodal Ragunda rapakivi complex, intruding Svecofennian trending zones running from Lithuania in the south, west of Åland igneous and metamorphic rocks in central Sweden, is formed by three (Finland) towards central Sweden (Fig. 1) (e.g. Persson, 1999; Ander- massifs altogether ca. 550 km2 in size (Figs. 1 and 2b). These massifs sson et al., 2001; Ripa and Stephens, 2020). The basic components of produce clear aeromagnetic anomalies being consistent with existing these rapakivi complex</x:v>
      </x:c>
      <x:c r="L237" s="19" t="str">
        <x:v>/Users/lihd/discovery/paleomagnetic-r3-workflow/dist/paleomagnetic-r357-calibrated-workflow-full/data/parsed_mds/4168.txt</x:v>
      </x:c>
    </x:row>
    <x:row r="238" ht="52" customHeight="1">
      <x:c r="A238" s="19" t="str">
        <x:v>4168</x:v>
      </x:c>
      <x:c r="B238" s="19" t="str">
        <x:v>10008</x:v>
      </x:c>
      <x:c r="C238" s="19" t="str">
        <x:v>Strömsbro Rapakivi Complex</x:v>
      </x:c>
      <x:c r="D238" s="19" t="str"/>
      <x:c r="E238" s="19" t="str">
        <x:v>ABSTAIN_INSUFFICIENT</x:v>
      </x:c>
      <x:c r="F238" s="19" t="str"/>
      <x:c r="G238" s="19" t="str">
        <x:v>PAPER_ROW_MATCH</x:v>
      </x:c>
      <x:c r="H238" s="19" t="str">
        <x:v>locator_pole</x:v>
      </x:c>
      <x:c r="I238" s="19" t="n">
        <x:v>5</x:v>
      </x:c>
      <x:c r="J238" s="19" t="str">
        <x:v>result_locator</x:v>
      </x:c>
      <x:c r="K238" s="19" t="str">
        <x:v>gins are found cutting both the western and the central massif also silicic dykes and composite varieties of both basic and silicic dykes and at the silicic-basic contacts there are zones of mingled rocks indi- cutting both host Malingsbro granite and the Noran rapakivi granite cating that there is no significant age difference between silicic and basic intrusions (Fig. 2e) (Claesson and Kresten, 1997). magmas either (Persson, 1999). 3. Sampling and methods 2.2.2. The Str¨omsbro rapakivi complex The Stro¨msbro rapakivi complex, intruding Svecofennian gneisses in Standard oriented drill core samples were collected with a portable central Sweden, is ca 12 km2 in size (Andersson, 1997b) (Figs. 1 and 2c). field drill during the paleomagnetic field campaign in the Kopparna¨s All the exposed outcrops are granitic, but the number and size of out- dykes, Ragunda, Stro¨msbro, Ro¨do¨, and Noran ra</x:v>
      </x:c>
      <x:c r="L238" s="19" t="str">
        <x:v>/Users/lihd/discovery/paleomagnetic-r3-workflow/dist/paleomagnetic-r357-calibrated-workflow-full/data/parsed_mds/4168.txt</x:v>
      </x:c>
    </x:row>
    <x:row r="239" ht="52" customHeight="1">
      <x:c r="A239" s="19" t="str">
        <x:v>4168</x:v>
      </x:c>
      <x:c r="B239" s="19" t="str">
        <x:v>10008</x:v>
      </x:c>
      <x:c r="C239" s="19" t="str">
        <x:v>Strömsbro Rapakivi Complex</x:v>
      </x:c>
      <x:c r="D239" s="19" t="str"/>
      <x:c r="E239" s="19" t="str">
        <x:v>ABSTAIN_INSUFFICIENT</x:v>
      </x:c>
      <x:c r="F239" s="19" t="str"/>
      <x:c r="G239" s="19" t="str">
        <x:v>PAPER_ROW_MATCH</x:v>
      </x:c>
      <x:c r="H239" s="19" t="str">
        <x:v>locator_pole</x:v>
      </x:c>
      <x:c r="I239" s="19" t="n">
        <x:v>5</x:v>
      </x:c>
      <x:c r="J239" s="19" t="str">
        <x:v>result_locator</x:v>
      </x:c>
      <x:c r="K239" s="19" t="str">
        <x:v>la, dykes and their baked and unbaked host rocks (Fig. 2a, Table 1). From 1995; Andersson, 1997b). The U-Pb (zircon) upper intercept age of the Ragunda complex altogether 13 basic, one silicic and one composite granite is 1500 ±19 Ma (Andersson, 1997b). The granite intrusion is dykes associated with the rapakivi complex were sampled. In addition, truncated in the south by a graben filled with Jotnian sedimentary rocks, the gabbroic part of the rapakivi complex was sampled in six sites from which in turn have been intruded by 1270–1260 Ma dykes and sills (e.g. the baked zone of the intruding dykes and at five sites at a distance from Gorbatschev et al., 1979) (Fig. 2c). A few NE trending ca. 1.0 m wide the dykes aiming to sample the unbaked zone (Fig. 2b). Altogether 141 basic dykes have been suggested to be related to the Stro¨msbro complex samples were collected from the Ragunda rapakiv</x:v>
      </x:c>
      <x:c r="L239" s="19" t="str">
        <x:v>/Users/lihd/discovery/paleomagnetic-r3-workflow/dist/paleomagnetic-r357-calibrated-workflow-full/data/parsed_mds/4168.txt</x:v>
      </x:c>
    </x:row>
    <x:row r="240" ht="52" customHeight="1">
      <x:c r="A240" s="19" t="str">
        <x:v>4168</x:v>
      </x:c>
      <x:c r="B240" s="19" t="str">
        <x:v>10008</x:v>
      </x:c>
      <x:c r="C240" s="19" t="str">
        <x:v>Strömsbro Rapakivi Complex</x:v>
      </x:c>
      <x:c r="D240" s="19" t="str"/>
      <x:c r="E240" s="19" t="str">
        <x:v>ABSTAIN_INSUFFICIENT</x:v>
      </x:c>
      <x:c r="F240" s="19" t="str"/>
      <x:c r="G240" s="19" t="str">
        <x:v>PAPER_ROW_MATCH</x:v>
      </x:c>
      <x:c r="H240" s="19" t="str">
        <x:v>locator_pole</x:v>
      </x:c>
      <x:c r="I240" s="19" t="n">
        <x:v>5</x:v>
      </x:c>
      <x:c r="J240" s="19" t="str">
        <x:v>result_locator</x:v>
      </x:c>
      <x:c r="K240" s="19" t="str">
        <x:v>ked rapakivi granite was sampled at far distance from monzonite plutons accompanied by silicic and basic dykes. The Ro¨do¨ the dykes in the four sites in the Ro¨do¨ island. Furthermore a 1270 Ma sill granite is a coarse porphyritic hornblende granite with ovoidal K-feld- was sampled in the Gubben island. Altogether 75 samples were spars mantled by plagioclase (Andersson, 1997a) typical for wiborgite collected. Four basic dykes associated with the Noran granite complex rapakivi granite (e.g. Vorma, 1976; Haapala and Ra¨mo¨, 1992). The U-Pb have been sampled, three of them are cutting the intrusion and one is (zircon) upper intercept age of the selected zircon fractions of hornblend located ca 1 km north of the complex (Fig. 2e). Baked granite was granite is 1497 ±6 Ma (Andersson et al., 2001) being significantly lower sampled in three sites and unbaked granite and gneiss were samples at t</x:v>
      </x:c>
      <x:c r="L240" s="19" t="str">
        <x:v>/Users/lihd/discovery/paleomagnetic-r3-workflow/dist/paleomagnetic-r357-calibrated-workflow-full/data/parsed_mds/4168.txt</x:v>
      </x:c>
    </x:row>
    <x:row r="241" ht="52" customHeight="1">
      <x:c r="A241" s="19" t="str">
        <x:v>4168</x:v>
      </x:c>
      <x:c r="B241" s="19" t="str">
        <x:v>10008</x:v>
      </x:c>
      <x:c r="C241" s="19" t="str">
        <x:v>Strömsbro Rapakivi Complex</x:v>
      </x:c>
      <x:c r="D241" s="19" t="str"/>
      <x:c r="E241" s="19" t="str">
        <x:v>ABSTAIN_INSUFFICIENT</x:v>
      </x:c>
      <x:c r="F241" s="19" t="str"/>
      <x:c r="G241" s="19" t="str">
        <x:v>PAPER_ROW_MATCH</x:v>
      </x:c>
      <x:c r="H241" s="19" t="str">
        <x:v>locator_pole</x:v>
      </x:c>
      <x:c r="I241" s="19" t="n">
        <x:v>5</x:v>
      </x:c>
      <x:c r="J241" s="19" t="str">
        <x:v>result_locator</x:v>
      </x:c>
      <x:c r="K241" s="19" t="str">
        <x:v>ic mineralogy of the samples of the Kopparna¨s dykes, follow the outer shape of the western part of the rapakivi granite com- Ragunda and Ro¨do¨ rapakivi massifs was investigated by thermomag- plex (Andersson, 1997a) and dip towards the center of the massif. netic analysis of selected powdered whole-rock samples. Temperature dependence of low-field magnetic susceptibility was measured from 2.2.4. The Noran rapakivi complex (cid:0) 192 ◦C to 700 ◦C (in argon gas) followed by cooling back to room The small Noran rapakivi complex intruded Svecofennian Malings- temperature using an AGICO CS3-KLY-3S Kappabridge system with an bro granite in central Sweden and covers an area of ca. 1.5 km2 (Figs. 1 applied field intensity of 300 A/m (UH, GTK). Curie temperatures were and 2e). The Noran complex consists of granite and syenite plutons, with determined using the maximum in the second derivatives </x:v>
      </x:c>
      <x:c r="L241" s="19" t="str">
        <x:v>/Users/lihd/discovery/paleomagnetic-r3-workflow/dist/paleomagnetic-r357-calibrated-workflow-full/data/parsed_mds/4168.txt</x:v>
      </x:c>
    </x:row>
    <x:row r="242" ht="52" customHeight="1">
      <x:c r="A242" s="19" t="str">
        <x:v>4168</x:v>
      </x:c>
      <x:c r="B242" s="19" t="str">
        <x:v>10009</x:v>
      </x:c>
      <x:c r="C242" s="19" t="str">
        <x:v>Strömsbro Dykes</x:v>
      </x:c>
      <x:c r="D242" s="19" t="str"/>
      <x:c r="E242" s="19" t="str">
        <x:v>ABSTAIN_INSUFFICIENT</x:v>
      </x:c>
      <x:c r="F242" s="19" t="str"/>
      <x:c r="G242" s="19" t="str">
        <x:v>PAPER_ROW_MATCH</x:v>
      </x:c>
      <x:c r="H242" s="19" t="str">
        <x:v>locator_pole</x:v>
      </x:c>
      <x:c r="I242" s="19" t="n">
        <x:v>14</x:v>
      </x:c>
      <x:c r="J242" s="19" t="str">
        <x:v>result_locator</x:v>
      </x:c>
      <x:c r="K242" s="19" t="str">
        <x:v>MS graben together with Jotnian sediments, which are partly assimilated to of the granite reveal a predominantly magnetic foliation with steeply the sill, indicating a Post Jotnian age for the sill. The dyke S04 and sill dipping foliation planes and nearly vertical directions of the axis of data are not included in any mean calculations for the rapakivi complex. maximum susceptibility, possibly reflecting the flow direction of The mean for the Stro¨msbro rapakivi complex is calculated from magma. rapakivi related dykes at four sites (Table 3) at D: 13◦, I:–22◦(α 95: 16◦, Paleomagnetic results of the Ro¨do¨ rapakivi complex are listed in k: 35) (Fig. 10) yielding a paleomagnetic pole at Plat: 18◦N, Plong: Table 4, and representative demagnetization behaviors are illustrated in 184◦E (A95: 15◦, K: 38, with N: 35, B: 4) (Fig. 11, Table 3). A ChRM in Fig. 9. For the basic dykes, thermal dema</x:v>
      </x:c>
      <x:c r="L242" s="19" t="str">
        <x:v>/Users/lihd/discovery/paleomagnetic-r3-workflow/dist/paleomagnetic-r357-calibrated-workflow-full/data/parsed_mds/4168.txt</x:v>
      </x:c>
    </x:row>
    <x:row r="243" ht="52" customHeight="1">
      <x:c r="A243" s="19" t="str">
        <x:v>4168</x:v>
      </x:c>
      <x:c r="B243" s="19" t="str">
        <x:v>10009</x:v>
      </x:c>
      <x:c r="C243" s="19" t="str">
        <x:v>Strömsbro Dykes</x:v>
      </x:c>
      <x:c r="D243" s="19" t="str"/>
      <x:c r="E243" s="19" t="str">
        <x:v>ABSTAIN_INSUFFICIENT</x:v>
      </x:c>
      <x:c r="F243" s="19" t="str"/>
      <x:c r="G243" s="19" t="str">
        <x:v>PAPER_ROW_MATCH</x:v>
      </x:c>
      <x:c r="H243" s="19" t="str">
        <x:v>locator_pole</x:v>
      </x:c>
      <x:c r="I243" s="19" t="n">
        <x:v>20</x:v>
      </x:c>
      <x:c r="J243" s="19" t="str">
        <x:v>result_locator</x:v>
      </x:c>
      <x:c r="K243" s="19" t="str">
        <x:v>minen et al. (2014b) R1 1 1 1 1 1 1 7 (2014b) 1575.9 ±3 Kopparn¨as dykes 60 20 1645 ±5; g Vaasjoki (1977), Kosunen 1640 C 17 98 027 01 7 27 27 173 5 R0 1 1 0 1 0 1 4 ** this work, , see 1640 ±14 (2004) Table 2 age from Obn¨ass rapakivi granite Ragunda-dykes group 2 63 16 1505 ±12, g Persson (1999) 1514 C 20 122 020 49 11 10 56 163 11 R1 1 1 1 1 0 1 6 ** this work, see +host Table 2 1514 ±5 Ragunda-dykes group 1* 63 16 C 12 63 003 (cid:0) 24 19 6 13 194 14.9 R0 1 1 1 1 1 1 5 ** this work Stro¨msbro rapakivi* 61 17 1500 ±19 g Andersson (1997b) 1500 N 1 5 017 (cid:0) 49 17 21 (cid:0) 01 182 18.4 R0 0 1 0 1 0 0 2 ** this work Stro¨msbro dykes* 61 17 g Andersson (1997b) 1500 N 4 35 013 –22 16 35 18 184 15.1 R0 0 0 0 1 0 1 2 ** this work Ro¨do¨ rapakivi* 62 18 1497 ±6 g Andersson et al. (2001) 1497 N 1 20 024 (cid:0) 35 6 36 06 175 4.8 R1 0 1 1 1 0 1 5 ** this work Ro¨do¨ dykes 62 18 Andersson</x:v>
      </x:c>
      <x:c r="L243" s="19" t="str">
        <x:v>/Users/lihd/discovery/paleomagnetic-r3-workflow/dist/paleomagnetic-r357-calibrated-workflow-full/data/parsed_mds/4168.txt</x:v>
      </x:c>
    </x:row>
    <x:row r="244" ht="52" customHeight="1">
      <x:c r="A244" s="19" t="str">
        <x:v>4168</x:v>
      </x:c>
      <x:c r="B244" s="19" t="str">
        <x:v>10009</x:v>
      </x:c>
      <x:c r="C244" s="19" t="str">
        <x:v>Strömsbro Dykes</x:v>
      </x:c>
      <x:c r="D244" s="19" t="str"/>
      <x:c r="E244" s="19" t="str">
        <x:v>ABSTAIN_INSUFFICIENT</x:v>
      </x:c>
      <x:c r="F244" s="19" t="str"/>
      <x:c r="G244" s="19" t="str">
        <x:v>PAPER_ROW_MATCH</x:v>
      </x:c>
      <x:c r="H244" s="19" t="str">
        <x:v>locator_pole</x:v>
      </x:c>
      <x:c r="I244" s="19" t="n">
        <x:v>20</x:v>
      </x:c>
      <x:c r="J244" s="19" t="str">
        <x:v>result_locator</x:v>
      </x:c>
      <x:c r="K244" s="19" t="str">
        <x:v>en et al. (2014b) R1 1 1 1 1 1 1 7 (2014b) 1575.9 ±3 Kopparn¨as dykes 60 20 1645 ±5; g Vaasjoki (1977), Kosunen 1640 C 17 98 027 01 7 27 27 173 5 R0 1 1 0 1 0 1 4 ** this work, , see 1640 ±14 (2004) Table 2 age from Obn¨ass rapakivi granite Ragunda-dykes group 2 63 16 1505 ±12, g Persson (1999) 1514 C 20 122 020 49 11 10 56 163 11 R1 1 1 1 1 0 1 6 ** this work, see +host Table 2 1514 ±5 Ragunda-dykes group 1* 63 16 C 12 63 003 (cid:0) 24 19 6 13 194 14.9 R0 1 1 1 1 1 1 5 ** this work Stro¨msbro rapakivi* 61 17 1500 ±19 g Andersson (1997b) 1500 N 1 5 017 (cid:0) 49 17 21 (cid:0) 01 182 18.4 R0 0 1 0 1 0 0 2 ** this work Stro¨msbro dykes* 61 17 g Andersson (1997b) 1500 N 4 35 013 –22 16 35 18 184 15.1 R0 0 0 0 1 0 1 2 ** this work Ro¨do¨ rapakivi* 62 18 1497 ±6 g Andersson et al. (2001) 1497 N 1 20 024 (cid:0) 35 6 36 06 175 4.8 R1 0 1 1 1 0 1 5 ** this work Ro¨do¨ dykes 62 18 Andersson et</x:v>
      </x:c>
      <x:c r="L244" s="19" t="str">
        <x:v>/Users/lihd/discovery/paleomagnetic-r3-workflow/dist/paleomagnetic-r357-calibrated-workflow-full/data/parsed_mds/4168.txt</x:v>
      </x:c>
    </x:row>
    <x:row r="245" ht="52" customHeight="1">
      <x:c r="A245" s="19" t="str">
        <x:v>4168</x:v>
      </x:c>
      <x:c r="B245" s="19" t="str">
        <x:v>10010</x:v>
      </x:c>
      <x:c r="C245" s="19" t="str">
        <x:v>Rödö Rapakivi Complex</x:v>
      </x:c>
      <x:c r="D245" s="19" t="str"/>
      <x:c r="E245" s="19" t="str">
        <x:v>ABSTAIN_INSUFFICIENT</x:v>
      </x:c>
      <x:c r="F245" s="19" t="str"/>
      <x:c r="G245" s="19" t="str">
        <x:v>PAPER_ROW_MATCH</x:v>
      </x:c>
      <x:c r="H245" s="19" t="str">
        <x:v>locator_direction</x:v>
      </x:c>
      <x:c r="I245" s="19" t="n">
        <x:v>16</x:v>
      </x:c>
      <x:c r="J245" s="19" t="str">
        <x:v>result_locator</x:v>
      </x:c>
      <x:c r="K245" s="19" t="str">
        <x:v>are illustrated in similar ChRM direction is obtained in unbaked granite at the sites RD02 Fig. 9. For the basic dykes both AF and thermal demagnetization were and RD03 (Figs. 9 and 10; Table 4). In general, the ChRM of both baked isolating a ChRM with coercivities and unblocking temperatures typical and unbaked granite is best isolated by thermal demagnetization with for magnetite (Fig. 9). Four dykes show normal polarity north- unblocking temperatures typical for magnetite generally with MAD &lt; northeasterly ChRM direction with both up- and downward pointing 8◦. The mean ChRM from 1497 ±6 Ma (Andersson et al., 2001) granite shallow inclinations (Figs. 9 and 10) with MAD &lt;9◦. sites is at D: 24◦, I:-35◦(α 95: 6◦, k: 36) yielding a paleomagnetic pole at The natural remanent magnetization (NRM) of the basic dykes Plat: 6◦N, Plong: 175◦E (A95: 5◦, K: 47, with N: 20) (Figs. 10 and 11, sometim</x:v>
      </x:c>
      <x:c r="L245" s="19" t="str">
        <x:v>/Users/lihd/discovery/paleomagnetic-r3-workflow/dist/paleomagnetic-r357-calibrated-workflow-full/data/parsed_mds/4168.txt</x:v>
      </x:c>
    </x:row>
    <x:row r="246" ht="52" customHeight="1">
      <x:c r="A246" s="19" t="str">
        <x:v>4168</x:v>
      </x:c>
      <x:c r="B246" s="19" t="str">
        <x:v>10010</x:v>
      </x:c>
      <x:c r="C246" s="19" t="str">
        <x:v>Rödö Rapakivi Complex</x:v>
      </x:c>
      <x:c r="D246" s="19" t="str"/>
      <x:c r="E246" s="19" t="str">
        <x:v>ABSTAIN_INSUFFICIENT</x:v>
      </x:c>
      <x:c r="F246" s="19" t="str"/>
      <x:c r="G246" s="19" t="str">
        <x:v>PAPER_ROW_MATCH</x:v>
      </x:c>
      <x:c r="H246" s="19" t="str">
        <x:v>locator_pole</x:v>
      </x:c>
      <x:c r="I246" s="19" t="n">
        <x:v>16</x:v>
      </x:c>
      <x:c r="J246" s="19" t="str">
        <x:v>result_locator</x:v>
      </x:c>
      <x:c r="K246" s="19" t="str">
        <x:v>n similar ChRM direction is obtained in unbaked granite at the sites RD02 Fig. 9. For the basic dykes both AF and thermal demagnetization were and RD03 (Figs. 9 and 10; Table 4). In general, the ChRM of both baked isolating a ChRM with coercivities and unblocking temperatures typical and unbaked granite is best isolated by thermal demagnetization with for magnetite (Fig. 9). Four dykes show normal polarity north- unblocking temperatures typical for magnetite generally with MAD &lt; northeasterly ChRM direction with both up- and downward pointing 8◦. The mean ChRM from 1497 ±6 Ma (Andersson et al., 2001) granite shallow inclinations (Figs. 9 and 10) with MAD &lt;9◦. sites is at D: 24◦, I:-35◦(α 95: 6◦, k: 36) yielding a paleomagnetic pole at The natural remanent magnetization (NRM) of the basic dykes Plat: 6◦N, Plong: 175◦E (A95: 5◦, K: 47, with N: 20) (Figs. 10 and 11, sometimes includes only </x:v>
      </x:c>
      <x:c r="L246" s="19" t="str">
        <x:v>/Users/lihd/discovery/paleomagnetic-r3-workflow/dist/paleomagnetic-r357-calibrated-workflow-full/data/parsed_mds/4168.txt</x:v>
      </x:c>
    </x:row>
    <x:row r="247" ht="52" customHeight="1">
      <x:c r="A247" s="19" t="str">
        <x:v>4168</x:v>
      </x:c>
      <x:c r="B247" s="19" t="str">
        <x:v>10010</x:v>
      </x:c>
      <x:c r="C247" s="19" t="str">
        <x:v>Rödö Rapakivi Complex</x:v>
      </x:c>
      <x:c r="D247" s="19" t="str"/>
      <x:c r="E247" s="19" t="str">
        <x:v>ABSTAIN_INSUFFICIENT</x:v>
      </x:c>
      <x:c r="F247" s="19" t="str"/>
      <x:c r="G247" s="19" t="str">
        <x:v>PAPER_ROW_MATCH</x:v>
      </x:c>
      <x:c r="H247" s="19" t="str">
        <x:v>locator_pole</x:v>
      </x:c>
      <x:c r="I247" s="19" t="n">
        <x:v>20</x:v>
      </x:c>
      <x:c r="J247" s="19" t="str">
        <x:v>result_locator</x:v>
      </x:c>
      <x:c r="K247" s="19" t="str">
        <x:v>s 60 20 1645 ±5; g Vaasjoki (1977), Kosunen 1640 C 17 98 027 01 7 27 27 173 5 R0 1 1 0 1 0 1 4 ** this work, , see 1640 ±14 (2004) Table 2 age from Obn¨ass rapakivi granite Ragunda-dykes group 2 63 16 1505 ±12, g Persson (1999) 1514 C 20 122 020 49 11 10 56 163 11 R1 1 1 1 1 0 1 6 ** this work, see +host Table 2 1514 ±5 Ragunda-dykes group 1* 63 16 C 12 63 003 (cid:0) 24 19 6 13 194 14.9 R0 1 1 1 1 1 1 5 ** this work Stro¨msbro rapakivi* 61 17 1500 ±19 g Andersson (1997b) 1500 N 1 5 017 (cid:0) 49 17 21 (cid:0) 01 182 18.4 R0 0 1 0 1 0 0 2 ** this work Stro¨msbro dykes* 61 17 g Andersson (1997b) 1500 N 4 35 013 –22 16 35 18 184 15.1 R0 0 0 0 1 0 1 2 ** this work Ro¨do¨ rapakivi* 62 18 1497 ±6 g Andersson et al. (2001) 1497 N 1 20 024 (cid:0) 35 6 36 06 175 4.8 R1 0 1 1 1 0 1 5 ** this work Ro¨do¨ dykes 62 18 Andersson et al. (2001) 1497 R 7 55 178 (cid:0) 27 11 34 42 201 8.4 R0 0 1 1 1 0</x:v>
      </x:c>
      <x:c r="L247" s="19" t="str">
        <x:v>/Users/lihd/discovery/paleomagnetic-r3-workflow/dist/paleomagnetic-r357-calibrated-workflow-full/data/parsed_mds/4168.txt</x:v>
      </x:c>
    </x:row>
    <x:row r="248" ht="52" customHeight="1">
      <x:c r="A248" s="19" t="str">
        <x:v>4168</x:v>
      </x:c>
      <x:c r="B248" s="19" t="str">
        <x:v>10011</x:v>
      </x:c>
      <x:c r="C248" s="19" t="str">
        <x:v>Rödö Dykes</x:v>
      </x:c>
      <x:c r="D248" s="19" t="str"/>
      <x:c r="E248" s="19" t="str">
        <x:v>ABSTAIN_INSUFFICIENT</x:v>
      </x:c>
      <x:c r="F248" s="19" t="str"/>
      <x:c r="G248" s="19" t="str">
        <x:v>PAPER_ROW_MATCH</x:v>
      </x:c>
      <x:c r="H248" s="19" t="str">
        <x:v>locator_pole</x:v>
      </x:c>
      <x:c r="I248" s="19" t="n">
        <x:v>20</x:v>
      </x:c>
      <x:c r="J248" s="19" t="str">
        <x:v>result_locator</x:v>
      </x:c>
      <x:c r="K248" s="19" t="str">
        <x:v>nda-dykes group 2 63 16 1505 ±12, g Persson (1999) 1514 C 20 122 020 49 11 10 56 163 11 R1 1 1 1 1 0 1 6 ** this work, see +host Table 2 1514 ±5 Ragunda-dykes group 1* 63 16 C 12 63 003 (cid:0) 24 19 6 13 194 14.9 R0 1 1 1 1 1 1 5 ** this work Stro¨msbro rapakivi* 61 17 1500 ±19 g Andersson (1997b) 1500 N 1 5 017 (cid:0) 49 17 21 (cid:0) 01 182 18.4 R0 0 1 0 1 0 0 2 ** this work Stro¨msbro dykes* 61 17 g Andersson (1997b) 1500 N 4 35 013 –22 16 35 18 184 15.1 R0 0 0 0 1 0 1 2 ** this work Ro¨do¨ rapakivi* 62 18 1497 ±6 g Andersson et al. (2001) 1497 N 1 20 024 (cid:0) 35 6 36 06 175 4.8 R1 0 1 1 1 0 1 5 ** this work Ro¨do¨ dykes 62 18 Andersson et al. (2001) 1497 R 7 55 178 (cid:0) 27 11 34 42 201 8.4 R0 0 1 1 1 0 1 4 ** this work Noran 60 15 1469 ±10 g Claesson and Kresten 1469 N 4 31 015 00 19 24 28 179 10.9 R1 0 1 0 1 0 1 4 ** this work (1997) *R-polarity Mean 1500 62 17 R 5 27 351 (c</x:v>
      </x:c>
      <x:c r="L248" s="19" t="str">
        <x:v>/Users/lihd/discovery/paleomagnetic-r3-workflow/dist/paleomagnetic-r357-calibrated-workflow-full/data/parsed_mds/4168.txt</x:v>
      </x:c>
    </x:row>
    <x:row r="249" ht="52" customHeight="1">
      <x:c r="A249" s="19" t="str">
        <x:v>4168</x:v>
      </x:c>
      <x:c r="B249" s="19" t="str">
        <x:v>10012</x:v>
      </x:c>
      <x:c r="C249" s="19" t="str">
        <x:v>Noran Rapakivi Complex</x:v>
      </x:c>
      <x:c r="D249" s="19" t="str"/>
      <x:c r="E249" s="19" t="str">
        <x:v>PRESENT</x:v>
      </x:c>
      <x:c r="F249" s="19" t="str">
        <x:v>SUSC-T(MAGN,TM,PYRR)</x:v>
      </x:c>
      <x:c r="G249" s="19" t="str">
        <x:v>PAPER_ROW_MATCH</x:v>
      </x:c>
      <x:c r="H249" s="19" t="str">
        <x:v>method</x:v>
      </x:c>
      <x:c r="I249" s="19" t="n">
        <x:v>5</x:v>
      </x:c>
      <x:c r="J249" s="19" t="str">
        <x:v>near_target</x:v>
      </x:c>
      <x:c r="K249" s="19" t="str">
        <x:v>Temperature dependence of low-field magnetic susceptibility</x:v>
      </x:c>
      <x:c r="L249" s="19" t="str">
        <x:v>/Users/lihd/discovery/paleomagnetic-r3-workflow/dist/paleomagnetic-r357-calibrated-workflow-full/data/parsed_mds/4168.txt</x:v>
      </x:c>
    </x:row>
    <x:row r="250" ht="52" customHeight="1">
      <x:c r="A250" s="19" t="str">
        <x:v>4168</x:v>
      </x:c>
      <x:c r="B250" s="19" t="str">
        <x:v>10012</x:v>
      </x:c>
      <x:c r="C250" s="19" t="str">
        <x:v>Noran Rapakivi Complex</x:v>
      </x:c>
      <x:c r="D250" s="19" t="str"/>
      <x:c r="E250" s="19" t="str">
        <x:v>PRESENT</x:v>
      </x:c>
      <x:c r="F250" s="19" t="str">
        <x:v>SUSC-T(MAGN,TM,PYRR)</x:v>
      </x:c>
      <x:c r="G250" s="19" t="str">
        <x:v>PAPER_ROW_MATCH</x:v>
      </x:c>
      <x:c r="H250" s="19" t="str">
        <x:v>carrier</x:v>
      </x:c>
      <x:c r="I250" s="19" t="n">
        <x:v>6</x:v>
      </x:c>
      <x:c r="J250" s="19" t="str">
        <x:v>near_target</x:v>
      </x:c>
      <x:c r="K250" s="19" t="str">
        <x:v>magnetite</x:v>
      </x:c>
      <x:c r="L250" s="19" t="str">
        <x:v>/Users/lihd/discovery/paleomagnetic-r3-workflow/dist/paleomagnetic-r357-calibrated-workflow-full/data/parsed_mds/4168.txt</x:v>
      </x:c>
    </x:row>
    <x:row r="251" ht="52" customHeight="1">
      <x:c r="A251" s="19" t="str">
        <x:v>4168</x:v>
      </x:c>
      <x:c r="B251" s="19" t="str">
        <x:v>10012</x:v>
      </x:c>
      <x:c r="C251" s="19" t="str">
        <x:v>Noran Rapakivi Complex</x:v>
      </x:c>
      <x:c r="D251" s="19" t="str"/>
      <x:c r="E251" s="19" t="str">
        <x:v>PRESENT</x:v>
      </x:c>
      <x:c r="F251" s="19" t="str">
        <x:v>SUSC-T(MAGN,TM,PYRR)</x:v>
      </x:c>
      <x:c r="G251" s="19" t="str">
        <x:v>PAPER_ROW_MATCH</x:v>
      </x:c>
      <x:c r="H251" s="19" t="str">
        <x:v>carrier</x:v>
      </x:c>
      <x:c r="I251" s="19" t="n">
        <x:v>6</x:v>
      </x:c>
      <x:c r="J251" s="19" t="str">
        <x:v>near_target</x:v>
      </x:c>
      <x:c r="K251" s="19" t="str">
        <x:v>titanomagnetite</x:v>
      </x:c>
      <x:c r="L251" s="19" t="str">
        <x:v>/Users/lihd/discovery/paleomagnetic-r3-workflow/dist/paleomagnetic-r357-calibrated-workflow-full/data/parsed_mds/4168.txt</x:v>
      </x:c>
    </x:row>
    <x:row r="252" ht="52" customHeight="1">
      <x:c r="A252" s="19" t="str">
        <x:v>4168</x:v>
      </x:c>
      <x:c r="B252" s="19" t="str">
        <x:v>10012</x:v>
      </x:c>
      <x:c r="C252" s="19" t="str">
        <x:v>Noran Rapakivi Complex</x:v>
      </x:c>
      <x:c r="D252" s="19" t="str"/>
      <x:c r="E252" s="19" t="str">
        <x:v>PRESENT</x:v>
      </x:c>
      <x:c r="F252" s="19" t="str">
        <x:v>SUSC-T(MAGN,TM,PYRR)</x:v>
      </x:c>
      <x:c r="G252" s="19" t="str">
        <x:v>PAPER_ROW_MATCH</x:v>
      </x:c>
      <x:c r="H252" s="19" t="str">
        <x:v>carrier</x:v>
      </x:c>
      <x:c r="I252" s="19" t="n">
        <x:v>6</x:v>
      </x:c>
      <x:c r="J252" s="19" t="str">
        <x:v>target_context</x:v>
      </x:c>
      <x:c r="K252" s="19" t="str">
        <x:v>pyrrhotite</x:v>
      </x:c>
      <x:c r="L252" s="19" t="str">
        <x:v>/Users/lihd/discovery/paleomagnetic-r3-workflow/dist/paleomagnetic-r357-calibrated-workflow-full/data/parsed_mds/4168.txt</x:v>
      </x:c>
    </x:row>
    <x:row r="253" ht="52" customHeight="1">
      <x:c r="A253" s="19" t="str">
        <x:v>4168</x:v>
      </x:c>
      <x:c r="B253" s="19" t="str">
        <x:v>10012</x:v>
      </x:c>
      <x:c r="C253" s="19" t="str">
        <x:v>Noran Rapakivi Complex</x:v>
      </x:c>
      <x:c r="D253" s="19" t="str"/>
      <x:c r="E253" s="19" t="str">
        <x:v>PRESENT</x:v>
      </x:c>
      <x:c r="F253" s="19" t="str">
        <x:v>SUSC-T(MAGN,TM,PYRR)</x:v>
      </x:c>
      <x:c r="G253" s="19" t="str">
        <x:v>PAPER_ROW_MATCH</x:v>
      </x:c>
      <x:c r="H253" s="19" t="str">
        <x:v>method</x:v>
      </x:c>
      <x:c r="I253" s="19" t="n">
        <x:v>6</x:v>
      </x:c>
      <x:c r="J253" s="19" t="str">
        <x:v>near_target</x:v>
      </x:c>
      <x:c r="K253" s="19" t="str">
        <x:v>single-domain</x:v>
      </x:c>
      <x:c r="L253" s="19" t="str">
        <x:v>/Users/lihd/discovery/paleomagnetic-r3-workflow/dist/paleomagnetic-r357-calibrated-workflow-full/data/parsed_mds/4168.txt</x:v>
      </x:c>
    </x:row>
    <x:row r="254" ht="52" customHeight="1">
      <x:c r="A254" s="19" t="str">
        <x:v>4168</x:v>
      </x:c>
      <x:c r="B254" s="19" t="str">
        <x:v>10012</x:v>
      </x:c>
      <x:c r="C254" s="19" t="str">
        <x:v>Noran Rapakivi Complex</x:v>
      </x:c>
      <x:c r="D254" s="19" t="str"/>
      <x:c r="E254" s="19" t="str">
        <x:v>PRESENT</x:v>
      </x:c>
      <x:c r="F254" s="19" t="str">
        <x:v>SUSC-T(MAGN,TM,PYRR)</x:v>
      </x:c>
      <x:c r="G254" s="19" t="str">
        <x:v>PAPER_ROW_MATCH</x:v>
      </x:c>
      <x:c r="H254" s="19" t="str">
        <x:v>diagnostic</x:v>
      </x:c>
      <x:c r="I254" s="19" t="n">
        <x:v>6</x:v>
      </x:c>
      <x:c r="J254" s="19" t="str">
        <x:v>same_target_page</x:v>
      </x:c>
      <x:c r="K254" s="19" t="str">
        <x:v>not saturated by 1.5 T</x:v>
      </x:c>
      <x:c r="L254" s="19" t="str">
        <x:v>/Users/lihd/discovery/paleomagnetic-r3-workflow/dist/paleomagnetic-r357-calibrated-workflow-full/data/parsed_mds/4168.txt</x:v>
      </x:c>
    </x:row>
    <x:row r="255" ht="52" customHeight="1">
      <x:c r="A255" s="19" t="str">
        <x:v>4168</x:v>
      </x:c>
      <x:c r="B255" s="19" t="str">
        <x:v>10012</x:v>
      </x:c>
      <x:c r="C255" s="19" t="str">
        <x:v>Noran Rapakivi Complex</x:v>
      </x:c>
      <x:c r="D255" s="19" t="str"/>
      <x:c r="E255" s="19" t="str">
        <x:v>PRESENT</x:v>
      </x:c>
      <x:c r="F255" s="19" t="str">
        <x:v>SUSC-T(MAGN,TM,PYRR)</x:v>
      </x:c>
      <x:c r="G255" s="19" t="str">
        <x:v>PAPER_ROW_MATCH</x:v>
      </x:c>
      <x:c r="H255" s="19" t="str">
        <x:v>locator_pole</x:v>
      </x:c>
      <x:c r="I255" s="19" t="n">
        <x:v>16</x:v>
      </x:c>
      <x:c r="J255" s="19" t="str">
        <x:v>result_locator</x:v>
      </x:c>
      <x:c r="K255" s="19" t="str">
        <x:v>s (MDFs) as low as 7 mT. Harder magnetization com- The mean ChRM direction for the Ro¨do¨ granite is well off from ponents are found in part of the samples with MDFs up to 90 mT. NRM of known 1270 Ma direction (Fig. 10, Table 4). However, the observation, the samples with a dominant soft component is often close to that of the that the error limit of the mean ChRM from four samples on granite at PEF direction (D: 6◦, I: 75◦). The mean for four well-defined site means site RD03 overlaps with both the mean granite and the 1270 Ma di- of basic dyke is D: 15◦, I: (cid:0) 1◦(α 95: 19◦, k: 24) yielding a paleomagnetic rections, may argue for a selective 1270 Ma remagnetization of the pole at Plat: 28◦N, Plong: 179◦E (A95: 11◦, K: 72, with N: 31, B: 4) granite (Table 4, Fig. 10). The origin of such remagnetization may be in (Figs. 10 and 11, Table 5). different porosities and fluids related wit</x:v>
      </x:c>
      <x:c r="L255" s="19" t="str">
        <x:v>/Users/lihd/discovery/paleomagnetic-r3-workflow/dist/paleomagnetic-r357-calibrated-workflow-full/data/parsed_mds/4168.txt</x:v>
      </x:c>
    </x:row>
    <x:row r="256" ht="52" customHeight="1">
      <x:c r="A256" s="19" t="str">
        <x:v>4168</x:v>
      </x:c>
      <x:c r="B256" s="19" t="str">
        <x:v>10012</x:v>
      </x:c>
      <x:c r="C256" s="19" t="str">
        <x:v>Noran Rapakivi Complex</x:v>
      </x:c>
      <x:c r="D256" s="19" t="str"/>
      <x:c r="E256" s="19" t="str">
        <x:v>PRESENT</x:v>
      </x:c>
      <x:c r="F256" s="19" t="str">
        <x:v>SUSC-T(MAGN,TM,PYRR)</x:v>
      </x:c>
      <x:c r="G256" s="19" t="str">
        <x:v>PAPER_ROW_MATCH</x:v>
      </x:c>
      <x:c r="H256" s="19" t="str">
        <x:v>locator_pole</x:v>
      </x:c>
      <x:c r="I256" s="19" t="n">
        <x:v>20</x:v>
      </x:c>
      <x:c r="J256" s="19" t="str">
        <x:v>result_locator</x:v>
      </x:c>
      <x:c r="K256" s="19" t="str">
        <x:v>is work, see +host Table 2 1514 ±5 Ragunda-dykes group 1* 63 16 C 12 63 003 (cid:0) 24 19 6 13 194 14.9 R0 1 1 1 1 1 1 5 ** this work Stro¨msbro rapakivi* 61 17 1500 ±19 g Andersson (1997b) 1500 N 1 5 017 (cid:0) 49 17 21 (cid:0) 01 182 18.4 R0 0 1 0 1 0 0 2 ** this work Stro¨msbro dykes* 61 17 g Andersson (1997b) 1500 N 4 35 013 –22 16 35 18 184 15.1 R0 0 0 0 1 0 1 2 ** this work Ro¨do¨ rapakivi* 62 18 1497 ±6 g Andersson et al. (2001) 1497 N 1 20 024 (cid:0) 35 6 36 06 175 4.8 R1 0 1 1 1 0 1 5 ** this work Ro¨do¨ dykes 62 18 Andersson et al. (2001) 1497 R 7 55 178 (cid:0) 27 11 34 42 201 8.4 R0 0 1 1 1 0 1 4 ** this work Noran 60 15 1469 ±10 g Claesson and Kresten 1469 N 4 31 015 00 19 24 28 179 10.9 R1 0 1 0 1 0 1 4 ** this work (1997) *R-polarity Mean 1500 62 17 R 5 27 351 (cid:0) 31 34 6 07 206 23 ** this work (Ragunda- dykes group 1, R- polarity) *N-polarity Mean 1500 62 17 N 13 96</x:v>
      </x:c>
      <x:c r="L256" s="19" t="str">
        <x:v>/Users/lihd/discovery/paleomagnetic-r3-workflow/dist/paleomagnetic-r357-calibrated-workflow-full/data/parsed_mds/4168.txt</x:v>
      </x:c>
    </x:row>
    <x:row r="257" ht="52" customHeight="1">
      <x:c r="A257" s="19" t="str">
        <x:v>4298</x:v>
      </x:c>
      <x:c r="B257" s="19" t="str">
        <x:v>10189</x:v>
      </x:c>
      <x:c r="C257" s="19" t="str">
        <x:v>Gzhelian Sediments</x:v>
      </x:c>
      <x:c r="D257" s="19" t="str">
        <x:v>Component C3</x:v>
      </x:c>
      <x:c r="E257" s="19" t="str">
        <x:v>PRESENT</x:v>
      </x:c>
      <x:c r="F257" s="19" t="str">
        <x:v>SUSC-T,OP(MAGN,HEM)</x:v>
      </x:c>
      <x:c r="G257" s="19" t="str">
        <x:v>PAPER_ROW_MATCH</x:v>
      </x:c>
      <x:c r="H257" s="19" t="str">
        <x:v>method</x:v>
      </x:c>
      <x:c r="I257" s="19" t="n">
        <x:v>4</x:v>
      </x:c>
      <x:c r="J257" s="19" t="str">
        <x:v>target_same_sentence</x:v>
      </x:c>
      <x:c r="K257" s="19" t="str">
        <x:v>Magnetic susceptibility measurements (the Gzhelian stage of the Carboniferous) (Fig. 3a, were conducted by KLY-3 kappabridge (AGICO, Czech sample 6049), one magnetic phase with the Curie Republic) and the analysis of the temperature depen- point of 560–580°C probably corresponding to non- dence of the magnetic susceptibility on a MFK-1-FA stoichiometric magnetite is isolated.</x:v>
      </x:c>
      <x:c r="L257" s="19" t="str">
        <x:v>/Users/lihd/discovery/paleomagnetic-r3-workflow/dist/paleomagnetic-r357-calibrated-workflow-full/data/parsed_mds/4298.txt</x:v>
      </x:c>
    </x:row>
    <x:row r="258" ht="52" customHeight="1">
      <x:c r="A258" s="19" t="str">
        <x:v>4298</x:v>
      </x:c>
      <x:c r="B258" s="19" t="str">
        <x:v>10189</x:v>
      </x:c>
      <x:c r="C258" s="19" t="str">
        <x:v>Gzhelian Sediments</x:v>
      </x:c>
      <x:c r="D258" s="19" t="str">
        <x:v>Component C3</x:v>
      </x:c>
      <x:c r="E258" s="19" t="str">
        <x:v>PRESENT</x:v>
      </x:c>
      <x:c r="F258" s="19" t="str">
        <x:v>SUSC-T,OP(MAGN,HEM)</x:v>
      </x:c>
      <x:c r="G258" s="19" t="str">
        <x:v>PAPER_ROW_MATCH</x:v>
      </x:c>
      <x:c r="H258" s="19" t="str">
        <x:v>method</x:v>
      </x:c>
      <x:c r="I258" s="19" t="n">
        <x:v>6</x:v>
      </x:c>
      <x:c r="J258" s="19" t="str">
        <x:v>target_context</x:v>
      </x:c>
      <x:c r="K258" s="19" t="str">
        <x:v>thin section</x:v>
      </x:c>
      <x:c r="L258" s="19" t="str">
        <x:v>/Users/lihd/discovery/paleomagnetic-r3-workflow/dist/paleomagnetic-r357-calibrated-workflow-full/data/parsed_mds/4298.txt</x:v>
      </x:c>
    </x:row>
    <x:row r="259" ht="52" customHeight="1">
      <x:c r="A259" s="19" t="str">
        <x:v>4298</x:v>
      </x:c>
      <x:c r="B259" s="19" t="str">
        <x:v>10189</x:v>
      </x:c>
      <x:c r="C259" s="19" t="str">
        <x:v>Gzhelian Sediments</x:v>
      </x:c>
      <x:c r="D259" s="19" t="str">
        <x:v>Component C3</x:v>
      </x:c>
      <x:c r="E259" s="19" t="str">
        <x:v>PRESENT</x:v>
      </x:c>
      <x:c r="F259" s="19" t="str">
        <x:v>SUSC-T,OP(MAGN,HEM)</x:v>
      </x:c>
      <x:c r="G259" s="19" t="str">
        <x:v>PAPER_ROW_MATCH</x:v>
      </x:c>
      <x:c r="H259" s="19" t="str">
        <x:v>method</x:v>
      </x:c>
      <x:c r="I259" s="19" t="n">
        <x:v>4</x:v>
      </x:c>
      <x:c r="J259" s="19" t="str">
        <x:v>same_target_page</x:v>
      </x:c>
      <x:c r="K259" s="19" t="str">
        <x:v>thin section</x:v>
      </x:c>
      <x:c r="L259" s="19" t="str">
        <x:v>/Users/lihd/discovery/paleomagnetic-r3-workflow/dist/paleomagnetic-r357-calibrated-workflow-full/data/parsed_mds/4298.txt</x:v>
      </x:c>
    </x:row>
    <x:row r="260" ht="52" customHeight="1">
      <x:c r="A260" s="19" t="str">
        <x:v>4298</x:v>
      </x:c>
      <x:c r="B260" s="19" t="str">
        <x:v>10189</x:v>
      </x:c>
      <x:c r="C260" s="19" t="str">
        <x:v>Gzhelian Sediments</x:v>
      </x:c>
      <x:c r="D260" s="19" t="str">
        <x:v>Component C3</x:v>
      </x:c>
      <x:c r="E260" s="19" t="str">
        <x:v>PRESENT</x:v>
      </x:c>
      <x:c r="F260" s="19" t="str">
        <x:v>SUSC-T,OP(MAGN,HEM)</x:v>
      </x:c>
      <x:c r="G260" s="19" t="str">
        <x:v>PAPER_ROW_MATCH</x:v>
      </x:c>
      <x:c r="H260" s="19" t="str">
        <x:v>carrier</x:v>
      </x:c>
      <x:c r="I260" s="19" t="n">
        <x:v>4</x:v>
      </x:c>
      <x:c r="J260" s="19" t="str">
        <x:v>target_same_sentence</x:v>
      </x:c>
      <x:c r="K260" s="19" t="str">
        <x:v>Magnetic susceptibility measurements (the Gzhelian stage of the Carboniferous) (Fig. 3a, were conducted by KLY-3 kappabridge (AGICO, Czech sample 6049), one magnetic phase with the Curie Republic) and the analysis of the temperature depen- point of 560–580°C probably corresponding to non- dence of the magnetic susceptibility on a MFK-1-FA stoichiometric magnetite is isolated.</x:v>
      </x:c>
      <x:c r="L260" s="19" t="str">
        <x:v>/Users/lihd/discovery/paleomagnetic-r3-workflow/dist/paleomagnetic-r357-calibrated-workflow-full/data/parsed_mds/4298.txt</x:v>
      </x:c>
    </x:row>
    <x:row r="261" ht="52" customHeight="1">
      <x:c r="A261" s="19" t="str">
        <x:v>4298</x:v>
      </x:c>
      <x:c r="B261" s="19" t="str">
        <x:v>10189</x:v>
      </x:c>
      <x:c r="C261" s="19" t="str">
        <x:v>Gzhelian Sediments</x:v>
      </x:c>
      <x:c r="D261" s="19" t="str">
        <x:v>Component C3</x:v>
      </x:c>
      <x:c r="E261" s="19" t="str">
        <x:v>PRESENT</x:v>
      </x:c>
      <x:c r="F261" s="19" t="str">
        <x:v>SUSC-T,OP(MAGN,HEM)</x:v>
      </x:c>
      <x:c r="G261" s="19" t="str">
        <x:v>PAPER_ROW_MATCH</x:v>
      </x:c>
      <x:c r="H261" s="19" t="str">
        <x:v>carrier</x:v>
      </x:c>
      <x:c r="I261" s="19" t="n">
        <x:v>6</x:v>
      </x:c>
      <x:c r="J261" s="19" t="str">
        <x:v>near_target</x:v>
      </x:c>
      <x:c r="K261" s="19" t="str">
        <x:v>hematite</x:v>
      </x:c>
      <x:c r="L261" s="19" t="str">
        <x:v>/Users/lihd/discovery/paleomagnetic-r3-workflow/dist/paleomagnetic-r357-calibrated-workflow-full/data/parsed_mds/4298.txt</x:v>
      </x:c>
    </x:row>
    <x:row r="262" ht="52" customHeight="1">
      <x:c r="A262" s="19" t="str">
        <x:v>4298</x:v>
      </x:c>
      <x:c r="B262" s="19" t="str">
        <x:v>10189</x:v>
      </x:c>
      <x:c r="C262" s="19" t="str">
        <x:v>Gzhelian Sediments</x:v>
      </x:c>
      <x:c r="D262" s="19" t="str">
        <x:v>Component C3</x:v>
      </x:c>
      <x:c r="E262" s="19" t="str">
        <x:v>PRESENT</x:v>
      </x:c>
      <x:c r="F262" s="19" t="str">
        <x:v>SUSC-T,OP(MAGN,HEM)</x:v>
      </x:c>
      <x:c r="G262" s="19" t="str">
        <x:v>PAPER_ROW_MATCH</x:v>
      </x:c>
      <x:c r="H262" s="19" t="str">
        <x:v>carrier</x:v>
      </x:c>
      <x:c r="I262" s="19" t="n">
        <x:v>4</x:v>
      </x:c>
      <x:c r="J262" s="19" t="str">
        <x:v>same_target_page</x:v>
      </x:c>
      <x:c r="K262" s="19" t="str">
        <x:v>hematite</x:v>
      </x:c>
      <x:c r="L262" s="19" t="str">
        <x:v>/Users/lihd/discovery/paleomagnetic-r3-workflow/dist/paleomagnetic-r357-calibrated-workflow-full/data/parsed_mds/4298.txt</x:v>
      </x:c>
    </x:row>
    <x:row r="263" ht="52" customHeight="1">
      <x:c r="A263" s="19" t="str">
        <x:v>4298</x:v>
      </x:c>
      <x:c r="B263" s="19" t="str">
        <x:v>10189</x:v>
      </x:c>
      <x:c r="C263" s="19" t="str">
        <x:v>Gzhelian Sediments</x:v>
      </x:c>
      <x:c r="D263" s="19" t="str">
        <x:v>Component C3</x:v>
      </x:c>
      <x:c r="E263" s="19" t="str">
        <x:v>PRESENT</x:v>
      </x:c>
      <x:c r="F263" s="19" t="str">
        <x:v>SUSC-T,OP(MAGN,HEM)</x:v>
      </x:c>
      <x:c r="G263" s="19" t="str">
        <x:v>PAPER_ROW_MATCH</x:v>
      </x:c>
      <x:c r="H263" s="19" t="str">
        <x:v>carrier</x:v>
      </x:c>
      <x:c r="I263" s="19" t="n">
        <x:v>4</x:v>
      </x:c>
      <x:c r="J263" s="19" t="str">
        <x:v>same_target_page</x:v>
      </x:c>
      <x:c r="K263" s="19" t="str">
        <x:v>Hematite</x:v>
      </x:c>
      <x:c r="L263" s="19" t="str">
        <x:v>/Users/lihd/discovery/paleomagnetic-r3-workflow/dist/paleomagnetic-r357-calibrated-workflow-full/data/parsed_mds/4298.txt</x:v>
      </x:c>
    </x:row>
    <x:row r="264" ht="52" customHeight="1">
      <x:c r="A264" s="19" t="str">
        <x:v>4298</x:v>
      </x:c>
      <x:c r="B264" s="19" t="str">
        <x:v>10189</x:v>
      </x:c>
      <x:c r="C264" s="19" t="str">
        <x:v>Gzhelian Sediments</x:v>
      </x:c>
      <x:c r="D264" s="19" t="str">
        <x:v>Component C3</x:v>
      </x:c>
      <x:c r="E264" s="19" t="str">
        <x:v>PRESENT</x:v>
      </x:c>
      <x:c r="F264" s="19" t="str">
        <x:v>SUSC-T,OP(MAGN,HEM)</x:v>
      </x:c>
      <x:c r="G264" s="19" t="str">
        <x:v>PAPER_ROW_MATCH</x:v>
      </x:c>
      <x:c r="H264" s="19" t="str">
        <x:v>locator_component</x:v>
      </x:c>
      <x:c r="I264" s="19" t="n">
        <x:v>6</x:v>
      </x:c>
      <x:c r="J264" s="19" t="str">
        <x:v>result_locator</x:v>
      </x:c>
      <x:c r="K264" s="19" t="str">
        <x:v>clusters of hematite grains of 1–10 μ m and oolite-like isolated grains up to 20 μ m. Areas delineated by boxes mark zone of microprobe analysis. Among the rocks of the Gzhelian age, there are The Visean and Serpukhovian rocks (Msta River) samples with single-component J and two-compo- have three J components. The first component, A, is n n nent J in the intermediate- and high-temperature identified in clays (Fig. 6, sample 014) in the tempera- n demagnetization intervals, as shown by the Zijderveld ture interval 100–300°C. In some limestones this plots (Fig. 6, samples 6048-2v and 6050-2v). The tem- component is isolated in the interval 200–675°С, perature interval of the isolation of the C3 component which is due to the complete remagnetization by the lies within 200–560° С. Component C0 is isolated in present geomagnetic field. The second component P is the interval 460–540° С. The di</x:v>
      </x:c>
      <x:c r="L264" s="19" t="str">
        <x:v>/Users/lihd/discovery/paleomagnetic-r3-workflow/dist/paleomagnetic-r357-calibrated-workflow-full/data/parsed_mds/4298.txt</x:v>
      </x:c>
    </x:row>
    <x:row r="265" ht="52" customHeight="1">
      <x:c r="A265" s="19" t="str">
        <x:v>4298</x:v>
      </x:c>
      <x:c r="B265" s="19" t="str">
        <x:v>10189</x:v>
      </x:c>
      <x:c r="C265" s="19" t="str">
        <x:v>Gzhelian Sediments</x:v>
      </x:c>
      <x:c r="D265" s="19" t="str">
        <x:v>Component C3</x:v>
      </x:c>
      <x:c r="E265" s="19" t="str">
        <x:v>PRESENT</x:v>
      </x:c>
      <x:c r="F265" s="19" t="str">
        <x:v>SUSC-T,OP(MAGN,HEM)</x:v>
      </x:c>
      <x:c r="G265" s="19" t="str">
        <x:v>PAPER_ROW_MATCH</x:v>
      </x:c>
      <x:c r="H265" s="19" t="str">
        <x:v>locator_direction</x:v>
      </x:c>
      <x:c r="I265" s="19" t="n">
        <x:v>9</x:v>
      </x:c>
      <x:c r="J265" s="19" t="str">
        <x:v>result_locator</x:v>
      </x:c>
      <x:c r="K265" s="19" t="str">
        <x:v>THE CARBONIFEROUS OF THE MOSCOW SYNECLISE 171 Table 2. Paleomagnetic directions and paleomagnetic poles for studied Carboniferous deposits J comp. (isolation No. Rock age n S.C. N/n D° I° K α° Φ,° Ν Λ,° Ε dp° dm° ϕ° intervals, °С) 95 m Moscow Region, Bun’kovski quarry, Shchelkovskii stratum, Gzhelian 1 С3 (300–540°С) s 5/10 225 –23 119 7 34 162 4 7 12 С g 2 3 C0 (460–540°С) s 4/4 240 –3 20 21 Gigant plant quarry, lower reaches of Moscow River, basal part of Kasimovian 3 С k С3 (300–540°С) s 3/5 231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x:v>
      </x:c>
      <x:c r="L265" s="19" t="str">
        <x:v>/Users/lihd/discovery/paleomagnetic-r3-workflow/dist/paleomagnetic-r357-calibrated-workflow-full/data/parsed_mds/4298.txt</x:v>
      </x:c>
    </x:row>
    <x:row r="266" ht="52" customHeight="1">
      <x:c r="A266" s="19" t="str">
        <x:v>4298</x:v>
      </x:c>
      <x:c r="B266" s="19" t="str">
        <x:v>10189</x:v>
      </x:c>
      <x:c r="C266" s="19" t="str">
        <x:v>Gzhelian Sediments</x:v>
      </x:c>
      <x:c r="D266" s="19" t="str">
        <x:v>Component C3</x:v>
      </x:c>
      <x:c r="E266" s="19" t="str">
        <x:v>PRESENT</x:v>
      </x:c>
      <x:c r="F266" s="19" t="str">
        <x:v>SUSC-T,OP(MAGN,HEM)</x:v>
      </x:c>
      <x:c r="G266" s="19" t="str">
        <x:v>PAPER_ROW_MATCH</x:v>
      </x:c>
      <x:c r="H266" s="19" t="str">
        <x:v>locator_pole</x:v>
      </x:c>
      <x:c r="I266" s="19" t="n">
        <x:v>9</x:v>
      </x:c>
      <x:c r="J266" s="19" t="str">
        <x:v>result_locator</x:v>
      </x:c>
      <x:c r="K266" s="19" t="str">
        <x:v>THE CARBONIFEROUS OF THE MOSCOW SYNECLISE 171 Table 2. Paleomagnetic directions and paleomagnetic poles for studied Carboniferous deposits J comp. (isolation No. Rock age n S.C. N/n D° I° K α° Φ,° Ν Λ,° Ε dp° dm° ϕ° intervals, °С) 95 m Moscow Region, Bun’kovski quarry, Shchelkovskii stratum, Gzhelian 1 С3 (300–540°С) s 5/10 225 –23 119 7 34 162 4 7 12 С g 2 3 C0 (460–540°С) s 4/4 240 –3 20 21 Gigant plant quarry, lower reaches of Moscow River, basal part of Kasimovian 3 С k С3 (300–540°С) s 3/5 231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x:v>
      </x:c>
      <x:c r="L266" s="19" t="str">
        <x:v>/Users/lihd/discovery/paleomagnetic-r3-workflow/dist/paleomagnetic-r357-calibrated-workflow-full/data/parsed_mds/4298.txt</x:v>
      </x:c>
    </x:row>
    <x:row r="267" ht="52" customHeight="1">
      <x:c r="A267" s="19" t="str">
        <x:v>4298</x:v>
      </x:c>
      <x:c r="B267" s="19" t="str">
        <x:v>10189</x:v>
      </x:c>
      <x:c r="C267" s="19" t="str">
        <x:v>Gzhelian Sediments</x:v>
      </x:c>
      <x:c r="D267" s="19" t="str">
        <x:v>Component C3</x:v>
      </x:c>
      <x:c r="E267" s="19" t="str">
        <x:v>PRESENT</x:v>
      </x:c>
      <x:c r="F267" s="19" t="str">
        <x:v>SUSC-T,OP(MAGN,HEM)</x:v>
      </x:c>
      <x:c r="G267" s="19" t="str">
        <x:v>PAPER_ROW_MATCH</x:v>
      </x:c>
      <x:c r="H267" s="19" t="str">
        <x:v>locator_component</x:v>
      </x:c>
      <x:c r="I267" s="19" t="n">
        <x:v>10</x:v>
      </x:c>
      <x:c r="J267" s="19" t="str">
        <x:v>result_locator</x:v>
      </x:c>
      <x:c r="K267" s="19" t="str">
        <x:v>172 IOSIFIDI et al. (a) (b) (c) (d) (e) (f) N N N N N N Bun’kovskii quarry Bun’kovskii quarry Quarry of Plant Gigant A Msta River Msta River (C1s) C3 C0 C3 Msta River P C1 (g) (h) (i) (j) (k) (l) 6–7–8 A1 12–13–14 P Msta River Msta River Msta River (C1v) Priksha River Priksha River Donbass C1 C1 3–4–5 C1 m. s. n. P C1 C3 (m) (n) (o) Donbass Donbass Donbass C3 m. s. n. Fig. 7. Distribution of NRM components after demagnetization: (a), (b), Gzhelian rocks, Bun’kovskii quarry; (c) Kasimovian, Gigant quarry; (d), (e), (f), Serpukhovian, Msta River; (g), (h), (i), Visean, Msta River; (j), (k), Visean, Priksha River; (l), (m), (n), (o), basal part of Kartamyshain suite, Donbass ((l) components C3 and A1; (m), component С3 determined by m. s. n.; (n),(o) component A; (l), (m), (n), in stratigraphic coordinates; (o), in geographic coordinates; cross shows position of direction of present magneti</x:v>
      </x:c>
      <x:c r="L267" s="19" t="str">
        <x:v>/Users/lihd/discovery/paleomagnetic-r3-workflow/dist/paleomagnetic-r357-calibrated-workflow-full/data/parsed_mds/4298.txt</x:v>
      </x:c>
    </x:row>
    <x:row r="268" ht="52" customHeight="1">
      <x:c r="A268" s="19" t="str">
        <x:v>4298</x:v>
      </x:c>
      <x:c r="B268" s="19" t="str">
        <x:v>10189</x:v>
      </x:c>
      <x:c r="C268" s="19" t="str">
        <x:v>Gzhelian Sediments</x:v>
      </x:c>
      <x:c r="D268" s="19" t="str">
        <x:v>Component C3</x:v>
      </x:c>
      <x:c r="E268" s="19" t="str">
        <x:v>PRESENT</x:v>
      </x:c>
      <x:c r="F268" s="19" t="str">
        <x:v>SUSC-T,OP(MAGN,HEM)</x:v>
      </x:c>
      <x:c r="G268" s="19" t="str">
        <x:v>PAPER_ROW_MATCH</x:v>
      </x:c>
      <x:c r="H268" s="19" t="str">
        <x:v>locator_component</x:v>
      </x:c>
      <x:c r="I268" s="19" t="n">
        <x:v>10</x:v>
      </x:c>
      <x:c r="J268" s="19" t="str">
        <x:v>result_locator</x:v>
      </x:c>
      <x:c r="K268" s="19" t="str">
        <x:v>lina and Shik, 1983; Makhlina et al., 2001a; established two J components. Components A and A1 Tikhomirov,1968; Alekseev, 1996). According to the n are isolated in the temperature intervals 100–500 and published litho-facial reconstructions (Osipova and 200–670°С. Some samples have both these compo- Vel’skaya, 1967; Makhlina et al., 1993; 2001a; 2001b), nents (Fig. 6, sample 5511AD). The distributions of com- the eustatic fluctuations resulted in the fact that the ponents A and A1 are shown in Figs. 7l, 7n, and 7o, and spatial positions of a number of facies changed many the statistical characteristics are presented in Table 2. The times throughout the entire Cretaceous. These facies second component C3 is isolated in the temperature are the peripheral facies, shelf, and marginal lagoons; interval 200–670°С, Fig. 6, sample 5526U2. The distri- shallow coastal water; shallow open sea; and </x:v>
      </x:c>
      <x:c r="L268" s="19" t="str">
        <x:v>/Users/lihd/discovery/paleomagnetic-r3-workflow/dist/paleomagnetic-r357-calibrated-workflow-full/data/parsed_mds/4298.txt</x:v>
      </x:c>
    </x:row>
    <x:row r="269" ht="52" customHeight="1">
      <x:c r="A269" s="19" t="str">
        <x:v>4298</x:v>
      </x:c>
      <x:c r="B269" s="19" t="str">
        <x:v>10189</x:v>
      </x:c>
      <x:c r="C269" s="19" t="str">
        <x:v>Gzhelian Sediments</x:v>
      </x:c>
      <x:c r="D269" s="19" t="str">
        <x:v>Component C3</x:v>
      </x:c>
      <x:c r="E269" s="19" t="str">
        <x:v>PRESENT</x:v>
      </x:c>
      <x:c r="F269" s="19" t="str">
        <x:v>SUSC-T,OP(MAGN,HEM)</x:v>
      </x:c>
      <x:c r="G269" s="19" t="str">
        <x:v>PAPER_ROW_MATCH</x:v>
      </x:c>
      <x:c r="H269" s="19" t="str">
        <x:v>locator_pole</x:v>
      </x:c>
      <x:c r="I269" s="19" t="n">
        <x:v>11</x:v>
      </x:c>
      <x:c r="J269" s="19" t="str">
        <x:v>result_locator</x:v>
      </x:c>
      <x:c r="K269" s="19" t="str">
        <x:v>THE CARBONIFEROUS OF THE MOSCOW SYNECLISE 173 Table 3. Average paleomagnetic poles for studied Carboniferous deposits of Russian platform GPMDB No. result no./ ϕ,° N λ,° E Φ,ο Ν Λ,° Ε dp° dm° Age, Ma source Gzhelian 1 4900 55.6 38.5 42 167 1 2 303 2 4899 55.6 38.5 46 177 3 5 303 3 4901 56 38.5 42 169 1 2 303 4 /(1) 55.6 38.5 43 167 3 5 303 5 t. w. 55.3 38.6 34 162 4 7 6 С g N = 5 42 168 A = 5° 303 3 95 Moskovian 7 /(1) 56.2 34.4 41 166 4 7 312 8 4913 56.5 34.5 33 159 2 4 313 9 /(1) 54.9 37.4 38 166 4 6 315 10 С m N = 3 37 164 A = 5° 313 2 95 Lower Carboniferous (C s–C v), component Р 1 1 11 /(1) 59.5 33.9 52 151 4 6 12 4938 59.5 34.0 49 164 6 4 13 t. w. 58.3 34.0 56 152 4 6 14 t. w. 58.3 33.6 53 152 9 14 15 /(2) 58.3 33.6 52 164 3 5 16 4937 59.3 34.0 45 156 3 5 17 t. w. 58.3 33.6 47 158 3 5 18 Р N = 7 51 157 A = 3° 265–270 95 Lower Carboniferous (C s–C v), component С1 1 1 19 t. w. 58.3 </x:v>
      </x:c>
      <x:c r="L269" s="19" t="str">
        <x:v>/Users/lihd/discovery/paleomagnetic-r3-workflow/dist/paleomagnetic-r357-calibrated-workflow-full/data/parsed_mds/4298.txt</x:v>
      </x:c>
    </x:row>
    <x:row r="270" ht="52" customHeight="1">
      <x:c r="A270" s="19" t="str">
        <x:v>4298</x:v>
      </x:c>
      <x:c r="B270" s="19" t="str">
        <x:v>10189</x:v>
      </x:c>
      <x:c r="C270" s="19" t="str">
        <x:v>Gzhelian Sediments</x:v>
      </x:c>
      <x:c r="D270" s="19" t="str">
        <x:v>Component C3</x:v>
      </x:c>
      <x:c r="E270" s="19" t="str">
        <x:v>PRESENT</x:v>
      </x:c>
      <x:c r="F270" s="19" t="str">
        <x:v>SUSC-T,OP(MAGN,HEM)</x:v>
      </x:c>
      <x:c r="G270" s="19" t="str">
        <x:v>PAPER_ROW_MATCH</x:v>
      </x:c>
      <x:c r="H270" s="19" t="str">
        <x:v>locator_component</x:v>
      </x:c>
      <x:c r="I270" s="19" t="n">
        <x:v>12</x:v>
      </x:c>
      <x:c r="J270" s="19" t="str">
        <x:v>result_locator</x:v>
      </x:c>
      <x:c r="K270" s="19" t="str">
        <x:v>C3 components, with the existing data for the EEP average inclination was I = 63° ± 12° (n = 8), and for (Iosifidi and Mikhailova, 2017) places the time inter- the 2.5 × 2.5 × 2.5 cm specimens, I = 68° ± 3°, which val of additional magnetization close to the time of the supports the possibility of the inclination shallowing formation of the rocks. This is also supported by the due to the formation (given the large amount of clay positive test of the consistence between the average material) of particle aggregations due to the interac- direction for the Gzhelian rocks (Table 3, line 6) and tion of the magnetic and clay particles. the existing data for the EEP (Table 4, line 5), class B, The C3 component which is established in the γ/γ cr = 3°/7°. The paleomagnetic determinations from Gzhelian and Kasimovian rocks is likely to be the the Moskovian rocks (Table 3, lines 7–10) obtained in su</x:v>
      </x:c>
      <x:c r="L270" s="19" t="str">
        <x:v>/Users/lihd/discovery/paleomagnetic-r3-workflow/dist/paleomagnetic-r357-calibrated-workflow-full/data/parsed_mds/4298.txt</x:v>
      </x:c>
    </x:row>
    <x:row r="271" ht="52" customHeight="1">
      <x:c r="A271" s="19" t="str">
        <x:v>4298</x:v>
      </x:c>
      <x:c r="B271" s="19" t="str">
        <x:v>10190</x:v>
      </x:c>
      <x:c r="C271" s="19" t="str">
        <x:v>Visean Sediments</x:v>
      </x:c>
      <x:c r="D271" s="19" t="str">
        <x:v>Component P</x:v>
      </x:c>
      <x:c r="E271" s="19" t="str">
        <x:v>PRESENT</x:v>
      </x:c>
      <x:c r="F271" s="19" t="str">
        <x:v>OP(HEM,MAGN)</x:v>
      </x:c>
      <x:c r="G271" s="19" t="str">
        <x:v>PAPER_ROW_MATCH</x:v>
      </x:c>
      <x:c r="H271" s="19" t="str">
        <x:v>method</x:v>
      </x:c>
      <x:c r="I271" s="19" t="n">
        <x:v>6</x:v>
      </x:c>
      <x:c r="J271" s="19" t="str">
        <x:v>target_context</x:v>
      </x:c>
      <x:c r="K271" s="19" t="str">
        <x:v>thin section</x:v>
      </x:c>
      <x:c r="L271" s="19" t="str">
        <x:v>/Users/lihd/discovery/paleomagnetic-r3-workflow/dist/paleomagnetic-r357-calibrated-workflow-full/data/parsed_mds/4298.txt</x:v>
      </x:c>
    </x:row>
    <x:row r="272" ht="52" customHeight="1">
      <x:c r="A272" s="19" t="str">
        <x:v>4298</x:v>
      </x:c>
      <x:c r="B272" s="19" t="str">
        <x:v>10190</x:v>
      </x:c>
      <x:c r="C272" s="19" t="str">
        <x:v>Visean Sediments</x:v>
      </x:c>
      <x:c r="D272" s="19" t="str">
        <x:v>Component P</x:v>
      </x:c>
      <x:c r="E272" s="19" t="str">
        <x:v>PRESENT</x:v>
      </x:c>
      <x:c r="F272" s="19" t="str">
        <x:v>OP(HEM,MAGN)</x:v>
      </x:c>
      <x:c r="G272" s="19" t="str">
        <x:v>PAPER_ROW_MATCH</x:v>
      </x:c>
      <x:c r="H272" s="19" t="str">
        <x:v>carrier</x:v>
      </x:c>
      <x:c r="I272" s="19" t="n">
        <x:v>5</x:v>
      </x:c>
      <x:c r="J272" s="19" t="str">
        <x:v>target_same_sentence</x:v>
      </x:c>
      <x:c r="K272" s="19" t="str">
        <x:v>time of formation of clay deposits and subsequently the studied limestones (Visean/Serpukhovian bound- The structural features of hematite are very diverse ary and the beginning of the Serpukhovian Age) is and depend on the conditions in which hematite is marked by a change of the predominantly shallow sea formed.</x:v>
      </x:c>
      <x:c r="L272" s="19" t="str">
        <x:v>/Users/lihd/discovery/paleomagnetic-r3-workflow/dist/paleomagnetic-r357-calibrated-workflow-full/data/parsed_mds/4298.txt</x:v>
      </x:c>
    </x:row>
    <x:row r="273" ht="52" customHeight="1">
      <x:c r="A273" s="19" t="str">
        <x:v>4298</x:v>
      </x:c>
      <x:c r="B273" s="19" t="str">
        <x:v>10190</x:v>
      </x:c>
      <x:c r="C273" s="19" t="str">
        <x:v>Visean Sediments</x:v>
      </x:c>
      <x:c r="D273" s="19" t="str">
        <x:v>Component P</x:v>
      </x:c>
      <x:c r="E273" s="19" t="str">
        <x:v>PRESENT</x:v>
      </x:c>
      <x:c r="F273" s="19" t="str">
        <x:v>OP(HEM,MAGN)</x:v>
      </x:c>
      <x:c r="G273" s="19" t="str">
        <x:v>PAPER_ROW_MATCH</x:v>
      </x:c>
      <x:c r="H273" s="19" t="str">
        <x:v>carrier</x:v>
      </x:c>
      <x:c r="I273" s="19" t="n">
        <x:v>6</x:v>
      </x:c>
      <x:c r="J273" s="19" t="str">
        <x:v>near_target</x:v>
      </x:c>
      <x:c r="K273" s="19" t="str">
        <x:v>hematite</x:v>
      </x:c>
      <x:c r="L273" s="19" t="str">
        <x:v>/Users/lihd/discovery/paleomagnetic-r3-workflow/dist/paleomagnetic-r357-calibrated-workflow-full/data/parsed_mds/4298.txt</x:v>
      </x:c>
    </x:row>
    <x:row r="274" ht="52" customHeight="1">
      <x:c r="A274" s="19" t="str">
        <x:v>4298</x:v>
      </x:c>
      <x:c r="B274" s="19" t="str">
        <x:v>10190</x:v>
      </x:c>
      <x:c r="C274" s="19" t="str">
        <x:v>Visean Sediments</x:v>
      </x:c>
      <x:c r="D274" s="19" t="str">
        <x:v>Component P</x:v>
      </x:c>
      <x:c r="E274" s="19" t="str">
        <x:v>PRESENT</x:v>
      </x:c>
      <x:c r="F274" s="19" t="str">
        <x:v>OP(HEM,MAGN)</x:v>
      </x:c>
      <x:c r="G274" s="19" t="str">
        <x:v>PAPER_ROW_MATCH</x:v>
      </x:c>
      <x:c r="H274" s="19" t="str">
        <x:v>carrier</x:v>
      </x:c>
      <x:c r="I274" s="19" t="n">
        <x:v>5</x:v>
      </x:c>
      <x:c r="J274" s="19" t="str">
        <x:v>target_context</x:v>
      </x:c>
      <x:c r="K274" s="19" t="str">
        <x:v>Hematite</x:v>
      </x:c>
      <x:c r="L274" s="19" t="str">
        <x:v>/Users/lihd/discovery/paleomagnetic-r3-workflow/dist/paleomagnetic-r357-calibrated-workflow-full/data/parsed_mds/4298.txt</x:v>
      </x:c>
    </x:row>
    <x:row r="275" ht="52" customHeight="1">
      <x:c r="A275" s="19" t="str">
        <x:v>4298</x:v>
      </x:c>
      <x:c r="B275" s="19" t="str">
        <x:v>10190</x:v>
      </x:c>
      <x:c r="C275" s="19" t="str">
        <x:v>Visean Sediments</x:v>
      </x:c>
      <x:c r="D275" s="19" t="str">
        <x:v>Component P</x:v>
      </x:c>
      <x:c r="E275" s="19" t="str">
        <x:v>PRESENT</x:v>
      </x:c>
      <x:c r="F275" s="19" t="str">
        <x:v>OP(HEM,MAGN)</x:v>
      </x:c>
      <x:c r="G275" s="19" t="str">
        <x:v>PAPER_ROW_MATCH</x:v>
      </x:c>
      <x:c r="H275" s="19" t="str">
        <x:v>carrier</x:v>
      </x:c>
      <x:c r="I275" s="19" t="n">
        <x:v>5</x:v>
      </x:c>
      <x:c r="J275" s="19" t="str">
        <x:v>same_target_page</x:v>
      </x:c>
      <x:c r="K275" s="19" t="str">
        <x:v>magnetite</x:v>
      </x:c>
      <x:c r="L275" s="19" t="str">
        <x:v>/Users/lihd/discovery/paleomagnetic-r3-workflow/dist/paleomagnetic-r357-calibrated-workflow-full/data/parsed_mds/4298.txt</x:v>
      </x:c>
    </x:row>
    <x:row r="276" ht="52" customHeight="1">
      <x:c r="A276" s="19" t="str">
        <x:v>4298</x:v>
      </x:c>
      <x:c r="B276" s="19" t="str">
        <x:v>10190</x:v>
      </x:c>
      <x:c r="C276" s="19" t="str">
        <x:v>Visean Sediments</x:v>
      </x:c>
      <x:c r="D276" s="19" t="str">
        <x:v>Component P</x:v>
      </x:c>
      <x:c r="E276" s="19" t="str">
        <x:v>PRESENT</x:v>
      </x:c>
      <x:c r="F276" s="19" t="str">
        <x:v>OP(HEM,MAGN)</x:v>
      </x:c>
      <x:c r="G276" s="19" t="str">
        <x:v>PAPER_ROW_MATCH</x:v>
      </x:c>
      <x:c r="H276" s="19" t="str">
        <x:v>locator_component</x:v>
      </x:c>
      <x:c r="I276" s="19" t="n">
        <x:v>6</x:v>
      </x:c>
      <x:c r="J276" s="19" t="str">
        <x:v>result_locator</x:v>
      </x:c>
      <x:c r="K276" s="19" t="str">
        <x:v>e rocks of the Gzhelian age, there are The Visean and Serpukhovian rocks (Msta River) samples with single-component J and two-compo- have three J components. The first component, A, is n n nent J in the intermediate- and high-temperature identified in clays (Fig. 6, sample 014) in the tempera- n demagnetization intervals, as shown by the Zijderveld ture interval 100–300°C. In some limestones this plots (Fig. 6, samples 6048-2v and 6050-2v). The tem- component is isolated in the interval 200–675°С, perature interval of the isolation of the C3 component which is due to the complete remagnetization by the lies within 200–560° С. Component C0 is isolated in present geomagnetic field. The second component P is the interval 460–540° С. The direction of the C0 com- isolated in the temperature intervals 200–675°С, and in ponent differs from component C1 both in declination the case of demagnetiz</x:v>
      </x:c>
      <x:c r="L276" s="19" t="str">
        <x:v>/Users/lihd/discovery/paleomagnetic-r3-workflow/dist/paleomagnetic-r357-calibrated-workflow-full/data/parsed_mds/4298.txt</x:v>
      </x:c>
    </x:row>
    <x:row r="277" ht="52" customHeight="1">
      <x:c r="A277" s="19" t="str">
        <x:v>4298</x:v>
      </x:c>
      <x:c r="B277" s="19" t="str">
        <x:v>10190</x:v>
      </x:c>
      <x:c r="C277" s="19" t="str">
        <x:v>Visean Sediments</x:v>
      </x:c>
      <x:c r="D277" s="19" t="str">
        <x:v>Component P</x:v>
      </x:c>
      <x:c r="E277" s="19" t="str">
        <x:v>PRESENT</x:v>
      </x:c>
      <x:c r="F277" s="19" t="str">
        <x:v>OP(HEM,MAGN)</x:v>
      </x:c>
      <x:c r="G277" s="19" t="str">
        <x:v>PAPER_ROW_MATCH</x:v>
      </x:c>
      <x:c r="H277" s="19" t="str">
        <x:v>locator_component</x:v>
      </x:c>
      <x:c r="I277" s="19" t="n">
        <x:v>7</x:v>
      </x:c>
      <x:c r="J277" s="19" t="str">
        <x:v>result_locator</x:v>
      </x:c>
      <x:c r="K277" s="19" t="str">
        <x:v>degrees), which prevents efficient appli- component C1 averaged over the stratigraphic levels are cation of the method of remagnetization planes illustrated in Fig. 7h. Examples of determining the (Khramov, 1987; 1996; Khramov et al., 1961, 1982, 1987). positions of the sliding normals (the circles through For estimating the direction of component C1, we used the internal areas were drawn in a stratigraphic the new modification of the method of remagnetization sequence by three points) are also shown. The final planes suggested by Khramov, namely, the method of result is presented in Table 2, line 10, and shown in “sliding normals” to the remagnetization circles Fig. 7i. The distribution of components A, P, and C1 IZVESTIYA, PHYSICS OF THE SOLID EARTH Vol. 54 No. 1 2018 tnemelE % cimotA (a) (b) Si (c) (d) Al O (e) (f) Fe</x:v>
      </x:c>
      <x:c r="L277" s="19" t="str">
        <x:v>/Users/lihd/discovery/paleomagnetic-r3-workflow/dist/paleomagnetic-r357-calibrated-workflow-full/data/parsed_mds/4298.txt</x:v>
      </x:c>
    </x:row>
    <x:row r="278" ht="52" customHeight="1">
      <x:c r="A278" s="19" t="str">
        <x:v>4298</x:v>
      </x:c>
      <x:c r="B278" s="19" t="str">
        <x:v>10190</x:v>
      </x:c>
      <x:c r="C278" s="19" t="str">
        <x:v>Visean Sediments</x:v>
      </x:c>
      <x:c r="D278" s="19" t="str">
        <x:v>Component P</x:v>
      </x:c>
      <x:c r="E278" s="19" t="str">
        <x:v>PRESENT</x:v>
      </x:c>
      <x:c r="F278" s="19" t="str">
        <x:v>OP(HEM,MAGN)</x:v>
      </x:c>
      <x:c r="G278" s="19" t="str">
        <x:v>PAPER_ROW_MATCH</x:v>
      </x:c>
      <x:c r="H278" s="19" t="str">
        <x:v>locator_component</x:v>
      </x:c>
      <x:c r="I278" s="19" t="n">
        <x:v>9</x:v>
      </x:c>
      <x:c r="J278" s="19" t="str">
        <x:v>result_locator</x:v>
      </x:c>
      <x:c r="K278" s="19" t="str">
        <x:v>tions of magnetization components; K is precision parameter; α° is radius of confidence at 95% 95 probability for average direction; Φ°, Λ° are latitude and longitude of paleomagnetic pole; dp°, dm° are semiaxes of confidence oval; ϕ° is paleomagnetic latitude, m. s. n. denotes that determination obtained by method of sliding normals to remagnetization circles m (Khramov et al., 2011). Age of components: А is present-day, Р is Permian, С3 is Late Carboniferous, С2 is Middle Carboniferous, andС1 is Early Carboniferous for the rocks of the Serpukhovian and Visean ages is in the intervals 200–660 and 200–400°С. On one shown in Figs. 7d–7g; their statistical characteristics stratigraphic level, component P with normal polarity are presented in Table 2. is identified (Table 2, Fig. 7j). The third component, The Visean rocks (Priksha River) have three J C1, is isolated in the interval 300–660°</x:v>
      </x:c>
      <x:c r="L278" s="19" t="str">
        <x:v>/Users/lihd/discovery/paleomagnetic-r3-workflow/dist/paleomagnetic-r357-calibrated-workflow-full/data/parsed_mds/4298.txt</x:v>
      </x:c>
    </x:row>
    <x:row r="279" ht="52" customHeight="1">
      <x:c r="A279" s="19" t="str">
        <x:v>4298</x:v>
      </x:c>
      <x:c r="B279" s="19" t="str">
        <x:v>10190</x:v>
      </x:c>
      <x:c r="C279" s="19" t="str">
        <x:v>Visean Sediments</x:v>
      </x:c>
      <x:c r="D279" s="19" t="str">
        <x:v>Component P</x:v>
      </x:c>
      <x:c r="E279" s="19" t="str">
        <x:v>PRESENT</x:v>
      </x:c>
      <x:c r="F279" s="19" t="str">
        <x:v>OP(HEM,MAGN)</x:v>
      </x:c>
      <x:c r="G279" s="19" t="str">
        <x:v>PAPER_ROW_MATCH</x:v>
      </x:c>
      <x:c r="H279" s="19" t="str">
        <x:v>locator_component</x:v>
      </x:c>
      <x:c r="I279" s="19" t="n">
        <x:v>9</x:v>
      </x:c>
      <x:c r="J279" s="19" t="str">
        <x:v>result_locator</x:v>
      </x:c>
      <x:c r="K279" s="19" t="str">
        <x:v>fidence oval; ϕ° is paleomagnetic latitude, m. s. n. denotes that determination obtained by method of sliding normals to remagnetization circles m (Khramov et al., 2011). Age of components: А is present-day, Р is Permian, С3 is Late Carboniferous, С2 is Middle Carboniferous, andС1 is Early Carboniferous for the rocks of the Serpukhovian and Visean ages is in the intervals 200–660 and 200–400°С. On one shown in Figs. 7d–7g; their statistical characteristics stratigraphic level, component P with normal polarity are presented in Table 2. is identified (Table 2, Fig. 7j). The third component, The Visean rocks (Priksha River) have three J C1, is isolated in the interval 300–660°С (Fig. 6, sam- n components. The first component P is distinguished ple 4898V), and in part of the samples in the interval in clays (Fig. 6, samples 7263-2, 7267V, and 7269-4) 600–660°С. The distribution of components</x:v>
      </x:c>
      <x:c r="L279" s="19" t="str">
        <x:v>/Users/lihd/discovery/paleomagnetic-r3-workflow/dist/paleomagnetic-r357-calibrated-workflow-full/data/parsed_mds/4298.txt</x:v>
      </x:c>
    </x:row>
    <x:row r="280" ht="52" customHeight="1">
      <x:c r="A280" s="19" t="str">
        <x:v>4298</x:v>
      </x:c>
      <x:c r="B280" s="19" t="str">
        <x:v>10190</x:v>
      </x:c>
      <x:c r="C280" s="19" t="str">
        <x:v>Visean Sediments</x:v>
      </x:c>
      <x:c r="D280" s="19" t="str">
        <x:v>Component P</x:v>
      </x:c>
      <x:c r="E280" s="19" t="str">
        <x:v>PRESENT</x:v>
      </x:c>
      <x:c r="F280" s="19" t="str">
        <x:v>OP(HEM,MAGN)</x:v>
      </x:c>
      <x:c r="G280" s="19" t="str">
        <x:v>PAPER_ROW_MATCH</x:v>
      </x:c>
      <x:c r="H280" s="19" t="str">
        <x:v>locator_component</x:v>
      </x:c>
      <x:c r="I280" s="19" t="n">
        <x:v>9</x:v>
      </x:c>
      <x:c r="J280" s="19" t="str">
        <x:v>result_locator</x:v>
      </x:c>
      <x:c r="K280" s="19" t="str">
        <x:v>А is present-day, Р is Permian, С3 is Late Carboniferous, С2 is Middle Carboniferous, andС1 is Early Carboniferous for the rocks of the Serpukhovian and Visean ages is in the intervals 200–660 and 200–400°С. On one shown in Figs. 7d–7g; their statistical characteristics stratigraphic level, component P with normal polarity are presented in Table 2. is identified (Table 2, Fig. 7j). The third component, The Visean rocks (Priksha River) have three J C1, is isolated in the interval 300–660°С (Fig. 6, sam- n components. The first component P is distinguished ple 4898V), and in part of the samples in the interval in clays (Fig. 6, samples 7263-2, 7267V, and 7269-4) 600–660°С. The distribution of components P and C1 IZVESTIYA, PHYSICS OF THE SOLID EARTH Vol. 54 No. 1 2018</x:v>
      </x:c>
      <x:c r="L280" s="19" t="str">
        <x:v>/Users/lihd/discovery/paleomagnetic-r3-workflow/dist/paleomagnetic-r357-calibrated-workflow-full/data/parsed_mds/4298.txt</x:v>
      </x:c>
    </x:row>
    <x:row r="281" ht="52" customHeight="1">
      <x:c r="A281" s="19" t="str">
        <x:v>4298</x:v>
      </x:c>
      <x:c r="B281" s="19" t="str">
        <x:v>10190</x:v>
      </x:c>
      <x:c r="C281" s="19" t="str">
        <x:v>Visean Sediments</x:v>
      </x:c>
      <x:c r="D281" s="19" t="str">
        <x:v>Component P</x:v>
      </x:c>
      <x:c r="E281" s="19" t="str">
        <x:v>PRESENT</x:v>
      </x:c>
      <x:c r="F281" s="19" t="str">
        <x:v>OP(HEM,MAGN)</x:v>
      </x:c>
      <x:c r="G281" s="19" t="str">
        <x:v>PAPER_ROW_MATCH</x:v>
      </x:c>
      <x:c r="H281" s="19" t="str">
        <x:v>locator_direction</x:v>
      </x:c>
      <x:c r="I281" s="19" t="n">
        <x:v>9</x:v>
      </x:c>
      <x:c r="J281" s="19" t="str">
        <x:v>result_locator</x:v>
      </x:c>
      <x:c r="K281" s="19" t="str">
        <x:v>° Ν Λ,° Ε dp° dm° ϕ° intervals, °С) 95 m Moscow Region, Bun’kovski quarry, Shchelkovskii stratum, Gzhelian 1 С3 (300–540°С) s 5/10 225 –23 119 7 34 162 4 7 12 С g 2 3 C0 (460–540°С) s 4/4 240 –3 20 21 Gigant plant quarry, lower reaches of Moscow River, basal part of Kasimovian 3 С k С3 (300–540°С) s 3/5 231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x:v>
      </x:c>
      <x:c r="L281" s="19" t="str">
        <x:v>/Users/lihd/discovery/paleomagnetic-r3-workflow/dist/paleomagnetic-r357-calibrated-workflow-full/data/parsed_mds/4298.txt</x:v>
      </x:c>
    </x:row>
    <x:row r="282" ht="52" customHeight="1">
      <x:c r="A282" s="19" t="str">
        <x:v>4298</x:v>
      </x:c>
      <x:c r="B282" s="19" t="str">
        <x:v>10190</x:v>
      </x:c>
      <x:c r="C282" s="19" t="str">
        <x:v>Visean Sediments</x:v>
      </x:c>
      <x:c r="D282" s="19" t="str">
        <x:v>Component P</x:v>
      </x:c>
      <x:c r="E282" s="19" t="str">
        <x:v>PRESENT</x:v>
      </x:c>
      <x:c r="F282" s="19" t="str">
        <x:v>OP(HEM,MAGN)</x:v>
      </x:c>
      <x:c r="G282" s="19" t="str">
        <x:v>PAPER_ROW_MATCH</x:v>
      </x:c>
      <x:c r="H282" s="19" t="str">
        <x:v>locator_pole</x:v>
      </x:c>
      <x:c r="I282" s="19" t="n">
        <x:v>9</x:v>
      </x:c>
      <x:c r="J282" s="19" t="str">
        <x:v>result_locator</x:v>
      </x:c>
      <x:c r="K282" s="19" t="str">
        <x:v>dm° ϕ° intervals, °С) 95 m Moscow Region, Bun’kovski quarry, Shchelkovskii stratum, Gzhelian 1 С3 (300–540°С) s 5/10 225 –23 119 7 34 162 4 7 12 С g 2 3 C0 (460–540°С) s 4/4 240 –3 20 21 Gigant plant quarry, lower reaches of Moscow River, basal part of Kasimovian 3 С k С3 (300–540°С) s 3/5 231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horizon, Visea</x:v>
      </x:c>
      <x:c r="L282" s="19" t="str">
        <x:v>/Users/lihd/discovery/paleomagnetic-r3-workflow/dist/paleomagnetic-r357-calibrated-workflow-full/data/parsed_mds/4298.txt</x:v>
      </x:c>
    </x:row>
    <x:row r="283" ht="52" customHeight="1">
      <x:c r="A283" s="19" t="str">
        <x:v>4298</x:v>
      </x:c>
      <x:c r="B283" s="19" t="str">
        <x:v>10190</x:v>
      </x:c>
      <x:c r="C283" s="19" t="str">
        <x:v>Visean Sediments</x:v>
      </x:c>
      <x:c r="D283" s="19" t="str">
        <x:v>Component P</x:v>
      </x:c>
      <x:c r="E283" s="19" t="str">
        <x:v>PRESENT</x:v>
      </x:c>
      <x:c r="F283" s="19" t="str">
        <x:v>OP(HEM,MAGN)</x:v>
      </x:c>
      <x:c r="G283" s="19" t="str">
        <x:v>PAPER_ROW_MATCH</x:v>
      </x:c>
      <x:c r="H283" s="19" t="str">
        <x:v>locator_pole</x:v>
      </x:c>
      <x:c r="I283" s="19" t="n">
        <x:v>9</x:v>
      </x:c>
      <x:c r="J283" s="19" t="str">
        <x:v>result_locator</x:v>
      </x:c>
      <x:c r="K283" s="19" t="str">
        <x:v>° ϕ° intervals, °С) 95 m Moscow Region, Bun’kovski quarry, Shchelkovskii stratum, Gzhelian 1 С3 (300–540°С) s 5/10 225 –23 119 7 34 162 4 7 12 С g 2 3 C0 (460–540°С) s 4/4 240 –3 20 21 Gigant plant quarry, lower reaches of Moscow River, basal part of Kasimovian 3 С k С3 (300–540°С) s 3/5 231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horizon, Visean </x:v>
      </x:c>
      <x:c r="L283" s="19" t="str">
        <x:v>/Users/lihd/discovery/paleomagnetic-r3-workflow/dist/paleomagnetic-r357-calibrated-workflow-full/data/parsed_mds/4298.txt</x:v>
      </x:c>
    </x:row>
    <x:row r="284" ht="52" customHeight="1">
      <x:c r="A284" s="19" t="str">
        <x:v>4298</x:v>
      </x:c>
      <x:c r="B284" s="19" t="str">
        <x:v>10191</x:v>
      </x:c>
      <x:c r="C284" s="19" t="str">
        <x:v>Visean Sediments</x:v>
      </x:c>
      <x:c r="D284" s="19" t="str">
        <x:v>Component C1</x:v>
      </x:c>
      <x:c r="E284" s="19" t="str">
        <x:v>PRESENT</x:v>
      </x:c>
      <x:c r="F284" s="19" t="str">
        <x:v>OP(HEM,MAGN)</x:v>
      </x:c>
      <x:c r="G284" s="19" t="str">
        <x:v>PAPER_ROW_MATCH</x:v>
      </x:c>
      <x:c r="H284" s="19" t="str">
        <x:v>method</x:v>
      </x:c>
      <x:c r="I284" s="19" t="n">
        <x:v>6</x:v>
      </x:c>
      <x:c r="J284" s="19" t="str">
        <x:v>target_context</x:v>
      </x:c>
      <x:c r="K284" s="19" t="str">
        <x:v>thin section</x:v>
      </x:c>
      <x:c r="L284" s="19" t="str">
        <x:v>/Users/lihd/discovery/paleomagnetic-r3-workflow/dist/paleomagnetic-r357-calibrated-workflow-full/data/parsed_mds/4298.txt</x:v>
      </x:c>
    </x:row>
    <x:row r="285" ht="52" customHeight="1">
      <x:c r="A285" s="19" t="str">
        <x:v>4298</x:v>
      </x:c>
      <x:c r="B285" s="19" t="str">
        <x:v>10191</x:v>
      </x:c>
      <x:c r="C285" s="19" t="str">
        <x:v>Visean Sediments</x:v>
      </x:c>
      <x:c r="D285" s="19" t="str">
        <x:v>Component C1</x:v>
      </x:c>
      <x:c r="E285" s="19" t="str">
        <x:v>PRESENT</x:v>
      </x:c>
      <x:c r="F285" s="19" t="str">
        <x:v>OP(HEM,MAGN)</x:v>
      </x:c>
      <x:c r="G285" s="19" t="str">
        <x:v>PAPER_ROW_MATCH</x:v>
      </x:c>
      <x:c r="H285" s="19" t="str">
        <x:v>carrier</x:v>
      </x:c>
      <x:c r="I285" s="19" t="n">
        <x:v>5</x:v>
      </x:c>
      <x:c r="J285" s="19" t="str">
        <x:v>target_same_sentence</x:v>
      </x:c>
      <x:c r="K285" s="19" t="str">
        <x:v>time of formation of clay deposits and subsequently the studied limestones (Visean/Serpukhovian bound- The structural features of hematite are very diverse ary and the beginning of the Serpukhovian Age) is and depend on the conditions in which hematite is marked by a change of the predominantly shallow sea formed.</x:v>
      </x:c>
      <x:c r="L285" s="19" t="str">
        <x:v>/Users/lihd/discovery/paleomagnetic-r3-workflow/dist/paleomagnetic-r357-calibrated-workflow-full/data/parsed_mds/4298.txt</x:v>
      </x:c>
    </x:row>
    <x:row r="286" ht="52" customHeight="1">
      <x:c r="A286" s="19" t="str">
        <x:v>4298</x:v>
      </x:c>
      <x:c r="B286" s="19" t="str">
        <x:v>10191</x:v>
      </x:c>
      <x:c r="C286" s="19" t="str">
        <x:v>Visean Sediments</x:v>
      </x:c>
      <x:c r="D286" s="19" t="str">
        <x:v>Component C1</x:v>
      </x:c>
      <x:c r="E286" s="19" t="str">
        <x:v>PRESENT</x:v>
      </x:c>
      <x:c r="F286" s="19" t="str">
        <x:v>OP(HEM,MAGN)</x:v>
      </x:c>
      <x:c r="G286" s="19" t="str">
        <x:v>PAPER_ROW_MATCH</x:v>
      </x:c>
      <x:c r="H286" s="19" t="str">
        <x:v>carrier</x:v>
      </x:c>
      <x:c r="I286" s="19" t="n">
        <x:v>6</x:v>
      </x:c>
      <x:c r="J286" s="19" t="str">
        <x:v>near_target</x:v>
      </x:c>
      <x:c r="K286" s="19" t="str">
        <x:v>hematite</x:v>
      </x:c>
      <x:c r="L286" s="19" t="str">
        <x:v>/Users/lihd/discovery/paleomagnetic-r3-workflow/dist/paleomagnetic-r357-calibrated-workflow-full/data/parsed_mds/4298.txt</x:v>
      </x:c>
    </x:row>
    <x:row r="287" ht="52" customHeight="1">
      <x:c r="A287" s="19" t="str">
        <x:v>4298</x:v>
      </x:c>
      <x:c r="B287" s="19" t="str">
        <x:v>10191</x:v>
      </x:c>
      <x:c r="C287" s="19" t="str">
        <x:v>Visean Sediments</x:v>
      </x:c>
      <x:c r="D287" s="19" t="str">
        <x:v>Component C1</x:v>
      </x:c>
      <x:c r="E287" s="19" t="str">
        <x:v>PRESENT</x:v>
      </x:c>
      <x:c r="F287" s="19" t="str">
        <x:v>OP(HEM,MAGN)</x:v>
      </x:c>
      <x:c r="G287" s="19" t="str">
        <x:v>PAPER_ROW_MATCH</x:v>
      </x:c>
      <x:c r="H287" s="19" t="str">
        <x:v>carrier</x:v>
      </x:c>
      <x:c r="I287" s="19" t="n">
        <x:v>5</x:v>
      </x:c>
      <x:c r="J287" s="19" t="str">
        <x:v>target_context</x:v>
      </x:c>
      <x:c r="K287" s="19" t="str">
        <x:v>Hematite</x:v>
      </x:c>
      <x:c r="L287" s="19" t="str">
        <x:v>/Users/lihd/discovery/paleomagnetic-r3-workflow/dist/paleomagnetic-r357-calibrated-workflow-full/data/parsed_mds/4298.txt</x:v>
      </x:c>
    </x:row>
    <x:row r="288" ht="52" customHeight="1">
      <x:c r="A288" s="19" t="str">
        <x:v>4298</x:v>
      </x:c>
      <x:c r="B288" s="19" t="str">
        <x:v>10191</x:v>
      </x:c>
      <x:c r="C288" s="19" t="str">
        <x:v>Visean Sediments</x:v>
      </x:c>
      <x:c r="D288" s="19" t="str">
        <x:v>Component C1</x:v>
      </x:c>
      <x:c r="E288" s="19" t="str">
        <x:v>PRESENT</x:v>
      </x:c>
      <x:c r="F288" s="19" t="str">
        <x:v>OP(HEM,MAGN)</x:v>
      </x:c>
      <x:c r="G288" s="19" t="str">
        <x:v>PAPER_ROW_MATCH</x:v>
      </x:c>
      <x:c r="H288" s="19" t="str">
        <x:v>carrier</x:v>
      </x:c>
      <x:c r="I288" s="19" t="n">
        <x:v>5</x:v>
      </x:c>
      <x:c r="J288" s="19" t="str">
        <x:v>same_target_page</x:v>
      </x:c>
      <x:c r="K288" s="19" t="str">
        <x:v>magnetite</x:v>
      </x:c>
      <x:c r="L288" s="19" t="str">
        <x:v>/Users/lihd/discovery/paleomagnetic-r3-workflow/dist/paleomagnetic-r357-calibrated-workflow-full/data/parsed_mds/4298.txt</x:v>
      </x:c>
    </x:row>
    <x:row r="289" ht="52" customHeight="1">
      <x:c r="A289" s="19" t="str">
        <x:v>4298</x:v>
      </x:c>
      <x:c r="B289" s="19" t="str">
        <x:v>10191</x:v>
      </x:c>
      <x:c r="C289" s="19" t="str">
        <x:v>Visean Sediments</x:v>
      </x:c>
      <x:c r="D289" s="19" t="str">
        <x:v>Component C1</x:v>
      </x:c>
      <x:c r="E289" s="19" t="str">
        <x:v>PRESENT</x:v>
      </x:c>
      <x:c r="F289" s="19" t="str">
        <x:v>OP(HEM,MAGN)</x:v>
      </x:c>
      <x:c r="G289" s="19" t="str">
        <x:v>PAPER_ROW_MATCH</x:v>
      </x:c>
      <x:c r="H289" s="19" t="str">
        <x:v>locator_component</x:v>
      </x:c>
      <x:c r="I289" s="19" t="n">
        <x:v>6</x:v>
      </x:c>
      <x:c r="J289" s="19" t="str">
        <x:v>result_locator</x:v>
      </x:c>
      <x:c r="K289" s="19" t="str">
        <x:v>components. The first component, A, is n n nent J in the intermediate- and high-temperature identified in clays (Fig. 6, sample 014) in the tempera- n demagnetization intervals, as shown by the Zijderveld ture interval 100–300°C. In some limestones this plots (Fig. 6, samples 6048-2v and 6050-2v). The tem- component is isolated in the interval 200–675°С, perature interval of the isolation of the C3 component which is due to the complete remagnetization by the lies within 200–560° С. Component C0 is isolated in present geomagnetic field. The second component P is the interval 460–540° С. The direction of the C0 com- isolated in the temperature intervals 200–675°С, and in ponent differs from component C1 both in declination the case of demagnetization by an alternating field, it is and inclination. The statistical characteristics of the recorded in the amplitude interval of 5–50 mT (Fig. 6</x:v>
      </x:c>
      <x:c r="L289" s="19" t="str">
        <x:v>/Users/lihd/discovery/paleomagnetic-r3-workflow/dist/paleomagnetic-r357-calibrated-workflow-full/data/parsed_mds/4298.txt</x:v>
      </x:c>
    </x:row>
    <x:row r="290" ht="52" customHeight="1">
      <x:c r="A290" s="19" t="str">
        <x:v>4298</x:v>
      </x:c>
      <x:c r="B290" s="19" t="str">
        <x:v>10191</x:v>
      </x:c>
      <x:c r="C290" s="19" t="str">
        <x:v>Visean Sediments</x:v>
      </x:c>
      <x:c r="D290" s="19" t="str">
        <x:v>Component C1</x:v>
      </x:c>
      <x:c r="E290" s="19" t="str">
        <x:v>PRESENT</x:v>
      </x:c>
      <x:c r="F290" s="19" t="str">
        <x:v>OP(HEM,MAGN)</x:v>
      </x:c>
      <x:c r="G290" s="19" t="str">
        <x:v>PAPER_ROW_MATCH</x:v>
      </x:c>
      <x:c r="H290" s="19" t="str">
        <x:v>locator_component</x:v>
      </x:c>
      <x:c r="I290" s="19" t="n">
        <x:v>6</x:v>
      </x:c>
      <x:c r="J290" s="19" t="str">
        <x:v>result_locator</x:v>
      </x:c>
      <x:c r="K290" s="19" t="str">
        <x:v>, samples 6048-2v and 6050-2v). The tem- component is isolated in the interval 200–675°С, perature interval of the isolation of the C3 component which is due to the complete remagnetization by the lies within 200–560° С. Component C0 is isolated in present geomagnetic field. The second component P is the interval 460–540° С. The direction of the C0 com- isolated in the temperature intervals 200–675°С, and in ponent differs from component C1 both in declination the case of demagnetization by an alternating field, it is and inclination. The statistical characteristics of the recorded in the amplitude interval of 5–50 mT (Fig. 6, identified components are presented in Table 2, and sample 014). Component C1 is isolated in the high- their distributions are shown in Figs. 7a and 7b. temperature interval 200–675°С (Fig. 6, sample 071-1). In some limestones, chemical alterations are observed In </x:v>
      </x:c>
      <x:c r="L290" s="19" t="str">
        <x:v>/Users/lihd/discovery/paleomagnetic-r3-workflow/dist/paleomagnetic-r357-calibrated-workflow-full/data/parsed_mds/4298.txt</x:v>
      </x:c>
    </x:row>
    <x:row r="291" ht="52" customHeight="1">
      <x:c r="A291" s="19" t="str">
        <x:v>4298</x:v>
      </x:c>
      <x:c r="B291" s="19" t="str">
        <x:v>10191</x:v>
      </x:c>
      <x:c r="C291" s="19" t="str">
        <x:v>Visean Sediments</x:v>
      </x:c>
      <x:c r="D291" s="19" t="str">
        <x:v>Component C1</x:v>
      </x:c>
      <x:c r="E291" s="19" t="str">
        <x:v>PRESENT</x:v>
      </x:c>
      <x:c r="F291" s="19" t="str">
        <x:v>OP(HEM,MAGN)</x:v>
      </x:c>
      <x:c r="G291" s="19" t="str">
        <x:v>PAPER_ROW_MATCH</x:v>
      </x:c>
      <x:c r="H291" s="19" t="str">
        <x:v>locator_component</x:v>
      </x:c>
      <x:c r="I291" s="19" t="n">
        <x:v>7</x:v>
      </x:c>
      <x:c r="J291" s="19" t="str">
        <x:v>result_locator</x:v>
      </x:c>
      <x:c r="K291" s="19" t="str">
        <x:v>THE CARBONIFEROUS OF THE MOSCOW SYNECLISE 169 30 µm 30 µm 30 µm 30 µm С 59.08 Al 2.13 Si 4.28 Fe 28.29 2 µm 30 µm Fig. 5. Results of microscopic studies of red-brown clay samples of reference Carboniferous section sampled in region of Egla village (Msta River). (а), microphotograph of initial area for mapping chemical elements. Distribution maps of elements: (b) sil- ica, (c) aluminum, (d) oxygen, (e) iron; (f) microphotograph of individual hematite grain coated with clay shell. strata in the sections of the Msta River differ insignifi- (Khramov et al., 2011). All the obtained directions of cantly (by a few degrees), which prevents efficient appli- component C1 averaged over the stratigraphic levels are cation of the method of remagnetization planes illustrated in Fig. 7h. Examples of determining the (Khramov, 1987; 1996; Khramov et al., 1961, 1982, 1987). positions of the sliding normal</x:v>
      </x:c>
      <x:c r="L291" s="19" t="str">
        <x:v>/Users/lihd/discovery/paleomagnetic-r3-workflow/dist/paleomagnetic-r357-calibrated-workflow-full/data/parsed_mds/4298.txt</x:v>
      </x:c>
    </x:row>
    <x:row r="292" ht="52" customHeight="1">
      <x:c r="A292" s="19" t="str">
        <x:v>4298</x:v>
      </x:c>
      <x:c r="B292" s="19" t="str">
        <x:v>10191</x:v>
      </x:c>
      <x:c r="C292" s="19" t="str">
        <x:v>Visean Sediments</x:v>
      </x:c>
      <x:c r="D292" s="19" t="str">
        <x:v>Component C1</x:v>
      </x:c>
      <x:c r="E292" s="19" t="str">
        <x:v>PRESENT</x:v>
      </x:c>
      <x:c r="F292" s="19" t="str">
        <x:v>OP(HEM,MAGN)</x:v>
      </x:c>
      <x:c r="G292" s="19" t="str">
        <x:v>PAPER_ROW_MATCH</x:v>
      </x:c>
      <x:c r="H292" s="19" t="str">
        <x:v>locator_component</x:v>
      </x:c>
      <x:c r="I292" s="19" t="n">
        <x:v>7</x:v>
      </x:c>
      <x:c r="J292" s="19" t="str">
        <x:v>result_locator</x:v>
      </x:c>
      <x:c r="K292" s="19" t="str">
        <x:v>degrees), which prevents efficient appli- component C1 averaged over the stratigraphic levels are cation of the method of remagnetization planes illustrated in Fig. 7h. Examples of determining the (Khramov, 1987; 1996; Khramov et al., 1961, 1982, 1987). positions of the sliding normals (the circles through For estimating the direction of component C1, we used the internal areas were drawn in a stratigraphic the new modification of the method of remagnetization sequence by three points) are also shown. The final planes suggested by Khramov, namely, the method of result is presented in Table 2, line 10, and shown in “sliding normals” to the remagnetization circles Fig. 7i. The distribution of components A, P, and C1 IZVESTIYA, PHYSICS OF THE SOLID EARTH Vol. 54 No. 1 2018 tnemelE % cimotA (a) (b) Si (c) (d) Al O (e) (f) Fe</x:v>
      </x:c>
      <x:c r="L292" s="19" t="str">
        <x:v>/Users/lihd/discovery/paleomagnetic-r3-workflow/dist/paleomagnetic-r357-calibrated-workflow-full/data/parsed_mds/4298.txt</x:v>
      </x:c>
    </x:row>
    <x:row r="293" ht="52" customHeight="1">
      <x:c r="A293" s="19" t="str">
        <x:v>4298</x:v>
      </x:c>
      <x:c r="B293" s="19" t="str">
        <x:v>10191</x:v>
      </x:c>
      <x:c r="C293" s="19" t="str">
        <x:v>Visean Sediments</x:v>
      </x:c>
      <x:c r="D293" s="19" t="str">
        <x:v>Component C1</x:v>
      </x:c>
      <x:c r="E293" s="19" t="str">
        <x:v>PRESENT</x:v>
      </x:c>
      <x:c r="F293" s="19" t="str">
        <x:v>OP(HEM,MAGN)</x:v>
      </x:c>
      <x:c r="G293" s="19" t="str">
        <x:v>PAPER_ROW_MATCH</x:v>
      </x:c>
      <x:c r="H293" s="19" t="str">
        <x:v>locator_component</x:v>
      </x:c>
      <x:c r="I293" s="19" t="n">
        <x:v>9</x:v>
      </x:c>
      <x:c r="J293" s="19" t="str">
        <x:v>result_locator</x:v>
      </x:c>
      <x:c r="K293" s="19" t="str">
        <x:v>А is present-day, Р is Permian, С3 is Late Carboniferous, С2 is Middle Carboniferous, andС1 is Early Carboniferous for the rocks of the Serpukhovian and Visean ages is in the intervals 200–660 and 200–400°С. On one shown in Figs. 7d–7g; their statistical characteristics stratigraphic level, component P with normal polarity are presented in Table 2. is identified (Table 2, Fig. 7j). The third component, The Visean rocks (Priksha River) have three J C1, is isolated in the interval 300–660°С (Fig. 6, sam- n components. The first component P is distinguished ple 4898V), and in part of the samples in the interval in clays (Fig. 6, samples 7263-2, 7267V, and 7269-4) 600–660°С. The distribution of components P and C1 IZVESTIYA, PHYSICS OF THE SOLID EARTH Vol. 54 No. 1 2018</x:v>
      </x:c>
      <x:c r="L293" s="19" t="str">
        <x:v>/Users/lihd/discovery/paleomagnetic-r3-workflow/dist/paleomagnetic-r357-calibrated-workflow-full/data/parsed_mds/4298.txt</x:v>
      </x:c>
    </x:row>
    <x:row r="294" ht="52" customHeight="1">
      <x:c r="A294" s="19" t="str">
        <x:v>4298</x:v>
      </x:c>
      <x:c r="B294" s="19" t="str">
        <x:v>10191</x:v>
      </x:c>
      <x:c r="C294" s="19" t="str">
        <x:v>Visean Sediments</x:v>
      </x:c>
      <x:c r="D294" s="19" t="str">
        <x:v>Component C1</x:v>
      </x:c>
      <x:c r="E294" s="19" t="str">
        <x:v>PRESENT</x:v>
      </x:c>
      <x:c r="F294" s="19" t="str">
        <x:v>OP(HEM,MAGN)</x:v>
      </x:c>
      <x:c r="G294" s="19" t="str">
        <x:v>PAPER_ROW_MATCH</x:v>
      </x:c>
      <x:c r="H294" s="19" t="str">
        <x:v>locator_direction</x:v>
      </x:c>
      <x:c r="I294" s="19" t="n">
        <x:v>9</x:v>
      </x:c>
      <x:c r="J294" s="19" t="str">
        <x:v>result_locator</x:v>
      </x:c>
      <x:c r="K294" s="19" t="str">
        <x:v>162 4 7 12 С g 2 3 C0 (460–540°С) s 4/4 240 –3 20 21 Gigant plant quarry, lower reaches of Moscow River, basal part of Kasimovian 3 С k С3 (300–540°С) s 3/5 231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horizon, Visean 11 С v Р (200–660°С) s 3/6 39 51 155 10 53 152 9 14 32 1 12 С v Р (200–660°С) s 30/55 218 –43 53 4 47 158 3 5 25 1 13 С1 (300–660°С)</x:v>
      </x:c>
      <x:c r="L294" s="19" t="str">
        <x:v>/Users/lihd/discovery/paleomagnetic-r3-workflow/dist/paleomagnetic-r357-calibrated-workflow-full/data/parsed_mds/4298.txt</x:v>
      </x:c>
    </x:row>
    <x:row r="295" ht="52" customHeight="1">
      <x:c r="A295" s="19" t="str">
        <x:v>4298</x:v>
      </x:c>
      <x:c r="B295" s="19" t="str">
        <x:v>10191</x:v>
      </x:c>
      <x:c r="C295" s="19" t="str">
        <x:v>Visean Sediments</x:v>
      </x:c>
      <x:c r="D295" s="19" t="str">
        <x:v>Component C1</x:v>
      </x:c>
      <x:c r="E295" s="19" t="str">
        <x:v>PRESENT</x:v>
      </x:c>
      <x:c r="F295" s="19" t="str">
        <x:v>OP(HEM,MAGN)</x:v>
      </x:c>
      <x:c r="G295" s="19" t="str">
        <x:v>PAPER_ROW_MATCH</x:v>
      </x:c>
      <x:c r="H295" s="19" t="str">
        <x:v>locator_pole</x:v>
      </x:c>
      <x:c r="I295" s="19" t="n">
        <x:v>9</x:v>
      </x:c>
      <x:c r="J295" s="19" t="str">
        <x:v>result_locator</x:v>
      </x:c>
      <x:c r="K295" s="19" t="str">
        <x:v>С g 2 3 C0 (460–540°С) s 4/4 240 –3 20 21 Gigant plant quarry, lower reaches of Moscow River, basal part of Kasimovian 3 С k С3 (300–540°С) s 3/5 231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horizon, Visean 11 С v Р (200–660°С) s 3/6 39 51 155 10 53 152 9 14 32 1 12 С v Р (200–660°С) s 30/55 218 –43 53 4 47 158 3 5 25 1 13 С1 (300–660°С) s 7/12 222</x:v>
      </x:c>
      <x:c r="L295" s="19" t="str">
        <x:v>/Users/lihd/discovery/paleomagnetic-r3-workflow/dist/paleomagnetic-r357-calibrated-workflow-full/data/parsed_mds/4298.txt</x:v>
      </x:c>
    </x:row>
    <x:row r="296" ht="52" customHeight="1">
      <x:c r="A296" s="19" t="str">
        <x:v>4298</x:v>
      </x:c>
      <x:c r="B296" s="19" t="str">
        <x:v>10191</x:v>
      </x:c>
      <x:c r="C296" s="19" t="str">
        <x:v>Visean Sediments</x:v>
      </x:c>
      <x:c r="D296" s="19" t="str">
        <x:v>Component C1</x:v>
      </x:c>
      <x:c r="E296" s="19" t="str">
        <x:v>PRESENT</x:v>
      </x:c>
      <x:c r="F296" s="19" t="str">
        <x:v>OP(HEM,MAGN)</x:v>
      </x:c>
      <x:c r="G296" s="19" t="str">
        <x:v>PAPER_ROW_MATCH</x:v>
      </x:c>
      <x:c r="H296" s="19" t="str">
        <x:v>locator_component</x:v>
      </x:c>
      <x:c r="I296" s="19" t="n">
        <x:v>10</x:v>
      </x:c>
      <x:c r="J296" s="19" t="str">
        <x:v>result_locator</x:v>
      </x:c>
      <x:c r="K296" s="19" t="str">
        <x:v>ial reconstructions (Osipova and 200–670°С. Some samples have both these compo- Vel’skaya, 1967; Makhlina et al., 1993; 2001a; 2001b), nents (Fig. 6, sample 5511AD). The distributions of com- the eustatic fluctuations resulted in the fact that the ponents A and A1 are shown in Figs. 7l, 7n, and 7o, and spatial positions of a number of facies changed many the statistical characteristics are presented in Table 2. The times throughout the entire Cretaceous. These facies second component C3 is isolated in the temperature are the peripheral facies, shelf, and marginal lagoons; interval 200–670°С, Fig. 6, sample 5526U2. The distri- shallow coastal water; shallow open sea; and relatively bution of component C1 is not Fisher’s (Fig. 7l). For the deep-water marine facies. The regime of stable subsid- samples having component C1, we used the method of ence has been repeatedly changed by the overal</x:v>
      </x:c>
      <x:c r="L296" s="19" t="str">
        <x:v>/Users/lihd/discovery/paleomagnetic-r3-workflow/dist/paleomagnetic-r357-calibrated-workflow-full/data/parsed_mds/4298.txt</x:v>
      </x:c>
    </x:row>
    <x:row r="297" ht="52" customHeight="1">
      <x:c r="A297" s="19" t="str">
        <x:v>4298</x:v>
      </x:c>
      <x:c r="B297" s="19" t="str">
        <x:v>10192</x:v>
      </x:c>
      <x:c r="C297" s="19" t="str">
        <x:v>Visean Sediments, Priksha River</x:v>
      </x:c>
      <x:c r="D297" s="19" t="str">
        <x:v>Component P</x:v>
      </x:c>
      <x:c r="E297" s="19" t="str">
        <x:v>PRESENT</x:v>
      </x:c>
      <x:c r="F297" s="19" t="str">
        <x:v>SUSC-T,OP(MAGN,HEM)</x:v>
      </x:c>
      <x:c r="G297" s="19" t="str">
        <x:v>PAPER_ROW_MATCH</x:v>
      </x:c>
      <x:c r="H297" s="19" t="str">
        <x:v>method</x:v>
      </x:c>
      <x:c r="I297" s="19" t="n">
        <x:v>6</x:v>
      </x:c>
      <x:c r="J297" s="19" t="str">
        <x:v>near_target</x:v>
      </x:c>
      <x:c r="K297" s="19" t="str">
        <x:v>thin section</x:v>
      </x:c>
      <x:c r="L297" s="19" t="str">
        <x:v>/Users/lihd/discovery/paleomagnetic-r3-workflow/dist/paleomagnetic-r357-calibrated-workflow-full/data/parsed_mds/4298.txt</x:v>
      </x:c>
    </x:row>
    <x:row r="298" ht="52" customHeight="1">
      <x:c r="A298" s="19" t="str">
        <x:v>4298</x:v>
      </x:c>
      <x:c r="B298" s="19" t="str">
        <x:v>10192</x:v>
      </x:c>
      <x:c r="C298" s="19" t="str">
        <x:v>Visean Sediments, Priksha River</x:v>
      </x:c>
      <x:c r="D298" s="19" t="str">
        <x:v>Component P</x:v>
      </x:c>
      <x:c r="E298" s="19" t="str">
        <x:v>PRESENT</x:v>
      </x:c>
      <x:c r="F298" s="19" t="str">
        <x:v>SUSC-T,OP(MAGN,HEM)</x:v>
      </x:c>
      <x:c r="G298" s="19" t="str">
        <x:v>PAPER_ROW_MATCH</x:v>
      </x:c>
      <x:c r="H298" s="19" t="str">
        <x:v>method</x:v>
      </x:c>
      <x:c r="I298" s="19" t="n">
        <x:v>4</x:v>
      </x:c>
      <x:c r="J298" s="19" t="str">
        <x:v>target_context</x:v>
      </x:c>
      <x:c r="K298" s="19" t="str">
        <x:v>temperature depen- point of 560–580°C probably corresponding to non- dence of the magnetic susceptibility</x:v>
      </x:c>
      <x:c r="L298" s="19" t="str">
        <x:v>/Users/lihd/discovery/paleomagnetic-r3-workflow/dist/paleomagnetic-r357-calibrated-workflow-full/data/parsed_mds/4298.txt</x:v>
      </x:c>
    </x:row>
    <x:row r="299" ht="52" customHeight="1">
      <x:c r="A299" s="19" t="str">
        <x:v>4298</x:v>
      </x:c>
      <x:c r="B299" s="19" t="str">
        <x:v>10192</x:v>
      </x:c>
      <x:c r="C299" s="19" t="str">
        <x:v>Visean Sediments, Priksha River</x:v>
      </x:c>
      <x:c r="D299" s="19" t="str">
        <x:v>Component P</x:v>
      </x:c>
      <x:c r="E299" s="19" t="str">
        <x:v>PRESENT</x:v>
      </x:c>
      <x:c r="F299" s="19" t="str">
        <x:v>SUSC-T,OP(MAGN,HEM)</x:v>
      </x:c>
      <x:c r="G299" s="19" t="str">
        <x:v>PAPER_ROW_MATCH</x:v>
      </x:c>
      <x:c r="H299" s="19" t="str">
        <x:v>method</x:v>
      </x:c>
      <x:c r="I299" s="19" t="n">
        <x:v>4</x:v>
      </x:c>
      <x:c r="J299" s="19" t="str">
        <x:v>target_context</x:v>
      </x:c>
      <x:c r="K299" s="19" t="str">
        <x:v>thin section</x:v>
      </x:c>
      <x:c r="L299" s="19" t="str">
        <x:v>/Users/lihd/discovery/paleomagnetic-r3-workflow/dist/paleomagnetic-r357-calibrated-workflow-full/data/parsed_mds/4298.txt</x:v>
      </x:c>
    </x:row>
    <x:row r="300" ht="52" customHeight="1">
      <x:c r="A300" s="19" t="str">
        <x:v>4298</x:v>
      </x:c>
      <x:c r="B300" s="19" t="str">
        <x:v>10192</x:v>
      </x:c>
      <x:c r="C300" s="19" t="str">
        <x:v>Visean Sediments, Priksha River</x:v>
      </x:c>
      <x:c r="D300" s="19" t="str">
        <x:v>Component P</x:v>
      </x:c>
      <x:c r="E300" s="19" t="str">
        <x:v>PRESENT</x:v>
      </x:c>
      <x:c r="F300" s="19" t="str">
        <x:v>SUSC-T,OP(MAGN,HEM)</x:v>
      </x:c>
      <x:c r="G300" s="19" t="str">
        <x:v>PAPER_ROW_MATCH</x:v>
      </x:c>
      <x:c r="H300" s="19" t="str">
        <x:v>carrier</x:v>
      </x:c>
      <x:c r="I300" s="19" t="n">
        <x:v>4</x:v>
      </x:c>
      <x:c r="J300" s="19" t="str">
        <x:v>near_target</x:v>
      </x:c>
      <x:c r="K300" s="19" t="str">
        <x:v>magnetite</x:v>
      </x:c>
      <x:c r="L300" s="19" t="str">
        <x:v>/Users/lihd/discovery/paleomagnetic-r3-workflow/dist/paleomagnetic-r357-calibrated-workflow-full/data/parsed_mds/4298.txt</x:v>
      </x:c>
    </x:row>
    <x:row r="301" ht="52" customHeight="1">
      <x:c r="A301" s="19" t="str">
        <x:v>4298</x:v>
      </x:c>
      <x:c r="B301" s="19" t="str">
        <x:v>10192</x:v>
      </x:c>
      <x:c r="C301" s="19" t="str">
        <x:v>Visean Sediments, Priksha River</x:v>
      </x:c>
      <x:c r="D301" s="19" t="str">
        <x:v>Component P</x:v>
      </x:c>
      <x:c r="E301" s="19" t="str">
        <x:v>PRESENT</x:v>
      </x:c>
      <x:c r="F301" s="19" t="str">
        <x:v>SUSC-T,OP(MAGN,HEM)</x:v>
      </x:c>
      <x:c r="G301" s="19" t="str">
        <x:v>PAPER_ROW_MATCH</x:v>
      </x:c>
      <x:c r="H301" s="19" t="str">
        <x:v>carrier</x:v>
      </x:c>
      <x:c r="I301" s="19" t="n">
        <x:v>4</x:v>
      </x:c>
      <x:c r="J301" s="19" t="str">
        <x:v>near_target</x:v>
      </x:c>
      <x:c r="K301" s="19" t="str">
        <x:v>hematite</x:v>
      </x:c>
      <x:c r="L301" s="19" t="str">
        <x:v>/Users/lihd/discovery/paleomagnetic-r3-workflow/dist/paleomagnetic-r357-calibrated-workflow-full/data/parsed_mds/4298.txt</x:v>
      </x:c>
    </x:row>
    <x:row r="302" ht="52" customHeight="1">
      <x:c r="A302" s="19" t="str">
        <x:v>4298</x:v>
      </x:c>
      <x:c r="B302" s="19" t="str">
        <x:v>10192</x:v>
      </x:c>
      <x:c r="C302" s="19" t="str">
        <x:v>Visean Sediments, Priksha River</x:v>
      </x:c>
      <x:c r="D302" s="19" t="str">
        <x:v>Component P</x:v>
      </x:c>
      <x:c r="E302" s="19" t="str">
        <x:v>PRESENT</x:v>
      </x:c>
      <x:c r="F302" s="19" t="str">
        <x:v>SUSC-T,OP(MAGN,HEM)</x:v>
      </x:c>
      <x:c r="G302" s="19" t="str">
        <x:v>PAPER_ROW_MATCH</x:v>
      </x:c>
      <x:c r="H302" s="19" t="str">
        <x:v>carrier</x:v>
      </x:c>
      <x:c r="I302" s="19" t="n">
        <x:v>4</x:v>
      </x:c>
      <x:c r="J302" s="19" t="str">
        <x:v>near_target</x:v>
      </x:c>
      <x:c r="K302" s="19" t="str">
        <x:v>Hematite</x:v>
      </x:c>
      <x:c r="L302" s="19" t="str">
        <x:v>/Users/lihd/discovery/paleomagnetic-r3-workflow/dist/paleomagnetic-r357-calibrated-workflow-full/data/parsed_mds/4298.txt</x:v>
      </x:c>
    </x:row>
    <x:row r="303" ht="52" customHeight="1">
      <x:c r="A303" s="19" t="str">
        <x:v>4298</x:v>
      </x:c>
      <x:c r="B303" s="19" t="str">
        <x:v>10192</x:v>
      </x:c>
      <x:c r="C303" s="19" t="str">
        <x:v>Visean Sediments, Priksha River</x:v>
      </x:c>
      <x:c r="D303" s="19" t="str">
        <x:v>Component P</x:v>
      </x:c>
      <x:c r="E303" s="19" t="str">
        <x:v>PRESENT</x:v>
      </x:c>
      <x:c r="F303" s="19" t="str">
        <x:v>SUSC-T,OP(MAGN,HEM)</x:v>
      </x:c>
      <x:c r="G303" s="19" t="str">
        <x:v>PAPER_ROW_MATCH</x:v>
      </x:c>
      <x:c r="H303" s="19" t="str">
        <x:v>carrier</x:v>
      </x:c>
      <x:c r="I303" s="19" t="n">
        <x:v>5</x:v>
      </x:c>
      <x:c r="J303" s="19" t="str">
        <x:v>near_target</x:v>
      </x:c>
      <x:c r="K303" s="19" t="str">
        <x:v>hematite</x:v>
      </x:c>
      <x:c r="L303" s="19" t="str">
        <x:v>/Users/lihd/discovery/paleomagnetic-r3-workflow/dist/paleomagnetic-r357-calibrated-workflow-full/data/parsed_mds/4298.txt</x:v>
      </x:c>
    </x:row>
    <x:row r="304" ht="52" customHeight="1">
      <x:c r="A304" s="19" t="str">
        <x:v>4298</x:v>
      </x:c>
      <x:c r="B304" s="19" t="str">
        <x:v>10192</x:v>
      </x:c>
      <x:c r="C304" s="19" t="str">
        <x:v>Visean Sediments, Priksha River</x:v>
      </x:c>
      <x:c r="D304" s="19" t="str">
        <x:v>Component P</x:v>
      </x:c>
      <x:c r="E304" s="19" t="str">
        <x:v>PRESENT</x:v>
      </x:c>
      <x:c r="F304" s="19" t="str">
        <x:v>SUSC-T,OP(MAGN,HEM)</x:v>
      </x:c>
      <x:c r="G304" s="19" t="str">
        <x:v>PAPER_ROW_MATCH</x:v>
      </x:c>
      <x:c r="H304" s="19" t="str">
        <x:v>carrier</x:v>
      </x:c>
      <x:c r="I304" s="19" t="n">
        <x:v>6</x:v>
      </x:c>
      <x:c r="J304" s="19" t="str">
        <x:v>near_target</x:v>
      </x:c>
      <x:c r="K304" s="19" t="str">
        <x:v>hematite</x:v>
      </x:c>
      <x:c r="L304" s="19" t="str">
        <x:v>/Users/lihd/discovery/paleomagnetic-r3-workflow/dist/paleomagnetic-r357-calibrated-workflow-full/data/parsed_mds/4298.txt</x:v>
      </x:c>
    </x:row>
    <x:row r="305" ht="52" customHeight="1">
      <x:c r="A305" s="19" t="str">
        <x:v>4298</x:v>
      </x:c>
      <x:c r="B305" s="19" t="str">
        <x:v>10192</x:v>
      </x:c>
      <x:c r="C305" s="19" t="str">
        <x:v>Visean Sediments, Priksha River</x:v>
      </x:c>
      <x:c r="D305" s="19" t="str">
        <x:v>Component P</x:v>
      </x:c>
      <x:c r="E305" s="19" t="str">
        <x:v>PRESENT</x:v>
      </x:c>
      <x:c r="F305" s="19" t="str">
        <x:v>SUSC-T,OP(MAGN,HEM)</x:v>
      </x:c>
      <x:c r="G305" s="19" t="str">
        <x:v>PAPER_ROW_MATCH</x:v>
      </x:c>
      <x:c r="H305" s="19" t="str">
        <x:v>locator_direction</x:v>
      </x:c>
      <x:c r="I305" s="19" t="n">
        <x:v>9</x:v>
      </x:c>
      <x:c r="J305" s="19" t="str">
        <x:v>result_locator</x:v>
      </x:c>
      <x:c r="K305" s="19" t="str">
        <x:v>ow River, basal part of Kasimovian 3 С k С3 (300–540°С) s 3/5 231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horizon, Visean 11 С v Р (200–660°С) s 3/6 39 51 155 10 53 152 9 14 32 1 12 С v Р (200–660°С) s 30/55 218 –43 53 4 47 158 3 5 25 1 13 С1 (300–660°С) s 7/12 222 –15 97 6 30 164 3 6 8 Donbass, sandy clay stratum in basal part of Kartamyshian sui</x:v>
      </x:c>
      <x:c r="L305" s="19" t="str">
        <x:v>/Users/lihd/discovery/paleomagnetic-r3-workflow/dist/paleomagnetic-r357-calibrated-workflow-full/data/parsed_mds/4298.txt</x:v>
      </x:c>
    </x:row>
    <x:row r="306" ht="52" customHeight="1">
      <x:c r="A306" s="19" t="str">
        <x:v>4298</x:v>
      </x:c>
      <x:c r="B306" s="19" t="str">
        <x:v>10192</x:v>
      </x:c>
      <x:c r="C306" s="19" t="str">
        <x:v>Visean Sediments, Priksha River</x:v>
      </x:c>
      <x:c r="D306" s="19" t="str">
        <x:v>Component P</x:v>
      </x:c>
      <x:c r="E306" s="19" t="str">
        <x:v>PRESENT</x:v>
      </x:c>
      <x:c r="F306" s="19" t="str">
        <x:v>SUSC-T,OP(MAGN,HEM)</x:v>
      </x:c>
      <x:c r="G306" s="19" t="str">
        <x:v>PAPER_ROW_MATCH</x:v>
      </x:c>
      <x:c r="H306" s="19" t="str">
        <x:v>locator_pole</x:v>
      </x:c>
      <x:c r="I306" s="19" t="n">
        <x:v>9</x:v>
      </x:c>
      <x:c r="J306" s="19" t="str">
        <x:v>result_locator</x:v>
      </x:c>
      <x:c r="K306" s="19" t="str">
        <x:v>Ε dp° dm° ϕ° intervals, °С) 95 m Moscow Region, Bun’kovski quarry, Shchelkovskii stratum, Gzhelian 1 С3 (300–540°С) s 5/10 225 –23 119 7 34 162 4 7 12 С g 2 3 C0 (460–540°С) s 4/4 240 –3 20 21 Gigant plant quarry, lower reaches of Moscow River, basal part of Kasimovian 3 С k С3 (300–540°С) s 3/5 231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horizon,</x:v>
      </x:c>
      <x:c r="L306" s="19" t="str">
        <x:v>/Users/lihd/discovery/paleomagnetic-r3-workflow/dist/paleomagnetic-r357-calibrated-workflow-full/data/parsed_mds/4298.txt</x:v>
      </x:c>
    </x:row>
    <x:row r="307" ht="52" customHeight="1">
      <x:c r="A307" s="19" t="str">
        <x:v>4298</x:v>
      </x:c>
      <x:c r="B307" s="19" t="str">
        <x:v>10192</x:v>
      </x:c>
      <x:c r="C307" s="19" t="str">
        <x:v>Visean Sediments, Priksha River</x:v>
      </x:c>
      <x:c r="D307" s="19" t="str">
        <x:v>Component P</x:v>
      </x:c>
      <x:c r="E307" s="19" t="str">
        <x:v>PRESENT</x:v>
      </x:c>
      <x:c r="F307" s="19" t="str">
        <x:v>SUSC-T,OP(MAGN,HEM)</x:v>
      </x:c>
      <x:c r="G307" s="19" t="str">
        <x:v>PAPER_ROW_MATCH</x:v>
      </x:c>
      <x:c r="H307" s="19" t="str">
        <x:v>locator_pole</x:v>
      </x:c>
      <x:c r="I307" s="19" t="n">
        <x:v>9</x:v>
      </x:c>
      <x:c r="J307" s="19" t="str">
        <x:v>result_locator</x:v>
      </x:c>
      <x:c r="K307" s="19" t="str">
        <x:v>al part of Kasimovian 3 С k С3 (300–540°С) s 3/5 231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horizon, Visean 11 С v Р (200–660°С) s 3/6 39 51 155 10 53 152 9 14 32 1 12 С v Р (200–660°С) s 30/55 218 –43 53 4 47 158 3 5 25 1 13 С1 (300–660°С) s 7/12 222 –15 97 6 30 164 3 6 8 Donbass, sandy clay stratum in basal part of Kartamyshian suite 14 g 348 6</x:v>
      </x:c>
      <x:c r="L307" s="19" t="str">
        <x:v>/Users/lihd/discovery/paleomagnetic-r3-workflow/dist/paleomagnetic-r357-calibrated-workflow-full/data/parsed_mds/4298.txt</x:v>
      </x:c>
    </x:row>
    <x:row r="308" ht="52" customHeight="1">
      <x:c r="A308" s="19" t="str">
        <x:v>4298</x:v>
      </x:c>
      <x:c r="B308" s="19" t="str">
        <x:v>10192</x:v>
      </x:c>
      <x:c r="C308" s="19" t="str">
        <x:v>Visean Sediments, Priksha River</x:v>
      </x:c>
      <x:c r="D308" s="19" t="str">
        <x:v>Component P</x:v>
      </x:c>
      <x:c r="E308" s="19" t="str">
        <x:v>PRESENT</x:v>
      </x:c>
      <x:c r="F308" s="19" t="str">
        <x:v>SUSC-T,OP(MAGN,HEM)</x:v>
      </x:c>
      <x:c r="G308" s="19" t="str">
        <x:v>PAPER_ROW_MATCH</x:v>
      </x:c>
      <x:c r="H308" s="19" t="str">
        <x:v>locator_pole</x:v>
      </x:c>
      <x:c r="I308" s="19" t="n">
        <x:v>9</x:v>
      </x:c>
      <x:c r="J308" s="19" t="str">
        <x:v>result_locator</x:v>
      </x:c>
      <x:c r="K308" s="19" t="str">
        <x:v>part of Kasimovian 3 С k С3 (300–540°С) s 3/5 231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horizon, Visean 11 С v Р (200–660°С) s 3/6 39 51 155 10 53 152 9 14 32 1 12 С v Р (200–660°С) s 30/55 218 –43 53 4 47 158 3 5 25 1 13 С1 (300–660°С) s 7/12 222 –15 97 6 30 164 3 6 8 Donbass, sandy clay stratum in basal part of Kartamyshian suite 14 g 348 67 5</x:v>
      </x:c>
      <x:c r="L308" s="19" t="str">
        <x:v>/Users/lihd/discovery/paleomagnetic-r3-workflow/dist/paleomagnetic-r357-calibrated-workflow-full/data/parsed_mds/4298.txt</x:v>
      </x:c>
    </x:row>
    <x:row r="309" ht="52" customHeight="1">
      <x:c r="A309" s="19" t="str">
        <x:v>4298</x:v>
      </x:c>
      <x:c r="B309" s="19" t="str">
        <x:v>10192</x:v>
      </x:c>
      <x:c r="C309" s="19" t="str">
        <x:v>Visean Sediments, Priksha River</x:v>
      </x:c>
      <x:c r="D309" s="19" t="str">
        <x:v>Component P</x:v>
      </x:c>
      <x:c r="E309" s="19" t="str">
        <x:v>PRESENT</x:v>
      </x:c>
      <x:c r="F309" s="19" t="str">
        <x:v>SUSC-T,OP(MAGN,HEM)</x:v>
      </x:c>
      <x:c r="G309" s="19" t="str">
        <x:v>PAPER_ROW_MATCH</x:v>
      </x:c>
      <x:c r="H309" s="19" t="str">
        <x:v>locator_pole</x:v>
      </x:c>
      <x:c r="I309" s="19" t="n">
        <x:v>11</x:v>
      </x:c>
      <x:c r="J309" s="19" t="str">
        <x:v>result_locator</x:v>
      </x:c>
      <x:c r="K309" s="19" t="str">
        <x:v>E CARBONIFEROUS OF THE MOSCOW SYNECLISE 173 Table 3. Average paleomagnetic poles for studied Carboniferous deposits of Russian platform GPMDB No. result no./ ϕ,° N λ,° E Φ,ο Ν Λ,° Ε dp° dm° Age, Ma source Gzhelian 1 4900 55.6 38.5 42 167 1 2 303 2 4899 55.6 38.5 46 177 3 5 303 3 4901 56 38.5 42 169 1 2 303 4 /(1) 55.6 38.5 43 167 3 5 303 5 t. w. 55.3 38.6 34 162 4 7 6 С g N = 5 42 168 A = 5° 303 3 95 Moskovian 7 /(1) 56.2 34.4 41 166 4 7 312 8 4913 56.5 34.5 33 159 2 4 313 9 /(1) 54.9 37.4 38 166 4 6 315 10 С m N = 3 37 164 A = 5° 313 2 95 Lower Carboniferous (C s–C v), component Р 1 1 11 /(1) 59.5 33.9 52 151 4 6 12 4938 59.5 34.0 49 164 6 4 13 t. w. 58.3 34.0 56 152 4 6 14 t. w. 58.3 33.6 53 152 9 14 15 /(2) 58.3 33.6 52 164 3 5 16 4937 59.3 34.0 45 156 3 5 17 t. w. 58.3 33.6 47 158 3 5 18 Р N = 7 51 157 A = 3° 265–270 95 Lower Carboniferous (C s–C v), component С1 1 1 19 t. w. 58.3 34</x:v>
      </x:c>
      <x:c r="L309" s="19" t="str">
        <x:v>/Users/lihd/discovery/paleomagnetic-r3-workflow/dist/paleomagnetic-r357-calibrated-workflow-full/data/parsed_mds/4298.txt</x:v>
      </x:c>
    </x:row>
    <x:row r="310" ht="52" customHeight="1">
      <x:c r="A310" s="19" t="str">
        <x:v>4298</x:v>
      </x:c>
      <x:c r="B310" s="19" t="str">
        <x:v>10192</x:v>
      </x:c>
      <x:c r="C310" s="19" t="str">
        <x:v>Visean Sediments, Priksha River</x:v>
      </x:c>
      <x:c r="D310" s="19" t="str">
        <x:v>Component P</x:v>
      </x:c>
      <x:c r="E310" s="19" t="str">
        <x:v>PRESENT</x:v>
      </x:c>
      <x:c r="F310" s="19" t="str">
        <x:v>SUSC-T,OP(MAGN,HEM)</x:v>
      </x:c>
      <x:c r="G310" s="19" t="str">
        <x:v>PAPER_ROW_MATCH</x:v>
      </x:c>
      <x:c r="H310" s="19" t="str">
        <x:v>locator_pole</x:v>
      </x:c>
      <x:c r="I310" s="19" t="n">
        <x:v>11</x:v>
      </x:c>
      <x:c r="J310" s="19" t="str">
        <x:v>result_locator</x:v>
      </x:c>
      <x:c r="K310" s="19" t="str">
        <x:v>THE CARBONIFEROUS OF THE MOSCOW SYNECLISE 173 Table 3. Average paleomagnetic poles for studied Carboniferous deposits of Russian platform GPMDB No. result no./ ϕ,° N λ,° E Φ,ο Ν Λ,° Ε dp° dm° Age, Ma source Gzhelian 1 4900 55.6 38.5 42 167 1 2 303 2 4899 55.6 38.5 46 177 3 5 303 3 4901 56 38.5 42 169 1 2 303 4 /(1) 55.6 38.5 43 167 3 5 303 5 t. w. 55.3 38.6 34 162 4 7 6 С g N = 5 42 168 A = 5° 303 3 95 Moskovian 7 /(1) 56.2 34.4 41 166 4 7 312 8 4913 56.5 34.5 33 159 2 4 313 9 /(1) 54.9 37.4 38 166 4 6 315 10 С m N = 3 37 164 A = 5° 313 2 95 Lower Carboniferous (C s–C v), component Р 1 1 11 /(1) 59.5 33.9 52 151 4 6 12 4938 59.5 34.0 49 164 6 4 13 t. w. 58.3 34.0 56 152 4 6 14 t. w. 58.3 33.6 53 152 9 14 15 /(2) 58.3 33.6 52 164 3 5 16 4937 59.3 34.0 45 156 3 5 17 t. w. 58.3 33.6 47 158 3 5 18 Р N = 7 51 157 A = 3° 265–270 95 Lower Carboniferous (C s–C v), component С1 1 1 19 t. w. 58.3 </x:v>
      </x:c>
      <x:c r="L310" s="19" t="str">
        <x:v>/Users/lihd/discovery/paleomagnetic-r3-workflow/dist/paleomagnetic-r357-calibrated-workflow-full/data/parsed_mds/4298.txt</x:v>
      </x:c>
    </x:row>
    <x:row r="311" ht="52" customHeight="1">
      <x:c r="A311" s="19" t="str">
        <x:v>4298</x:v>
      </x:c>
      <x:c r="B311" s="19" t="str">
        <x:v>10193</x:v>
      </x:c>
      <x:c r="C311" s="19" t="str">
        <x:v>Visean Sediments, Priksha River</x:v>
      </x:c>
      <x:c r="D311" s="19" t="str">
        <x:v>Component P</x:v>
      </x:c>
      <x:c r="E311" s="19" t="str">
        <x:v>PRESENT</x:v>
      </x:c>
      <x:c r="F311" s="19" t="str">
        <x:v>SUSC-T,OP(MAGN,HEM)</x:v>
      </x:c>
      <x:c r="G311" s="19" t="str">
        <x:v>PAPER_ROW_MATCH</x:v>
      </x:c>
      <x:c r="H311" s="19" t="str">
        <x:v>method</x:v>
      </x:c>
      <x:c r="I311" s="19" t="n">
        <x:v>6</x:v>
      </x:c>
      <x:c r="J311" s="19" t="str">
        <x:v>near_target</x:v>
      </x:c>
      <x:c r="K311" s="19" t="str">
        <x:v>thin section</x:v>
      </x:c>
      <x:c r="L311" s="19" t="str">
        <x:v>/Users/lihd/discovery/paleomagnetic-r3-workflow/dist/paleomagnetic-r357-calibrated-workflow-full/data/parsed_mds/4298.txt</x:v>
      </x:c>
    </x:row>
    <x:row r="312" ht="52" customHeight="1">
      <x:c r="A312" s="19" t="str">
        <x:v>4298</x:v>
      </x:c>
      <x:c r="B312" s="19" t="str">
        <x:v>10193</x:v>
      </x:c>
      <x:c r="C312" s="19" t="str">
        <x:v>Visean Sediments, Priksha River</x:v>
      </x:c>
      <x:c r="D312" s="19" t="str">
        <x:v>Component P</x:v>
      </x:c>
      <x:c r="E312" s="19" t="str">
        <x:v>PRESENT</x:v>
      </x:c>
      <x:c r="F312" s="19" t="str">
        <x:v>SUSC-T,OP(MAGN,HEM)</x:v>
      </x:c>
      <x:c r="G312" s="19" t="str">
        <x:v>PAPER_ROW_MATCH</x:v>
      </x:c>
      <x:c r="H312" s="19" t="str">
        <x:v>method</x:v>
      </x:c>
      <x:c r="I312" s="19" t="n">
        <x:v>4</x:v>
      </x:c>
      <x:c r="J312" s="19" t="str">
        <x:v>target_context</x:v>
      </x:c>
      <x:c r="K312" s="19" t="str">
        <x:v>temperature depen- point of 560–580°C probably corresponding to non- dence of the magnetic susceptibility</x:v>
      </x:c>
      <x:c r="L312" s="19" t="str">
        <x:v>/Users/lihd/discovery/paleomagnetic-r3-workflow/dist/paleomagnetic-r357-calibrated-workflow-full/data/parsed_mds/4298.txt</x:v>
      </x:c>
    </x:row>
    <x:row r="313" ht="52" customHeight="1">
      <x:c r="A313" s="19" t="str">
        <x:v>4298</x:v>
      </x:c>
      <x:c r="B313" s="19" t="str">
        <x:v>10193</x:v>
      </x:c>
      <x:c r="C313" s="19" t="str">
        <x:v>Visean Sediments, Priksha River</x:v>
      </x:c>
      <x:c r="D313" s="19" t="str">
        <x:v>Component P</x:v>
      </x:c>
      <x:c r="E313" s="19" t="str">
        <x:v>PRESENT</x:v>
      </x:c>
      <x:c r="F313" s="19" t="str">
        <x:v>SUSC-T,OP(MAGN,HEM)</x:v>
      </x:c>
      <x:c r="G313" s="19" t="str">
        <x:v>PAPER_ROW_MATCH</x:v>
      </x:c>
      <x:c r="H313" s="19" t="str">
        <x:v>method</x:v>
      </x:c>
      <x:c r="I313" s="19" t="n">
        <x:v>4</x:v>
      </x:c>
      <x:c r="J313" s="19" t="str">
        <x:v>target_context</x:v>
      </x:c>
      <x:c r="K313" s="19" t="str">
        <x:v>thin section</x:v>
      </x:c>
      <x:c r="L313" s="19" t="str">
        <x:v>/Users/lihd/discovery/paleomagnetic-r3-workflow/dist/paleomagnetic-r357-calibrated-workflow-full/data/parsed_mds/4298.txt</x:v>
      </x:c>
    </x:row>
    <x:row r="314" ht="52" customHeight="1">
      <x:c r="A314" s="19" t="str">
        <x:v>4298</x:v>
      </x:c>
      <x:c r="B314" s="19" t="str">
        <x:v>10193</x:v>
      </x:c>
      <x:c r="C314" s="19" t="str">
        <x:v>Visean Sediments, Priksha River</x:v>
      </x:c>
      <x:c r="D314" s="19" t="str">
        <x:v>Component P</x:v>
      </x:c>
      <x:c r="E314" s="19" t="str">
        <x:v>PRESENT</x:v>
      </x:c>
      <x:c r="F314" s="19" t="str">
        <x:v>SUSC-T,OP(MAGN,HEM)</x:v>
      </x:c>
      <x:c r="G314" s="19" t="str">
        <x:v>PAPER_ROW_MATCH</x:v>
      </x:c>
      <x:c r="H314" s="19" t="str">
        <x:v>carrier</x:v>
      </x:c>
      <x:c r="I314" s="19" t="n">
        <x:v>4</x:v>
      </x:c>
      <x:c r="J314" s="19" t="str">
        <x:v>near_target</x:v>
      </x:c>
      <x:c r="K314" s="19" t="str">
        <x:v>magnetite</x:v>
      </x:c>
      <x:c r="L314" s="19" t="str">
        <x:v>/Users/lihd/discovery/paleomagnetic-r3-workflow/dist/paleomagnetic-r357-calibrated-workflow-full/data/parsed_mds/4298.txt</x:v>
      </x:c>
    </x:row>
    <x:row r="315" ht="52" customHeight="1">
      <x:c r="A315" s="19" t="str">
        <x:v>4298</x:v>
      </x:c>
      <x:c r="B315" s="19" t="str">
        <x:v>10193</x:v>
      </x:c>
      <x:c r="C315" s="19" t="str">
        <x:v>Visean Sediments, Priksha River</x:v>
      </x:c>
      <x:c r="D315" s="19" t="str">
        <x:v>Component P</x:v>
      </x:c>
      <x:c r="E315" s="19" t="str">
        <x:v>PRESENT</x:v>
      </x:c>
      <x:c r="F315" s="19" t="str">
        <x:v>SUSC-T,OP(MAGN,HEM)</x:v>
      </x:c>
      <x:c r="G315" s="19" t="str">
        <x:v>PAPER_ROW_MATCH</x:v>
      </x:c>
      <x:c r="H315" s="19" t="str">
        <x:v>carrier</x:v>
      </x:c>
      <x:c r="I315" s="19" t="n">
        <x:v>4</x:v>
      </x:c>
      <x:c r="J315" s="19" t="str">
        <x:v>near_target</x:v>
      </x:c>
      <x:c r="K315" s="19" t="str">
        <x:v>hematite</x:v>
      </x:c>
      <x:c r="L315" s="19" t="str">
        <x:v>/Users/lihd/discovery/paleomagnetic-r3-workflow/dist/paleomagnetic-r357-calibrated-workflow-full/data/parsed_mds/4298.txt</x:v>
      </x:c>
    </x:row>
    <x:row r="316" ht="52" customHeight="1">
      <x:c r="A316" s="19" t="str">
        <x:v>4298</x:v>
      </x:c>
      <x:c r="B316" s="19" t="str">
        <x:v>10193</x:v>
      </x:c>
      <x:c r="C316" s="19" t="str">
        <x:v>Visean Sediments, Priksha River</x:v>
      </x:c>
      <x:c r="D316" s="19" t="str">
        <x:v>Component P</x:v>
      </x:c>
      <x:c r="E316" s="19" t="str">
        <x:v>PRESENT</x:v>
      </x:c>
      <x:c r="F316" s="19" t="str">
        <x:v>SUSC-T,OP(MAGN,HEM)</x:v>
      </x:c>
      <x:c r="G316" s="19" t="str">
        <x:v>PAPER_ROW_MATCH</x:v>
      </x:c>
      <x:c r="H316" s="19" t="str">
        <x:v>carrier</x:v>
      </x:c>
      <x:c r="I316" s="19" t="n">
        <x:v>4</x:v>
      </x:c>
      <x:c r="J316" s="19" t="str">
        <x:v>near_target</x:v>
      </x:c>
      <x:c r="K316" s="19" t="str">
        <x:v>Hematite</x:v>
      </x:c>
      <x:c r="L316" s="19" t="str">
        <x:v>/Users/lihd/discovery/paleomagnetic-r3-workflow/dist/paleomagnetic-r357-calibrated-workflow-full/data/parsed_mds/4298.txt</x:v>
      </x:c>
    </x:row>
    <x:row r="317" ht="52" customHeight="1">
      <x:c r="A317" s="19" t="str">
        <x:v>4298</x:v>
      </x:c>
      <x:c r="B317" s="19" t="str">
        <x:v>10193</x:v>
      </x:c>
      <x:c r="C317" s="19" t="str">
        <x:v>Visean Sediments, Priksha River</x:v>
      </x:c>
      <x:c r="D317" s="19" t="str">
        <x:v>Component P</x:v>
      </x:c>
      <x:c r="E317" s="19" t="str">
        <x:v>PRESENT</x:v>
      </x:c>
      <x:c r="F317" s="19" t="str">
        <x:v>SUSC-T,OP(MAGN,HEM)</x:v>
      </x:c>
      <x:c r="G317" s="19" t="str">
        <x:v>PAPER_ROW_MATCH</x:v>
      </x:c>
      <x:c r="H317" s="19" t="str">
        <x:v>carrier</x:v>
      </x:c>
      <x:c r="I317" s="19" t="n">
        <x:v>5</x:v>
      </x:c>
      <x:c r="J317" s="19" t="str">
        <x:v>near_target</x:v>
      </x:c>
      <x:c r="K317" s="19" t="str">
        <x:v>hematite</x:v>
      </x:c>
      <x:c r="L317" s="19" t="str">
        <x:v>/Users/lihd/discovery/paleomagnetic-r3-workflow/dist/paleomagnetic-r357-calibrated-workflow-full/data/parsed_mds/4298.txt</x:v>
      </x:c>
    </x:row>
    <x:row r="318" ht="52" customHeight="1">
      <x:c r="A318" s="19" t="str">
        <x:v>4298</x:v>
      </x:c>
      <x:c r="B318" s="19" t="str">
        <x:v>10193</x:v>
      </x:c>
      <x:c r="C318" s="19" t="str">
        <x:v>Visean Sediments, Priksha River</x:v>
      </x:c>
      <x:c r="D318" s="19" t="str">
        <x:v>Component P</x:v>
      </x:c>
      <x:c r="E318" s="19" t="str">
        <x:v>PRESENT</x:v>
      </x:c>
      <x:c r="F318" s="19" t="str">
        <x:v>SUSC-T,OP(MAGN,HEM)</x:v>
      </x:c>
      <x:c r="G318" s="19" t="str">
        <x:v>PAPER_ROW_MATCH</x:v>
      </x:c>
      <x:c r="H318" s="19" t="str">
        <x:v>carrier</x:v>
      </x:c>
      <x:c r="I318" s="19" t="n">
        <x:v>6</x:v>
      </x:c>
      <x:c r="J318" s="19" t="str">
        <x:v>near_target</x:v>
      </x:c>
      <x:c r="K318" s="19" t="str">
        <x:v>hematite</x:v>
      </x:c>
      <x:c r="L318" s="19" t="str">
        <x:v>/Users/lihd/discovery/paleomagnetic-r3-workflow/dist/paleomagnetic-r357-calibrated-workflow-full/data/parsed_mds/4298.txt</x:v>
      </x:c>
    </x:row>
    <x:row r="319" ht="52" customHeight="1">
      <x:c r="A319" s="19" t="str">
        <x:v>4298</x:v>
      </x:c>
      <x:c r="B319" s="19" t="str">
        <x:v>10193</x:v>
      </x:c>
      <x:c r="C319" s="19" t="str">
        <x:v>Visean Sediments, Priksha River</x:v>
      </x:c>
      <x:c r="D319" s="19" t="str">
        <x:v>Component P</x:v>
      </x:c>
      <x:c r="E319" s="19" t="str">
        <x:v>PRESENT</x:v>
      </x:c>
      <x:c r="F319" s="19" t="str">
        <x:v>SUSC-T,OP(MAGN,HEM)</x:v>
      </x:c>
      <x:c r="G319" s="19" t="str">
        <x:v>PAPER_ROW_MATCH</x:v>
      </x:c>
      <x:c r="H319" s="19" t="str">
        <x:v>locator_direction</x:v>
      </x:c>
      <x:c r="I319" s="19" t="n">
        <x:v>9</x:v>
      </x:c>
      <x:c r="J319" s="19" t="str">
        <x:v>result_locator</x:v>
      </x:c>
      <x:c r="K319" s="19" t="str">
        <x:v>/5 231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horizon, Visean 11 С v Р (200–660°С) s 3/6 39 51 155 10 53 152 9 14 32 1 12 С v Р (200–660°С) s 30/55 218 –43 53 4 47 158 3 5 25 1 13 С1 (300–660°С) s 7/12 222 –15 97 6 30 164 3 6 8 Donbass, sandy clay stratum in basal part of Kartamyshian suite 14 g 348 67 52 8 82 322 11 13 50 С g A (100–500°С) 8/8 3</x:v>
      </x:c>
      <x:c r="L319" s="19" t="str">
        <x:v>/Users/lihd/discovery/paleomagnetic-r3-workflow/dist/paleomagnetic-r357-calibrated-workflow-full/data/parsed_mds/4298.txt</x:v>
      </x:c>
    </x:row>
    <x:row r="320" ht="52" customHeight="1">
      <x:c r="A320" s="19" t="str">
        <x:v>4298</x:v>
      </x:c>
      <x:c r="B320" s="19" t="str">
        <x:v>10193</x:v>
      </x:c>
      <x:c r="C320" s="19" t="str">
        <x:v>Visean Sediments, Priksha River</x:v>
      </x:c>
      <x:c r="D320" s="19" t="str">
        <x:v>Component P</x:v>
      </x:c>
      <x:c r="E320" s="19" t="str">
        <x:v>PRESENT</x:v>
      </x:c>
      <x:c r="F320" s="19" t="str">
        <x:v>SUSC-T,OP(MAGN,HEM)</x:v>
      </x:c>
      <x:c r="G320" s="19" t="str">
        <x:v>PAPER_ROW_MATCH</x:v>
      </x:c>
      <x:c r="H320" s="19" t="str">
        <x:v>locator_pole</x:v>
      </x:c>
      <x:c r="I320" s="19" t="n">
        <x:v>9</x:v>
      </x:c>
      <x:c r="J320" s="19" t="str">
        <x:v>result_locator</x:v>
      </x:c>
      <x:c r="K320" s="19" t="str">
        <x:v>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horizon, Visean 11 С v Р (200–660°С) s 3/6 39 51 155 10 53 152 9 14 32 1 12 С v Р (200–660°С) s 30/55 218 –43 53 4 47 158 3 5 25 1 13 С1 (300–660°С) s 7/12 222 –15 97 6 30 164 3 6 8 Donbass, sandy clay stratum in basal part of Kartamyshian suite 14 g 348 67 52 8 82 322 11 13 50 С g A (100–500°С) 8/8 3 15 s 9 33 66</x:v>
      </x:c>
      <x:c r="L320" s="19" t="str">
        <x:v>/Users/lihd/discovery/paleomagnetic-r3-workflow/dist/paleomagnetic-r357-calibrated-workflow-full/data/parsed_mds/4298.txt</x:v>
      </x:c>
    </x:row>
    <x:row r="321" ht="52" customHeight="1">
      <x:c r="A321" s="19" t="str">
        <x:v>4298</x:v>
      </x:c>
      <x:c r="B321" s="19" t="str">
        <x:v>10193</x:v>
      </x:c>
      <x:c r="C321" s="19" t="str">
        <x:v>Visean Sediments, Priksha River</x:v>
      </x:c>
      <x:c r="D321" s="19" t="str">
        <x:v>Component P</x:v>
      </x:c>
      <x:c r="E321" s="19" t="str">
        <x:v>PRESENT</x:v>
      </x:c>
      <x:c r="F321" s="19" t="str">
        <x:v>SUSC-T,OP(MAGN,HEM)</x:v>
      </x:c>
      <x:c r="G321" s="19" t="str">
        <x:v>PAPER_ROW_MATCH</x:v>
      </x:c>
      <x:c r="H321" s="19" t="str">
        <x:v>locator_pole</x:v>
      </x:c>
      <x:c r="I321" s="19" t="n">
        <x:v>11</x:v>
      </x:c>
      <x:c r="J321" s="19" t="str">
        <x:v>result_locator</x:v>
      </x:c>
      <x:c r="K321" s="19" t="str">
        <x:v>ied Carboniferous deposits of Russian platform GPMDB No. result no./ ϕ,° N λ,° E Φ,ο Ν Λ,° Ε dp° dm° Age, Ma source Gzhelian 1 4900 55.6 38.5 42 167 1 2 303 2 4899 55.6 38.5 46 177 3 5 303 3 4901 56 38.5 42 169 1 2 303 4 /(1) 55.6 38.5 43 167 3 5 303 5 t. w. 55.3 38.6 34 162 4 7 6 С g N = 5 42 168 A = 5° 303 3 95 Moskovian 7 /(1) 56.2 34.4 41 166 4 7 312 8 4913 56.5 34.5 33 159 2 4 313 9 /(1) 54.9 37.4 38 166 4 6 315 10 С m N = 3 37 164 A = 5° 313 2 95 Lower Carboniferous (C s–C v), component Р 1 1 11 /(1) 59.5 33.9 52 151 4 6 12 4938 59.5 34.0 49 164 6 4 13 t. w. 58.3 34.0 56 152 4 6 14 t. w. 58.3 33.6 53 152 9 14 15 /(2) 58.3 33.6 52 164 3 5 16 4937 59.3 34.0 45 156 3 5 17 t. w. 58.3 33.6 47 158 3 5 18 Р N = 7 51 157 A = 3° 265–270 95 Lower Carboniferous (C s–C v), component С1 1 1 19 t. w. 58.3 34.0 31 160 6 12 326 20 t. w. 58.3 33.6 30 164 3 6 335–345? 21 /[1] 59.5 33.9 27 159 5 9 33</x:v>
      </x:c>
      <x:c r="L321" s="19" t="str">
        <x:v>/Users/lihd/discovery/paleomagnetic-r3-workflow/dist/paleomagnetic-r357-calibrated-workflow-full/data/parsed_mds/4298.txt</x:v>
      </x:c>
    </x:row>
    <x:row r="322" ht="52" customHeight="1">
      <x:c r="A322" s="19" t="str">
        <x:v>4298</x:v>
      </x:c>
      <x:c r="B322" s="19" t="str">
        <x:v>10194</x:v>
      </x:c>
      <x:c r="C322" s="19" t="str">
        <x:v>Visean Sediments, Priksha River</x:v>
      </x:c>
      <x:c r="D322" s="19" t="str">
        <x:v>Component C1</x:v>
      </x:c>
      <x:c r="E322" s="19" t="str">
        <x:v>PRESENT</x:v>
      </x:c>
      <x:c r="F322" s="19" t="str">
        <x:v>SUSC-T,OP(MAGN,HEM)</x:v>
      </x:c>
      <x:c r="G322" s="19" t="str">
        <x:v>PAPER_ROW_MATCH</x:v>
      </x:c>
      <x:c r="H322" s="19" t="str">
        <x:v>method</x:v>
      </x:c>
      <x:c r="I322" s="19" t="n">
        <x:v>6</x:v>
      </x:c>
      <x:c r="J322" s="19" t="str">
        <x:v>near_target</x:v>
      </x:c>
      <x:c r="K322" s="19" t="str">
        <x:v>thin section</x:v>
      </x:c>
      <x:c r="L322" s="19" t="str">
        <x:v>/Users/lihd/discovery/paleomagnetic-r3-workflow/dist/paleomagnetic-r357-calibrated-workflow-full/data/parsed_mds/4298.txt</x:v>
      </x:c>
    </x:row>
    <x:row r="323" ht="52" customHeight="1">
      <x:c r="A323" s="19" t="str">
        <x:v>4298</x:v>
      </x:c>
      <x:c r="B323" s="19" t="str">
        <x:v>10194</x:v>
      </x:c>
      <x:c r="C323" s="19" t="str">
        <x:v>Visean Sediments, Priksha River</x:v>
      </x:c>
      <x:c r="D323" s="19" t="str">
        <x:v>Component C1</x:v>
      </x:c>
      <x:c r="E323" s="19" t="str">
        <x:v>PRESENT</x:v>
      </x:c>
      <x:c r="F323" s="19" t="str">
        <x:v>SUSC-T,OP(MAGN,HEM)</x:v>
      </x:c>
      <x:c r="G323" s="19" t="str">
        <x:v>PAPER_ROW_MATCH</x:v>
      </x:c>
      <x:c r="H323" s="19" t="str">
        <x:v>method</x:v>
      </x:c>
      <x:c r="I323" s="19" t="n">
        <x:v>4</x:v>
      </x:c>
      <x:c r="J323" s="19" t="str">
        <x:v>target_context</x:v>
      </x:c>
      <x:c r="K323" s="19" t="str">
        <x:v>temperature depen- point of 560–580°C probably corresponding to non- dence of the magnetic susceptibility</x:v>
      </x:c>
      <x:c r="L323" s="19" t="str">
        <x:v>/Users/lihd/discovery/paleomagnetic-r3-workflow/dist/paleomagnetic-r357-calibrated-workflow-full/data/parsed_mds/4298.txt</x:v>
      </x:c>
    </x:row>
    <x:row r="324" ht="52" customHeight="1">
      <x:c r="A324" s="19" t="str">
        <x:v>4298</x:v>
      </x:c>
      <x:c r="B324" s="19" t="str">
        <x:v>10194</x:v>
      </x:c>
      <x:c r="C324" s="19" t="str">
        <x:v>Visean Sediments, Priksha River</x:v>
      </x:c>
      <x:c r="D324" s="19" t="str">
        <x:v>Component C1</x:v>
      </x:c>
      <x:c r="E324" s="19" t="str">
        <x:v>PRESENT</x:v>
      </x:c>
      <x:c r="F324" s="19" t="str">
        <x:v>SUSC-T,OP(MAGN,HEM)</x:v>
      </x:c>
      <x:c r="G324" s="19" t="str">
        <x:v>PAPER_ROW_MATCH</x:v>
      </x:c>
      <x:c r="H324" s="19" t="str">
        <x:v>method</x:v>
      </x:c>
      <x:c r="I324" s="19" t="n">
        <x:v>4</x:v>
      </x:c>
      <x:c r="J324" s="19" t="str">
        <x:v>target_context</x:v>
      </x:c>
      <x:c r="K324" s="19" t="str">
        <x:v>thin section</x:v>
      </x:c>
      <x:c r="L324" s="19" t="str">
        <x:v>/Users/lihd/discovery/paleomagnetic-r3-workflow/dist/paleomagnetic-r357-calibrated-workflow-full/data/parsed_mds/4298.txt</x:v>
      </x:c>
    </x:row>
    <x:row r="325" ht="52" customHeight="1">
      <x:c r="A325" s="19" t="str">
        <x:v>4298</x:v>
      </x:c>
      <x:c r="B325" s="19" t="str">
        <x:v>10194</x:v>
      </x:c>
      <x:c r="C325" s="19" t="str">
        <x:v>Visean Sediments, Priksha River</x:v>
      </x:c>
      <x:c r="D325" s="19" t="str">
        <x:v>Component C1</x:v>
      </x:c>
      <x:c r="E325" s="19" t="str">
        <x:v>PRESENT</x:v>
      </x:c>
      <x:c r="F325" s="19" t="str">
        <x:v>SUSC-T,OP(MAGN,HEM)</x:v>
      </x:c>
      <x:c r="G325" s="19" t="str">
        <x:v>PAPER_ROW_MATCH</x:v>
      </x:c>
      <x:c r="H325" s="19" t="str">
        <x:v>carrier</x:v>
      </x:c>
      <x:c r="I325" s="19" t="n">
        <x:v>4</x:v>
      </x:c>
      <x:c r="J325" s="19" t="str">
        <x:v>near_target</x:v>
      </x:c>
      <x:c r="K325" s="19" t="str">
        <x:v>magnetite</x:v>
      </x:c>
      <x:c r="L325" s="19" t="str">
        <x:v>/Users/lihd/discovery/paleomagnetic-r3-workflow/dist/paleomagnetic-r357-calibrated-workflow-full/data/parsed_mds/4298.txt</x:v>
      </x:c>
    </x:row>
    <x:row r="326" ht="52" customHeight="1">
      <x:c r="A326" s="19" t="str">
        <x:v>4298</x:v>
      </x:c>
      <x:c r="B326" s="19" t="str">
        <x:v>10194</x:v>
      </x:c>
      <x:c r="C326" s="19" t="str">
        <x:v>Visean Sediments, Priksha River</x:v>
      </x:c>
      <x:c r="D326" s="19" t="str">
        <x:v>Component C1</x:v>
      </x:c>
      <x:c r="E326" s="19" t="str">
        <x:v>PRESENT</x:v>
      </x:c>
      <x:c r="F326" s="19" t="str">
        <x:v>SUSC-T,OP(MAGN,HEM)</x:v>
      </x:c>
      <x:c r="G326" s="19" t="str">
        <x:v>PAPER_ROW_MATCH</x:v>
      </x:c>
      <x:c r="H326" s="19" t="str">
        <x:v>carrier</x:v>
      </x:c>
      <x:c r="I326" s="19" t="n">
        <x:v>4</x:v>
      </x:c>
      <x:c r="J326" s="19" t="str">
        <x:v>near_target</x:v>
      </x:c>
      <x:c r="K326" s="19" t="str">
        <x:v>hematite</x:v>
      </x:c>
      <x:c r="L326" s="19" t="str">
        <x:v>/Users/lihd/discovery/paleomagnetic-r3-workflow/dist/paleomagnetic-r357-calibrated-workflow-full/data/parsed_mds/4298.txt</x:v>
      </x:c>
    </x:row>
    <x:row r="327" ht="52" customHeight="1">
      <x:c r="A327" s="19" t="str">
        <x:v>4298</x:v>
      </x:c>
      <x:c r="B327" s="19" t="str">
        <x:v>10194</x:v>
      </x:c>
      <x:c r="C327" s="19" t="str">
        <x:v>Visean Sediments, Priksha River</x:v>
      </x:c>
      <x:c r="D327" s="19" t="str">
        <x:v>Component C1</x:v>
      </x:c>
      <x:c r="E327" s="19" t="str">
        <x:v>PRESENT</x:v>
      </x:c>
      <x:c r="F327" s="19" t="str">
        <x:v>SUSC-T,OP(MAGN,HEM)</x:v>
      </x:c>
      <x:c r="G327" s="19" t="str">
        <x:v>PAPER_ROW_MATCH</x:v>
      </x:c>
      <x:c r="H327" s="19" t="str">
        <x:v>carrier</x:v>
      </x:c>
      <x:c r="I327" s="19" t="n">
        <x:v>4</x:v>
      </x:c>
      <x:c r="J327" s="19" t="str">
        <x:v>near_target</x:v>
      </x:c>
      <x:c r="K327" s="19" t="str">
        <x:v>Hematite</x:v>
      </x:c>
      <x:c r="L327" s="19" t="str">
        <x:v>/Users/lihd/discovery/paleomagnetic-r3-workflow/dist/paleomagnetic-r357-calibrated-workflow-full/data/parsed_mds/4298.txt</x:v>
      </x:c>
    </x:row>
    <x:row r="328" ht="52" customHeight="1">
      <x:c r="A328" s="19" t="str">
        <x:v>4298</x:v>
      </x:c>
      <x:c r="B328" s="19" t="str">
        <x:v>10194</x:v>
      </x:c>
      <x:c r="C328" s="19" t="str">
        <x:v>Visean Sediments, Priksha River</x:v>
      </x:c>
      <x:c r="D328" s="19" t="str">
        <x:v>Component C1</x:v>
      </x:c>
      <x:c r="E328" s="19" t="str">
        <x:v>PRESENT</x:v>
      </x:c>
      <x:c r="F328" s="19" t="str">
        <x:v>SUSC-T,OP(MAGN,HEM)</x:v>
      </x:c>
      <x:c r="G328" s="19" t="str">
        <x:v>PAPER_ROW_MATCH</x:v>
      </x:c>
      <x:c r="H328" s="19" t="str">
        <x:v>carrier</x:v>
      </x:c>
      <x:c r="I328" s="19" t="n">
        <x:v>5</x:v>
      </x:c>
      <x:c r="J328" s="19" t="str">
        <x:v>near_target</x:v>
      </x:c>
      <x:c r="K328" s="19" t="str">
        <x:v>hematite</x:v>
      </x:c>
      <x:c r="L328" s="19" t="str">
        <x:v>/Users/lihd/discovery/paleomagnetic-r3-workflow/dist/paleomagnetic-r357-calibrated-workflow-full/data/parsed_mds/4298.txt</x:v>
      </x:c>
    </x:row>
    <x:row r="329" ht="52" customHeight="1">
      <x:c r="A329" s="19" t="str">
        <x:v>4298</x:v>
      </x:c>
      <x:c r="B329" s="19" t="str">
        <x:v>10194</x:v>
      </x:c>
      <x:c r="C329" s="19" t="str">
        <x:v>Visean Sediments, Priksha River</x:v>
      </x:c>
      <x:c r="D329" s="19" t="str">
        <x:v>Component C1</x:v>
      </x:c>
      <x:c r="E329" s="19" t="str">
        <x:v>PRESENT</x:v>
      </x:c>
      <x:c r="F329" s="19" t="str">
        <x:v>SUSC-T,OP(MAGN,HEM)</x:v>
      </x:c>
      <x:c r="G329" s="19" t="str">
        <x:v>PAPER_ROW_MATCH</x:v>
      </x:c>
      <x:c r="H329" s="19" t="str">
        <x:v>carrier</x:v>
      </x:c>
      <x:c r="I329" s="19" t="n">
        <x:v>6</x:v>
      </x:c>
      <x:c r="J329" s="19" t="str">
        <x:v>near_target</x:v>
      </x:c>
      <x:c r="K329" s="19" t="str">
        <x:v>hematite</x:v>
      </x:c>
      <x:c r="L329" s="19" t="str">
        <x:v>/Users/lihd/discovery/paleomagnetic-r3-workflow/dist/paleomagnetic-r357-calibrated-workflow-full/data/parsed_mds/4298.txt</x:v>
      </x:c>
    </x:row>
    <x:row r="330" ht="52" customHeight="1">
      <x:c r="A330" s="19" t="str">
        <x:v>4298</x:v>
      </x:c>
      <x:c r="B330" s="19" t="str">
        <x:v>10194</x:v>
      </x:c>
      <x:c r="C330" s="19" t="str">
        <x:v>Visean Sediments, Priksha River</x:v>
      </x:c>
      <x:c r="D330" s="19" t="str">
        <x:v>Component C1</x:v>
      </x:c>
      <x:c r="E330" s="19" t="str">
        <x:v>PRESENT</x:v>
      </x:c>
      <x:c r="F330" s="19" t="str">
        <x:v>SUSC-T,OP(MAGN,HEM)</x:v>
      </x:c>
      <x:c r="G330" s="19" t="str">
        <x:v>PAPER_ROW_MATCH</x:v>
      </x:c>
      <x:c r="H330" s="19" t="str">
        <x:v>locator_pole</x:v>
      </x:c>
      <x:c r="I330" s="19" t="n">
        <x:v>2</x:v>
      </x:c>
      <x:c r="J330" s="19" t="str">
        <x:v>result_locator</x:v>
      </x:c>
      <x:c r="K330" s="19" t="str">
        <x:v>164 IOSIFIDI et al. 30° 32° 34° 36° 38° 40° 42° 44° 46° 48° E ST. PETERSBURG Kotlas Volkhov 13 Velikii Ustyug Kirishi Tikhvin 12 Luga 11 60° 58° VELIKII NOVGOROD Cherepovets VOLOGDA N N Staraya Russa 10 Borovichi Vyshnii Volochek Rybinsk Torzhok Uglich 58° YAROSLAVL TVER Kineshma 56° Rzhev Dubna IVANOVO 9 Shuya Suzdal 8 VLADIMIR Elektrostal Vyaz'ma MOSCOW 6 7 Pavlovo Obninsk Voskresensk 56° 3 4 5 54° 2 Serpukhov Kolomna Arzamas Legend KALUGA Boundaruies of Moscow syneclise RYAZAN Sarov Boundaries of Russian regions TULA 1 Location and number of key sections 30 0 30 60km 1 34° 36° 38° 40° 42° 44° 46° 48° E Fig. 1. Schematic map of natural Carboniferous outcrops of Moscow syneclise: (1) town of Shatsk; (2) Nara Riv</x:v>
      </x:c>
      <x:c r="L330" s="19" t="str">
        <x:v>/Users/lihd/discovery/paleomagnetic-r3-workflow/dist/paleomagnetic-r357-calibrated-workflow-full/data/parsed_mds/4298.txt</x:v>
      </x:c>
    </x:row>
    <x:row r="331" ht="52" customHeight="1">
      <x:c r="A331" s="19" t="str">
        <x:v>4298</x:v>
      </x:c>
      <x:c r="B331" s="19" t="str">
        <x:v>10194</x:v>
      </x:c>
      <x:c r="C331" s="19" t="str">
        <x:v>Visean Sediments, Priksha River</x:v>
      </x:c>
      <x:c r="D331" s="19" t="str">
        <x:v>Component C1</x:v>
      </x:c>
      <x:c r="E331" s="19" t="str">
        <x:v>PRESENT</x:v>
      </x:c>
      <x:c r="F331" s="19" t="str">
        <x:v>SUSC-T,OP(MAGN,HEM)</x:v>
      </x:c>
      <x:c r="G331" s="19" t="str">
        <x:v>PAPER_ROW_MATCH</x:v>
      </x:c>
      <x:c r="H331" s="19" t="str">
        <x:v>locator_direction</x:v>
      </x:c>
      <x:c r="I331" s="19" t="n">
        <x:v>9</x:v>
      </x:c>
      <x:c r="J331" s="19" t="str">
        <x:v>result_locator</x:v>
      </x:c>
      <x:c r="K331" s="19" t="str">
        <x:v>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horizon, Visean 11 С v Р (200–660°С) s 3/6 39 51 155 10 53 152 9 14 32 1 12 С v Р (200–660°С) s 30/55 218 –43 53 4 47 158 3 5 25 1 13 С1 (300–660°С) s 7/12 222 –15 97 6 30 164 3 6 8 Donbass, sandy clay stratum in basal part of Kartamyshian suite 14 g 348 67 52 8 82 322 11 13 50 С g A (100–500°С) 8/8 3 15 s 9 33 66 7 59 201 5 8 18 16 g 346 56 13 22 74 264</x:v>
      </x:c>
      <x:c r="L331" s="19" t="str">
        <x:v>/Users/lihd/discovery/paleomagnetic-r3-workflow/dist/paleomagnetic-r357-calibrated-workflow-full/data/parsed_mds/4298.txt</x:v>
      </x:c>
    </x:row>
    <x:row r="332" ht="52" customHeight="1">
      <x:c r="A332" s="19" t="str">
        <x:v>4298</x:v>
      </x:c>
      <x:c r="B332" s="19" t="str">
        <x:v>10194</x:v>
      </x:c>
      <x:c r="C332" s="19" t="str">
        <x:v>Visean Sediments, Priksha River</x:v>
      </x:c>
      <x:c r="D332" s="19" t="str">
        <x:v>Component C1</x:v>
      </x:c>
      <x:c r="E332" s="19" t="str">
        <x:v>PRESENT</x:v>
      </x:c>
      <x:c r="F332" s="19" t="str">
        <x:v>SUSC-T,OP(MAGN,HEM)</x:v>
      </x:c>
      <x:c r="G332" s="19" t="str">
        <x:v>PAPER_ROW_MATCH</x:v>
      </x:c>
      <x:c r="H332" s="19" t="str">
        <x:v>locator_pole</x:v>
      </x:c>
      <x:c r="I332" s="19" t="n">
        <x:v>9</x:v>
      </x:c>
      <x:c r="J332" s="19" t="str">
        <x:v>result_locator</x:v>
      </x:c>
      <x:c r="K332" s="19" t="str">
        <x:v>°С) s 3/5 231 –24 206 9 32 154 5 10 13 3 Novgorod region, Serpukhovian (Steshevskii horizon, Poneretskaya suite and Tarusian horizon, Rovnenskaya suite) 4 С s P (20–700 mT) s 11/11 217 –55 43 7 57 151 7 10 36 1 5 C1 (30–400 mT) s 4/4 223 –22 36 16 33 161 9 17 11 Visean (Venevskii horizon, Egol’skaya suite) A (100–300°С, 6 С v g 40/40 356 59 6 10 71 224 11 15 40 1 200–670°С) 7 С v P (200–675°С) s 15/24 217 –54 53 5 56 152 5 7 35 1 8 P (4 + 7) 26/35 217 –54 50 4 56 152 4 6 35 9 C1 (300–650°С) s 10/13 220 –21 32 9 34 168 5 10 11 10 C s–v m.s.n. s 14 225 –20 11 31 160 6 12 10 1 Priksha River, Tul’skii horizon, Visean 11 С v Р (200–660°С) s 3/6 39 51 155 10 53 152 9 14 32 1 12 С v Р (200–660°С) s 30/55 218 –43 53 4 47 158 3 5 25 1 13 С1 (300–660°С) s 7/12 222 –15 97 6 30 164 3 6 8 Donbass, sandy clay stratum in basal part of Kartamyshian suite 14 g 348 67 52 8 82 322 11 13 50 С g A (100–500°С</x:v>
      </x:c>
      <x:c r="L332" s="19" t="str">
        <x:v>/Users/lihd/discovery/paleomagnetic-r3-workflow/dist/paleomagnetic-r357-calibrated-workflow-full/data/parsed_mds/4298.txt</x:v>
      </x:c>
    </x:row>
    <x:row r="333" ht="52" customHeight="1">
      <x:c r="A333" s="19" t="str">
        <x:v>4298</x:v>
      </x:c>
      <x:c r="B333" s="19" t="str">
        <x:v>10194</x:v>
      </x:c>
      <x:c r="C333" s="19" t="str">
        <x:v>Visean Sediments, Priksha River</x:v>
      </x:c>
      <x:c r="D333" s="19" t="str">
        <x:v>Component C1</x:v>
      </x:c>
      <x:c r="E333" s="19" t="str">
        <x:v>PRESENT</x:v>
      </x:c>
      <x:c r="F333" s="19" t="str">
        <x:v>SUSC-T,OP(MAGN,HEM)</x:v>
      </x:c>
      <x:c r="G333" s="19" t="str">
        <x:v>PAPER_ROW_MATCH</x:v>
      </x:c>
      <x:c r="H333" s="19" t="str">
        <x:v>locator_pole</x:v>
      </x:c>
      <x:c r="I333" s="19" t="n">
        <x:v>11</x:v>
      </x:c>
      <x:c r="J333" s="19" t="str">
        <x:v>result_locator</x:v>
      </x:c>
      <x:c r="K333" s="19" t="str">
        <x:v>1 2 303 2 4899 55.6 38.5 46 177 3 5 303 3 4901 56 38.5 42 169 1 2 303 4 /(1) 55.6 38.5 43 167 3 5 303 5 t. w. 55.3 38.6 34 162 4 7 6 С g N = 5 42 168 A = 5° 303 3 95 Moskovian 7 /(1) 56.2 34.4 41 166 4 7 312 8 4913 56.5 34.5 33 159 2 4 313 9 /(1) 54.9 37.4 38 166 4 6 315 10 С m N = 3 37 164 A = 5° 313 2 95 Lower Carboniferous (C s–C v), component Р 1 1 11 /(1) 59.5 33.9 52 151 4 6 12 4938 59.5 34.0 49 164 6 4 13 t. w. 58.3 34.0 56 152 4 6 14 t. w. 58.3 33.6 53 152 9 14 15 /(2) 58.3 33.6 52 164 3 5 16 4937 59.3 34.0 45 156 3 5 17 t. w. 58.3 33.6 47 158 3 5 18 Р N = 7 51 157 A = 3° 265–270 95 Lower Carboniferous (C s–C v), component С1 1 1 19 t. w. 58.3 34.0 31 160 6 12 326 20 t. w. 58.3 33.6 30 164 3 6 335–345? 21 /[1] 59.5 33.9 27 159 5 9 335–345? 22 C v (20 + 21) N = 2 29 159 A = 2° 335–345? 1 95 ϕ,° N, λ,° E are sampling coordinates; Φ°, Λ° are latitude and longitude of paleomagnetic p</x:v>
      </x:c>
      <x:c r="L333" s="19" t="str">
        <x:v>/Users/lihd/discovery/paleomagnetic-r3-workflow/dist/paleomagnetic-r357-calibrated-workflow-full/data/parsed_mds/4298.txt</x:v>
      </x:c>
    </x:row>
    <x:row r="334" ht="52" customHeight="1">
      <x:c r="A334" s="19" t="str">
        <x:v>4324</x:v>
      </x:c>
      <x:c r="B334" s="19" t="str">
        <x:v>10236</x:v>
      </x:c>
      <x:c r="C334" s="19" t="str">
        <x:v>Kiuruvesi Gabbrodiorite</x:v>
      </x:c>
      <x:c r="D334" s="19" t="str"/>
      <x:c r="E334" s="19" t="str">
        <x:v>PRESENT</x:v>
      </x:c>
      <x:c r="F334" s="19" t="str">
        <x:v>IRM,3-axis Jrs-T,HYST(MAGN,MAGH,TM)</x:v>
      </x:c>
      <x:c r="G334" s="19" t="str">
        <x:v>METADATA_UNIQUE</x:v>
      </x:c>
      <x:c r="H334" s="19" t="str">
        <x:v>method</x:v>
      </x:c>
      <x:c r="I334" s="19" t="n">
        <x:v>4</x:v>
      </x:c>
      <x:c r="J334" s="19" t="str">
        <x:v>target_same_sentence</x:v>
      </x:c>
      <x:c r="K334" s="19" t="str">
        <x:v>IRM was imparted in Kiuruvesi gabbrodiorite, although the susceptibility decrease at ca .</x:v>
      </x:c>
      <x:c r="L334" s="19" t="str">
        <x:v>/Users/lihd/discovery/paleomagnetic-r3-workflow/dist/paleomagnetic-r357-calibrated-workflow-full/data/parsed_mds/4324.txt</x:v>
      </x:c>
    </x:row>
    <x:row r="335" ht="52" customHeight="1">
      <x:c r="A335" s="19" t="str">
        <x:v>4324</x:v>
      </x:c>
      <x:c r="B335" s="19" t="str">
        <x:v>10236</x:v>
      </x:c>
      <x:c r="C335" s="19" t="str">
        <x:v>Kiuruvesi Gabbrodiorite</x:v>
      </x:c>
      <x:c r="D335" s="19" t="str"/>
      <x:c r="E335" s="19" t="str">
        <x:v>PRESENT</x:v>
      </x:c>
      <x:c r="F335" s="19" t="str">
        <x:v>IRM,3-axis Jrs-T,HYST(MAGN,MAGH,TM)</x:v>
      </x:c>
      <x:c r="G335" s="19" t="str">
        <x:v>METADATA_UNIQUE</x:v>
      </x:c>
      <x:c r="H335" s="19" t="str">
        <x:v>method</x:v>
      </x:c>
      <x:c r="I335" s="19" t="n">
        <x:v>4</x:v>
      </x:c>
      <x:c r="J335" s="19" t="str">
        <x:v>target_same_discourse</x:v>
      </x:c>
      <x:c r="K335" s="19" t="str">
        <x:v>The Lowrie–Fuller test demonstrated significantly x -direction.</x:v>
      </x:c>
      <x:c r="L335" s="19" t="str">
        <x:v>/Users/lihd/discovery/paleomagnetic-r3-workflow/dist/paleomagnetic-r357-calibrated-workflow-full/data/parsed_mds/4324.txt</x:v>
      </x:c>
    </x:row>
    <x:row r="336" ht="52" customHeight="1">
      <x:c r="A336" s="19" t="str">
        <x:v>4324</x:v>
      </x:c>
      <x:c r="B336" s="19" t="str">
        <x:v>10236</x:v>
      </x:c>
      <x:c r="C336" s="19" t="str">
        <x:v>Kiuruvesi Gabbrodiorite</x:v>
      </x:c>
      <x:c r="D336" s="19" t="str"/>
      <x:c r="E336" s="19" t="str">
        <x:v>PRESENT</x:v>
      </x:c>
      <x:c r="F336" s="19" t="str">
        <x:v>IRM,3-axis Jrs-T,HYST(MAGN,MAGH,TM)</x:v>
      </x:c>
      <x:c r="G336" s="19" t="str">
        <x:v>METADATA_UNIQUE</x:v>
      </x:c>
      <x:c r="H336" s="19" t="str">
        <x:v>method</x:v>
      </x:c>
      <x:c r="I336" s="19" t="n">
        <x:v>4</x:v>
      </x:c>
      <x:c r="J336" s="19" t="str">
        <x:v>near_target</x:v>
      </x:c>
      <x:c r="K336" s="19" t="str">
        <x:v>hysteresis</x:v>
      </x:c>
      <x:c r="L336" s="19" t="str">
        <x:v>/Users/lihd/discovery/paleomagnetic-r3-workflow/dist/paleomagnetic-r357-calibrated-workflow-full/data/parsed_mds/4324.txt</x:v>
      </x:c>
    </x:row>
    <x:row r="337" ht="52" customHeight="1">
      <x:c r="A337" s="19" t="str">
        <x:v>4324</x:v>
      </x:c>
      <x:c r="B337" s="19" t="str">
        <x:v>10236</x:v>
      </x:c>
      <x:c r="C337" s="19" t="str">
        <x:v>Kiuruvesi Gabbrodiorite</x:v>
      </x:c>
      <x:c r="D337" s="19" t="str"/>
      <x:c r="E337" s="19" t="str">
        <x:v>PRESENT</x:v>
      </x:c>
      <x:c r="F337" s="19" t="str">
        <x:v>IRM,3-axis Jrs-T,HYST(MAGN,MAGH,TM)</x:v>
      </x:c>
      <x:c r="G337" s="19" t="str">
        <x:v>METADATA_UNIQUE</x:v>
      </x:c>
      <x:c r="H337" s="19" t="str">
        <x:v>method</x:v>
      </x:c>
      <x:c r="I337" s="19" t="n">
        <x:v>6</x:v>
      </x:c>
      <x:c r="J337" s="19" t="str">
        <x:v>near_target</x:v>
      </x:c>
      <x:c r="K337" s="19" t="str">
        <x:v>Hysteresis</x:v>
      </x:c>
      <x:c r="L337" s="19" t="str">
        <x:v>/Users/lihd/discovery/paleomagnetic-r3-workflow/dist/paleomagnetic-r357-calibrated-workflow-full/data/parsed_mds/4324.txt</x:v>
      </x:c>
    </x:row>
    <x:row r="338" ht="52" customHeight="1">
      <x:c r="A338" s="19" t="str">
        <x:v>4324</x:v>
      </x:c>
      <x:c r="B338" s="19" t="str">
        <x:v>10236</x:v>
      </x:c>
      <x:c r="C338" s="19" t="str">
        <x:v>Kiuruvesi Gabbrodiorite</x:v>
      </x:c>
      <x:c r="D338" s="19" t="str"/>
      <x:c r="E338" s="19" t="str">
        <x:v>PRESENT</x:v>
      </x:c>
      <x:c r="F338" s="19" t="str">
        <x:v>IRM,3-axis Jrs-T,HYST(MAGN,MAGH,TM)</x:v>
      </x:c>
      <x:c r="G338" s="19" t="str">
        <x:v>METADATA_UNIQUE</x:v>
      </x:c>
      <x:c r="H338" s="19" t="str">
        <x:v>method</x:v>
      </x:c>
      <x:c r="I338" s="19" t="n">
        <x:v>6</x:v>
      </x:c>
      <x:c r="J338" s="19" t="str">
        <x:v>near_target</x:v>
      </x:c>
      <x:c r="K338" s="19" t="str">
        <x:v>IRM</x:v>
      </x:c>
      <x:c r="L338" s="19" t="str">
        <x:v>/Users/lihd/discovery/paleomagnetic-r3-workflow/dist/paleomagnetic-r357-calibrated-workflow-full/data/parsed_mds/4324.txt</x:v>
      </x:c>
    </x:row>
    <x:row r="339" ht="52" customHeight="1">
      <x:c r="A339" s="19" t="str">
        <x:v>4324</x:v>
      </x:c>
      <x:c r="B339" s="19" t="str">
        <x:v>10236</x:v>
      </x:c>
      <x:c r="C339" s="19" t="str">
        <x:v>Kiuruvesi Gabbrodiorite</x:v>
      </x:c>
      <x:c r="D339" s="19" t="str"/>
      <x:c r="E339" s="19" t="str">
        <x:v>PRESENT</x:v>
      </x:c>
      <x:c r="F339" s="19" t="str">
        <x:v>IRM,3-axis Jrs-T,HYST(MAGN,MAGH,TM)</x:v>
      </x:c>
      <x:c r="G339" s="19" t="str">
        <x:v>METADATA_UNIQUE</x:v>
      </x:c>
      <x:c r="H339" s="19" t="str">
        <x:v>diagnostic</x:v>
      </x:c>
      <x:c r="I339" s="19" t="n">
        <x:v>4</x:v>
      </x:c>
      <x:c r="J339" s="19" t="str">
        <x:v>same_target_page</x:v>
      </x:c>
      <x:c r="K339" s="19" t="str">
        <x:v>MD magnetite grains</x:v>
      </x:c>
      <x:c r="L339" s="19" t="str">
        <x:v>/Users/lihd/discovery/paleomagnetic-r3-workflow/dist/paleomagnetic-r357-calibrated-workflow-full/data/parsed_mds/4324.txt</x:v>
      </x:c>
    </x:row>
    <x:row r="340" ht="52" customHeight="1">
      <x:c r="A340" s="19" t="str">
        <x:v>4324</x:v>
      </x:c>
      <x:c r="B340" s="19" t="str">
        <x:v>10236</x:v>
      </x:c>
      <x:c r="C340" s="19" t="str">
        <x:v>Kiuruvesi Gabbrodiorite</x:v>
      </x:c>
      <x:c r="D340" s="19" t="str"/>
      <x:c r="E340" s="19" t="str">
        <x:v>PRESENT</x:v>
      </x:c>
      <x:c r="F340" s="19" t="str">
        <x:v>IRM,3-axis Jrs-T,HYST(MAGN,MAGH,TM)</x:v>
      </x:c>
      <x:c r="G340" s="19" t="str">
        <x:v>METADATA_UNIQUE</x:v>
      </x:c>
      <x:c r="H340" s="19" t="str">
        <x:v>carrier</x:v>
      </x:c>
      <x:c r="I340" s="19" t="n">
        <x:v>4</x:v>
      </x:c>
      <x:c r="J340" s="19" t="str">
        <x:v>near_target</x:v>
      </x:c>
      <x:c r="K340" s="19" t="str">
        <x:v>magnetite</x:v>
      </x:c>
      <x:c r="L340" s="19" t="str">
        <x:v>/Users/lihd/discovery/paleomagnetic-r3-workflow/dist/paleomagnetic-r357-calibrated-workflow-full/data/parsed_mds/4324.txt</x:v>
      </x:c>
    </x:row>
    <x:row r="341" ht="52" customHeight="1">
      <x:c r="A341" s="19" t="str">
        <x:v>4324</x:v>
      </x:c>
      <x:c r="B341" s="19" t="str">
        <x:v>10236</x:v>
      </x:c>
      <x:c r="C341" s="19" t="str">
        <x:v>Kiuruvesi Gabbrodiorite</x:v>
      </x:c>
      <x:c r="D341" s="19" t="str"/>
      <x:c r="E341" s="19" t="str">
        <x:v>PRESENT</x:v>
      </x:c>
      <x:c r="F341" s="19" t="str">
        <x:v>IRM,3-axis Jrs-T,HYST(MAGN,MAGH,TM)</x:v>
      </x:c>
      <x:c r="G341" s="19" t="str">
        <x:v>METADATA_UNIQUE</x:v>
      </x:c>
      <x:c r="H341" s="19" t="str">
        <x:v>carrier</x:v>
      </x:c>
      <x:c r="I341" s="19" t="n">
        <x:v>5</x:v>
      </x:c>
      <x:c r="J341" s="19" t="str">
        <x:v>near_target</x:v>
      </x:c>
      <x:c r="K341" s="19" t="str">
        <x:v>magnetite</x:v>
      </x:c>
      <x:c r="L341" s="19" t="str">
        <x:v>/Users/lihd/discovery/paleomagnetic-r3-workflow/dist/paleomagnetic-r357-calibrated-workflow-full/data/parsed_mds/4324.txt</x:v>
      </x:c>
    </x:row>
    <x:row r="342" ht="52" customHeight="1">
      <x:c r="A342" s="19" t="str">
        <x:v>4324</x:v>
      </x:c>
      <x:c r="B342" s="19" t="str">
        <x:v>10237</x:v>
      </x:c>
      <x:c r="C342" s="19" t="str">
        <x:v>Ylivieska Gabbro</x:v>
      </x:c>
      <x:c r="D342" s="19" t="str"/>
      <x:c r="E342" s="19" t="str">
        <x:v>PRESENT</x:v>
      </x:c>
      <x:c r="F342" s="19" t="str">
        <x:v>IRM,3-axis Jrs-T,HYST(SD/MD MAGN)</x:v>
      </x:c>
      <x:c r="G342" s="19" t="str">
        <x:v>METADATA_UNIQUE</x:v>
      </x:c>
      <x:c r="H342" s="19" t="str">
        <x:v>method</x:v>
      </x:c>
      <x:c r="I342" s="19" t="n">
        <x:v>11</x:v>
      </x:c>
      <x:c r="J342" s="19" t="str">
        <x:v>target_same_discourse</x:v>
      </x:c>
      <x:c r="K342" s="19" t="str">
        <x:v>Fur ther more, the Lowrie test demonstrates that magnetite is palaeomagnetic poles of several cratons display large back-and- present in three coercivity fractions (Fig. 4 ).</x:v>
      </x:c>
      <x:c r="L342" s="19" t="str">
        <x:v>/Users/lihd/discovery/paleomagnetic-r3-workflow/dist/paleomagnetic-r357-calibrated-workflow-full/data/parsed_mds/4324.txt</x:v>
      </x:c>
    </x:row>
    <x:row r="343" ht="52" customHeight="1">
      <x:c r="A343" s="19" t="str">
        <x:v>4324</x:v>
      </x:c>
      <x:c r="B343" s="19" t="str">
        <x:v>10237</x:v>
      </x:c>
      <x:c r="C343" s="19" t="str">
        <x:v>Ylivieska Gabbro</x:v>
      </x:c>
      <x:c r="D343" s="19" t="str"/>
      <x:c r="E343" s="19" t="str">
        <x:v>PRESENT</x:v>
      </x:c>
      <x:c r="F343" s="19" t="str">
        <x:v>IRM,3-axis Jrs-T,HYST(SD/MD MAGN)</x:v>
      </x:c>
      <x:c r="G343" s="19" t="str">
        <x:v>METADATA_UNIQUE</x:v>
      </x:c>
      <x:c r="H343" s="19" t="str">
        <x:v>method</x:v>
      </x:c>
      <x:c r="I343" s="19" t="n">
        <x:v>11</x:v>
      </x:c>
      <x:c r="J343" s="19" t="str">
        <x:v>target_same_discourse</x:v>
      </x:c>
      <x:c r="K343" s="19" t="str">
        <x:v>Fur ther more, the Lowrie test demonstrates that magnetite is palaeomagnetic poles of several cratons display large back-and- present in three coercivity fractions (Fig. 4 ).</x:v>
      </x:c>
      <x:c r="L343" s="19" t="str">
        <x:v>/Users/lihd/discovery/paleomagnetic-r3-workflow/dist/paleomagnetic-r357-calibrated-workflow-full/data/parsed_mds/4324.txt</x:v>
      </x:c>
    </x:row>
    <x:row r="344" ht="52" customHeight="1">
      <x:c r="A344" s="19" t="str">
        <x:v>4324</x:v>
      </x:c>
      <x:c r="B344" s="19" t="str">
        <x:v>10237</x:v>
      </x:c>
      <x:c r="C344" s="19" t="str">
        <x:v>Ylivieska Gabbro</x:v>
      </x:c>
      <x:c r="D344" s="19" t="str"/>
      <x:c r="E344" s="19" t="str">
        <x:v>PRESENT</x:v>
      </x:c>
      <x:c r="F344" s="19" t="str">
        <x:v>IRM,3-axis Jrs-T,HYST(SD/MD MAGN)</x:v>
      </x:c>
      <x:c r="G344" s="19" t="str">
        <x:v>METADATA_UNIQUE</x:v>
      </x:c>
      <x:c r="H344" s="19" t="str">
        <x:v>method</x:v>
      </x:c>
      <x:c r="I344" s="19" t="n">
        <x:v>4</x:v>
      </x:c>
      <x:c r="J344" s="19" t="str">
        <x:v>near_target</x:v>
      </x:c>
      <x:c r="K344" s="19" t="str">
        <x:v>hysteresis</x:v>
      </x:c>
      <x:c r="L344" s="19" t="str">
        <x:v>/Users/lihd/discovery/paleomagnetic-r3-workflow/dist/paleomagnetic-r357-calibrated-workflow-full/data/parsed_mds/4324.txt</x:v>
      </x:c>
    </x:row>
    <x:row r="345" ht="52" customHeight="1">
      <x:c r="A345" s="19" t="str">
        <x:v>4324</x:v>
      </x:c>
      <x:c r="B345" s="19" t="str">
        <x:v>10237</x:v>
      </x:c>
      <x:c r="C345" s="19" t="str">
        <x:v>Ylivieska Gabbro</x:v>
      </x:c>
      <x:c r="D345" s="19" t="str"/>
      <x:c r="E345" s="19" t="str">
        <x:v>PRESENT</x:v>
      </x:c>
      <x:c r="F345" s="19" t="str">
        <x:v>IRM,3-axis Jrs-T,HYST(SD/MD MAGN)</x:v>
      </x:c>
      <x:c r="G345" s="19" t="str">
        <x:v>METADATA_UNIQUE</x:v>
      </x:c>
      <x:c r="H345" s="19" t="str">
        <x:v>method</x:v>
      </x:c>
      <x:c r="I345" s="19" t="n">
        <x:v>4</x:v>
      </x:c>
      <x:c r="J345" s="19" t="str">
        <x:v>near_target</x:v>
      </x:c>
      <x:c r="K345" s="19" t="str">
        <x:v>IRM</x:v>
      </x:c>
      <x:c r="L345" s="19" t="str">
        <x:v>/Users/lihd/discovery/paleomagnetic-r3-workflow/dist/paleomagnetic-r357-calibrated-workflow-full/data/parsed_mds/4324.txt</x:v>
      </x:c>
    </x:row>
    <x:row r="346" ht="52" customHeight="1">
      <x:c r="A346" s="19" t="str">
        <x:v>4324</x:v>
      </x:c>
      <x:c r="B346" s="19" t="str">
        <x:v>10237</x:v>
      </x:c>
      <x:c r="C346" s="19" t="str">
        <x:v>Ylivieska Gabbro</x:v>
      </x:c>
      <x:c r="D346" s="19" t="str"/>
      <x:c r="E346" s="19" t="str">
        <x:v>PRESENT</x:v>
      </x:c>
      <x:c r="F346" s="19" t="str">
        <x:v>IRM,3-axis Jrs-T,HYST(SD/MD MAGN)</x:v>
      </x:c>
      <x:c r="G346" s="19" t="str">
        <x:v>METADATA_UNIQUE</x:v>
      </x:c>
      <x:c r="H346" s="19" t="str">
        <x:v>carrier</x:v>
      </x:c>
      <x:c r="I346" s="19" t="n">
        <x:v>11</x:v>
      </x:c>
      <x:c r="J346" s="19" t="str">
        <x:v>target_same_discourse</x:v>
      </x:c>
      <x:c r="K346" s="19" t="str">
        <x:v>Fur ther more, the Lowrie test demonstrates that magnetite is palaeomagnetic poles of several cratons display large back-and- present in three coercivity fractions (Fig. 4 ).</x:v>
      </x:c>
      <x:c r="L346" s="19" t="str">
        <x:v>/Users/lihd/discovery/paleomagnetic-r3-workflow/dist/paleomagnetic-r357-calibrated-workflow-full/data/parsed_mds/4324.txt</x:v>
      </x:c>
    </x:row>
    <x:row r="347" ht="52" customHeight="1">
      <x:c r="A347" s="19" t="str">
        <x:v>4324</x:v>
      </x:c>
      <x:c r="B347" s="19" t="str">
        <x:v>10237</x:v>
      </x:c>
      <x:c r="C347" s="19" t="str">
        <x:v>Ylivieska Gabbro</x:v>
      </x:c>
      <x:c r="D347" s="19" t="str"/>
      <x:c r="E347" s="19" t="str">
        <x:v>PRESENT</x:v>
      </x:c>
      <x:c r="F347" s="19" t="str">
        <x:v>IRM,3-axis Jrs-T,HYST(SD/MD MAGN)</x:v>
      </x:c>
      <x:c r="G347" s="19" t="str">
        <x:v>METADATA_UNIQUE</x:v>
      </x:c>
      <x:c r="H347" s="19" t="str">
        <x:v>method</x:v>
      </x:c>
      <x:c r="I347" s="19" t="n">
        <x:v>4</x:v>
      </x:c>
      <x:c r="J347" s="19" t="str">
        <x:v>target_same_sentence</x:v>
      </x:c>
      <x:c r="K347" s="19" t="str">
        <x:v>In addition, a very narrow hystere- The magnetic mineralogy of the samples from the Ylivieska and sis loop indicates the presence of multidomain (MD) magnetite Kiur uvesi intr usions was investigated using ther momagnetic analy- (Fig. 4 ).</x:v>
      </x:c>
      <x:c r="L347" s="19" t="str">
        <x:v>/Users/lihd/discovery/paleomagnetic-r3-workflow/dist/paleomagnetic-r357-calibrated-workflow-full/data/parsed_mds/4324.txt</x:v>
      </x:c>
    </x:row>
    <x:row r="348" ht="52" customHeight="1">
      <x:c r="A348" s="19" t="str">
        <x:v>4324</x:v>
      </x:c>
      <x:c r="B348" s="19" t="str">
        <x:v>10237</x:v>
      </x:c>
      <x:c r="C348" s="19" t="str">
        <x:v>Ylivieska Gabbro</x:v>
      </x:c>
      <x:c r="D348" s="19" t="str"/>
      <x:c r="E348" s="19" t="str">
        <x:v>PRESENT</x:v>
      </x:c>
      <x:c r="F348" s="19" t="str">
        <x:v>IRM,3-axis Jrs-T,HYST(SD/MD MAGN)</x:v>
      </x:c>
      <x:c r="G348" s="19" t="str">
        <x:v>METADATA_UNIQUE</x:v>
      </x:c>
      <x:c r="H348" s="19" t="str">
        <x:v>method</x:v>
      </x:c>
      <x:c r="I348" s="19" t="n">
        <x:v>5</x:v>
      </x:c>
      <x:c r="J348" s="19" t="str">
        <x:v>target_same_sentence</x:v>
      </x:c>
      <x:c r="K348" s="19" t="str">
        <x:v>Most of the samples from microtonalite and 1790 Ma lamprophyre dykes the Ylivieska gabbro displayed remanence with a viscous com- Palaeomagnetic data from 13 microtonalite dykes in the Nilsi a¨ study ponent, probably carried by MD magnetite.</x:v>
      </x:c>
      <x:c r="L348" s="19" t="str">
        <x:v>/Users/lihd/discovery/paleomagnetic-r3-workflow/dist/paleomagnetic-r357-calibrated-workflow-full/data/parsed_mds/4324.txt</x:v>
      </x:c>
    </x:row>
    <x:row r="349" ht="52" customHeight="1">
      <x:c r="A349" s="19" t="str">
        <x:v>4324</x:v>
      </x:c>
      <x:c r="B349" s="19" t="str">
        <x:v>10237</x:v>
      </x:c>
      <x:c r="C349" s="19" t="str">
        <x:v>Ylivieska Gabbro</x:v>
      </x:c>
      <x:c r="D349" s="19" t="str"/>
      <x:c r="E349" s="19" t="str">
        <x:v>PRESENT</x:v>
      </x:c>
      <x:c r="F349" s="19" t="str">
        <x:v>IRM,3-axis Jrs-T,HYST(SD/MD MAGN)</x:v>
      </x:c>
      <x:c r="G349" s="19" t="str">
        <x:v>METADATA_UNIQUE</x:v>
      </x:c>
      <x:c r="H349" s="19" t="str">
        <x:v>method</x:v>
      </x:c>
      <x:c r="I349" s="19" t="n">
        <x:v>5</x:v>
      </x:c>
      <x:c r="J349" s="19" t="str">
        <x:v>target_same_sentence</x:v>
      </x:c>
      <x:c r="K349" s="19" t="str">
        <x:v>In ad- downward inclination ( D = 339 ◦, I = 44 ◦ with α95 = 5 ◦ and dition, their behaviour during AF demagnetization was typical for k = 106), similar to Ylivieska and Kiuruvesi gabbros (Figs 5 (titano)magnetite (Fig. 5 ).</x:v>
      </x:c>
      <x:c r="L349" s="19" t="str">
        <x:v>/Users/lihd/discovery/paleomagnetic-r3-workflow/dist/paleomagnetic-r357-calibrated-workflow-full/data/parsed_mds/4324.txt</x:v>
      </x:c>
    </x:row>
    <x:row r="350" ht="52" customHeight="1">
      <x:c r="A350" s="19" t="str">
        <x:v>4324</x:v>
      </x:c>
      <x:c r="B350" s="19" t="str">
        <x:v>10238</x:v>
      </x:c>
      <x:c r="C350" s="19" t="str">
        <x:v>Mertuanoja Gabbro</x:v>
      </x:c>
      <x:c r="D350" s="19" t="str"/>
      <x:c r="E350" s="19" t="str">
        <x:v>PRESENT</x:v>
      </x:c>
      <x:c r="F350" s="19" t="str">
        <x:v>IRM,HYST(MAGN,MAGH,TM)</x:v>
      </x:c>
      <x:c r="G350" s="19" t="str">
        <x:v>PAPER_ROW_MATCH</x:v>
      </x:c>
      <x:c r="H350" s="19" t="str">
        <x:v>method</x:v>
      </x:c>
      <x:c r="I350" s="19" t="n">
        <x:v>4</x:v>
      </x:c>
      <x:c r="J350" s="19" t="str">
        <x:v>near_target</x:v>
      </x:c>
      <x:c r="K350" s="19" t="str">
        <x:v>IRM</x:v>
      </x:c>
      <x:c r="L350" s="19" t="str">
        <x:v>/Users/lihd/discovery/paleomagnetic-r3-workflow/dist/paleomagnetic-r357-calibrated-workflow-full/data/parsed_mds/4324.txt</x:v>
      </x:c>
    </x:row>
    <x:row r="351" ht="52" customHeight="1">
      <x:c r="A351" s="19" t="str">
        <x:v>4324</x:v>
      </x:c>
      <x:c r="B351" s="19" t="str">
        <x:v>10238</x:v>
      </x:c>
      <x:c r="C351" s="19" t="str">
        <x:v>Mertuanoja Gabbro</x:v>
      </x:c>
      <x:c r="D351" s="19" t="str"/>
      <x:c r="E351" s="19" t="str">
        <x:v>PRESENT</x:v>
      </x:c>
      <x:c r="F351" s="19" t="str">
        <x:v>IRM,HYST(MAGN,MAGH,TM)</x:v>
      </x:c>
      <x:c r="G351" s="19" t="str">
        <x:v>PAPER_ROW_MATCH</x:v>
      </x:c>
      <x:c r="H351" s="19" t="str">
        <x:v>method</x:v>
      </x:c>
      <x:c r="I351" s="19" t="n">
        <x:v>5</x:v>
      </x:c>
      <x:c r="J351" s="19" t="str">
        <x:v>near_target</x:v>
      </x:c>
      <x:c r="K351" s="19" t="str">
        <x:v>hysteresis</x:v>
      </x:c>
      <x:c r="L351" s="19" t="str">
        <x:v>/Users/lihd/discovery/paleomagnetic-r3-workflow/dist/paleomagnetic-r357-calibrated-workflow-full/data/parsed_mds/4324.txt</x:v>
      </x:c>
    </x:row>
    <x:row r="352" ht="52" customHeight="1">
      <x:c r="A352" s="19" t="str">
        <x:v>4324</x:v>
      </x:c>
      <x:c r="B352" s="19" t="str">
        <x:v>10238</x:v>
      </x:c>
      <x:c r="C352" s="19" t="str">
        <x:v>Mertuanoja Gabbro</x:v>
      </x:c>
      <x:c r="D352" s="19" t="str"/>
      <x:c r="E352" s="19" t="str">
        <x:v>PRESENT</x:v>
      </x:c>
      <x:c r="F352" s="19" t="str">
        <x:v>IRM,HYST(MAGN,MAGH,TM)</x:v>
      </x:c>
      <x:c r="G352" s="19" t="str">
        <x:v>PAPER_ROW_MATCH</x:v>
      </x:c>
      <x:c r="H352" s="19" t="str">
        <x:v>method</x:v>
      </x:c>
      <x:c r="I352" s="19" t="n">
        <x:v>6</x:v>
      </x:c>
      <x:c r="J352" s="19" t="str">
        <x:v>near_target</x:v>
      </x:c>
      <x:c r="K352" s="19" t="str">
        <x:v>Hysteresis</x:v>
      </x:c>
      <x:c r="L352" s="19" t="str">
        <x:v>/Users/lihd/discovery/paleomagnetic-r3-workflow/dist/paleomagnetic-r357-calibrated-workflow-full/data/parsed_mds/4324.txt</x:v>
      </x:c>
    </x:row>
    <x:row r="353" ht="52" customHeight="1">
      <x:c r="A353" s="19" t="str">
        <x:v>4324</x:v>
      </x:c>
      <x:c r="B353" s="19" t="str">
        <x:v>10238</x:v>
      </x:c>
      <x:c r="C353" s="19" t="str">
        <x:v>Mertuanoja Gabbro</x:v>
      </x:c>
      <x:c r="D353" s="19" t="str"/>
      <x:c r="E353" s="19" t="str">
        <x:v>PRESENT</x:v>
      </x:c>
      <x:c r="F353" s="19" t="str">
        <x:v>IRM,HYST(MAGN,MAGH,TM)</x:v>
      </x:c>
      <x:c r="G353" s="19" t="str">
        <x:v>PAPER_ROW_MATCH</x:v>
      </x:c>
      <x:c r="H353" s="19" t="str">
        <x:v>diagnostic</x:v>
      </x:c>
      <x:c r="I353" s="19" t="n">
        <x:v>4</x:v>
      </x:c>
      <x:c r="J353" s="19" t="str">
        <x:v>target_context</x:v>
      </x:c>
      <x:c r="K353" s="19" t="str">
        <x:v>MD magnetite grains</x:v>
      </x:c>
      <x:c r="L353" s="19" t="str">
        <x:v>/Users/lihd/discovery/paleomagnetic-r3-workflow/dist/paleomagnetic-r357-calibrated-workflow-full/data/parsed_mds/4324.txt</x:v>
      </x:c>
    </x:row>
    <x:row r="354" ht="52" customHeight="1">
      <x:c r="A354" s="19" t="str">
        <x:v>4324</x:v>
      </x:c>
      <x:c r="B354" s="19" t="str">
        <x:v>10238</x:v>
      </x:c>
      <x:c r="C354" s="19" t="str">
        <x:v>Mertuanoja Gabbro</x:v>
      </x:c>
      <x:c r="D354" s="19" t="str"/>
      <x:c r="E354" s="19" t="str">
        <x:v>PRESENT</x:v>
      </x:c>
      <x:c r="F354" s="19" t="str">
        <x:v>IRM,HYST(MAGN,MAGH,TM)</x:v>
      </x:c>
      <x:c r="G354" s="19" t="str">
        <x:v>PAPER_ROW_MATCH</x:v>
      </x:c>
      <x:c r="H354" s="19" t="str">
        <x:v>carrier</x:v>
      </x:c>
      <x:c r="I354" s="19" t="n">
        <x:v>5</x:v>
      </x:c>
      <x:c r="J354" s="19" t="str">
        <x:v>target_same_discourse</x:v>
      </x:c>
      <x:c r="K354" s="19" t="str">
        <x:v>In ad- downward inclination ( D = 339 ◦, I = 44 ◦ with α95 = 5 ◦ and dition, their behaviour during AF demagnetization was typical for k = 106), similar to Ylivieska and Kiuruvesi gabbros (Figs 5 (titano)magnetite (Fig. 5 ).</x:v>
      </x:c>
      <x:c r="L354" s="19" t="str">
        <x:v>/Users/lihd/discovery/paleomagnetic-r3-workflow/dist/paleomagnetic-r357-calibrated-workflow-full/data/parsed_mds/4324.txt</x:v>
      </x:c>
    </x:row>
    <x:row r="355" ht="52" customHeight="1">
      <x:c r="A355" s="19" t="str">
        <x:v>4324</x:v>
      </x:c>
      <x:c r="B355" s="19" t="str">
        <x:v>10238</x:v>
      </x:c>
      <x:c r="C355" s="19" t="str">
        <x:v>Mertuanoja Gabbro</x:v>
      </x:c>
      <x:c r="D355" s="19" t="str"/>
      <x:c r="E355" s="19" t="str">
        <x:v>PRESENT</x:v>
      </x:c>
      <x:c r="F355" s="19" t="str">
        <x:v>IRM,HYST(MAGN,MAGH,TM)</x:v>
      </x:c>
      <x:c r="G355" s="19" t="str">
        <x:v>PAPER_ROW_MATCH</x:v>
      </x:c>
      <x:c r="H355" s="19" t="str">
        <x:v>carrier</x:v>
      </x:c>
      <x:c r="I355" s="19" t="n">
        <x:v>4</x:v>
      </x:c>
      <x:c r="J355" s="19" t="str">
        <x:v>same_target_page</x:v>
      </x:c>
      <x:c r="K355" s="19" t="str">
        <x:v>magnetite</x:v>
      </x:c>
      <x:c r="L355" s="19" t="str">
        <x:v>/Users/lihd/discovery/paleomagnetic-r3-workflow/dist/paleomagnetic-r357-calibrated-workflow-full/data/parsed_mds/4324.txt</x:v>
      </x:c>
    </x:row>
    <x:row r="356" ht="52" customHeight="1">
      <x:c r="A356" s="19" t="str">
        <x:v>4324</x:v>
      </x:c>
      <x:c r="B356" s="19" t="str">
        <x:v>10238</x:v>
      </x:c>
      <x:c r="C356" s="19" t="str">
        <x:v>Mertuanoja Gabbro</x:v>
      </x:c>
      <x:c r="D356" s="19" t="str"/>
      <x:c r="E356" s="19" t="str">
        <x:v>PRESENT</x:v>
      </x:c>
      <x:c r="F356" s="19" t="str">
        <x:v>IRM,HYST(MAGN,MAGH,TM)</x:v>
      </x:c>
      <x:c r="G356" s="19" t="str">
        <x:v>PAPER_ROW_MATCH</x:v>
      </x:c>
      <x:c r="H356" s="19" t="str">
        <x:v>carrier</x:v>
      </x:c>
      <x:c r="I356" s="19" t="n">
        <x:v>4</x:v>
      </x:c>
      <x:c r="J356" s="19" t="str">
        <x:v>same_target_page</x:v>
      </x:c>
      <x:c r="K356" s="19" t="str">
        <x:v>maghemite</x:v>
      </x:c>
      <x:c r="L356" s="19" t="str">
        <x:v>/Users/lihd/discovery/paleomagnetic-r3-workflow/dist/paleomagnetic-r357-calibrated-workflow-full/data/parsed_mds/4324.txt</x:v>
      </x:c>
    </x:row>
    <x:row r="357" ht="52" customHeight="1">
      <x:c r="A357" s="19" t="str">
        <x:v>4324</x:v>
      </x:c>
      <x:c r="B357" s="19" t="str">
        <x:v>10238</x:v>
      </x:c>
      <x:c r="C357" s="19" t="str">
        <x:v>Mertuanoja Gabbro</x:v>
      </x:c>
      <x:c r="D357" s="19" t="str"/>
      <x:c r="E357" s="19" t="str">
        <x:v>PRESENT</x:v>
      </x:c>
      <x:c r="F357" s="19" t="str">
        <x:v>IRM,HYST(MAGN,MAGH,TM)</x:v>
      </x:c>
      <x:c r="G357" s="19" t="str">
        <x:v>PAPER_ROW_MATCH</x:v>
      </x:c>
      <x:c r="H357" s="19" t="str">
        <x:v>locator_direction</x:v>
      </x:c>
      <x:c r="I357" s="19" t="n">
        <x:v>5</x:v>
      </x:c>
      <x:c r="J357" s="19" t="str">
        <x:v>result_locator</x:v>
      </x:c>
      <x:c r="K357" s="19" t="str">
        <x:v>e with a viscous com- Palaeomagnetic data from 13 microtonalite dykes in the Nilsi a¨ study ponent, probably carried by MD magnetite. This component was area display a ChRM direction with a NNW declination and inter- isolated below 10 mT or 300 ◦C, with highly scattered direc- mediate downward inclination ( D = 345 ◦, I = 35 ◦ with α95 = 2 ◦ tions. and k = 320; Figs 5 and 6 , Table 1 ). Thermally demagnetized micro- Palaeomagnetic data from the undated Mertuanoja gabbro dis- tonalite specimens yielded decay curves with a square-shouldered play a ChRM direction with a NW declination and intermediate shape and unblocking temperatures close to 400 ◦C (Fig. 5 ). In ad- downward inclination ( D = 339 ◦, I = 44 ◦ with α95 = 5 ◦ and dition, their behaviour during AF demagnetization was typical for k = 106), similar to Ylivieska and Kiuruvesi gabbros (Figs 5 (titano)magnetite (Fig. 5 ). These cu</x:v>
      </x:c>
      <x:c r="L357" s="19" t="str">
        <x:v>/Users/lihd/discovery/paleomagnetic-r3-workflow/dist/paleomagnetic-r357-calibrated-workflow-full/data/parsed_mds/4324.txt</x:v>
      </x:c>
    </x:row>
    <x:row r="358" ht="52" customHeight="1">
      <x:c r="A358" s="19" t="str">
        <x:v>4324</x:v>
      </x:c>
      <x:c r="B358" s="19" t="str">
        <x:v>10240</x:v>
      </x:c>
      <x:c r="C358" s="19" t="str">
        <x:v>Jalokoski Gabbro</x:v>
      </x:c>
      <x:c r="D358" s="19" t="str"/>
      <x:c r="E358" s="19" t="str">
        <x:v>PRESENT</x:v>
      </x:c>
      <x:c r="F358" s="19" t="str">
        <x:v>HYST(MAGN,MAGH,TM)</x:v>
      </x:c>
      <x:c r="G358" s="19" t="str">
        <x:v>METADATA_UNIQUE</x:v>
      </x:c>
      <x:c r="H358" s="19" t="str">
        <x:v>method</x:v>
      </x:c>
      <x:c r="I358" s="19" t="n">
        <x:v>5</x:v>
      </x:c>
      <x:c r="J358" s="19" t="str">
        <x:v>near_target</x:v>
      </x:c>
      <x:c r="K358" s="19" t="str">
        <x:v>hysteresis</x:v>
      </x:c>
      <x:c r="L358" s="19" t="str">
        <x:v>/Users/lihd/discovery/paleomagnetic-r3-workflow/dist/paleomagnetic-r357-calibrated-workflow-full/data/parsed_mds/4324.txt</x:v>
      </x:c>
    </x:row>
    <x:row r="359" ht="52" customHeight="1">
      <x:c r="A359" s="19" t="str">
        <x:v>4324</x:v>
      </x:c>
      <x:c r="B359" s="19" t="str">
        <x:v>10240</x:v>
      </x:c>
      <x:c r="C359" s="19" t="str">
        <x:v>Jalokoski Gabbro</x:v>
      </x:c>
      <x:c r="D359" s="19" t="str"/>
      <x:c r="E359" s="19" t="str">
        <x:v>PRESENT</x:v>
      </x:c>
      <x:c r="F359" s="19" t="str">
        <x:v>HYST(MAGN,MAGH,TM)</x:v>
      </x:c>
      <x:c r="G359" s="19" t="str">
        <x:v>METADATA_UNIQUE</x:v>
      </x:c>
      <x:c r="H359" s="19" t="str">
        <x:v>method</x:v>
      </x:c>
      <x:c r="I359" s="19" t="n">
        <x:v>4</x:v>
      </x:c>
      <x:c r="J359" s="19" t="str">
        <x:v>same_target_page</x:v>
      </x:c>
      <x:c r="K359" s="19" t="str">
        <x:v>hysteresis</x:v>
      </x:c>
      <x:c r="L359" s="19" t="str">
        <x:v>/Users/lihd/discovery/paleomagnetic-r3-workflow/dist/paleomagnetic-r357-calibrated-workflow-full/data/parsed_mds/4324.txt</x:v>
      </x:c>
    </x:row>
    <x:row r="360" ht="52" customHeight="1">
      <x:c r="A360" s="19" t="str">
        <x:v>4324</x:v>
      </x:c>
      <x:c r="B360" s="19" t="str">
        <x:v>10240</x:v>
      </x:c>
      <x:c r="C360" s="19" t="str">
        <x:v>Jalokoski Gabbro</x:v>
      </x:c>
      <x:c r="D360" s="19" t="str"/>
      <x:c r="E360" s="19" t="str">
        <x:v>PRESENT</x:v>
      </x:c>
      <x:c r="F360" s="19" t="str">
        <x:v>HYST(MAGN,MAGH,TM)</x:v>
      </x:c>
      <x:c r="G360" s="19" t="str">
        <x:v>METADATA_UNIQUE</x:v>
      </x:c>
      <x:c r="H360" s="19" t="str">
        <x:v>method</x:v>
      </x:c>
      <x:c r="I360" s="19" t="n">
        <x:v>4</x:v>
      </x:c>
      <x:c r="J360" s="19" t="str">
        <x:v>same_target_page</x:v>
      </x:c>
      <x:c r="K360" s="19" t="str">
        <x:v>Hysteresis</x:v>
      </x:c>
      <x:c r="L360" s="19" t="str">
        <x:v>/Users/lihd/discovery/paleomagnetic-r3-workflow/dist/paleomagnetic-r357-calibrated-workflow-full/data/parsed_mds/4324.txt</x:v>
      </x:c>
    </x:row>
    <x:row r="361" ht="52" customHeight="1">
      <x:c r="A361" s="19" t="str">
        <x:v>4324</x:v>
      </x:c>
      <x:c r="B361" s="19" t="str">
        <x:v>10240</x:v>
      </x:c>
      <x:c r="C361" s="19" t="str">
        <x:v>Jalokoski Gabbro</x:v>
      </x:c>
      <x:c r="D361" s="19" t="str"/>
      <x:c r="E361" s="19" t="str">
        <x:v>PRESENT</x:v>
      </x:c>
      <x:c r="F361" s="19" t="str">
        <x:v>HYST(MAGN,MAGH,TM)</x:v>
      </x:c>
      <x:c r="G361" s="19" t="str">
        <x:v>METADATA_UNIQUE</x:v>
      </x:c>
      <x:c r="H361" s="19" t="str">
        <x:v>diagnostic</x:v>
      </x:c>
      <x:c r="I361" s="19" t="n">
        <x:v>4</x:v>
      </x:c>
      <x:c r="J361" s="19" t="str">
        <x:v>same_target_page</x:v>
      </x:c>
      <x:c r="K361" s="19" t="str">
        <x:v>MD magnetite grains</x:v>
      </x:c>
      <x:c r="L361" s="19" t="str">
        <x:v>/Users/lihd/discovery/paleomagnetic-r3-workflow/dist/paleomagnetic-r357-calibrated-workflow-full/data/parsed_mds/4324.txt</x:v>
      </x:c>
    </x:row>
    <x:row r="362" ht="52" customHeight="1">
      <x:c r="A362" s="19" t="str">
        <x:v>4324</x:v>
      </x:c>
      <x:c r="B362" s="19" t="str">
        <x:v>10240</x:v>
      </x:c>
      <x:c r="C362" s="19" t="str">
        <x:v>Jalokoski Gabbro</x:v>
      </x:c>
      <x:c r="D362" s="19" t="str"/>
      <x:c r="E362" s="19" t="str">
        <x:v>PRESENT</x:v>
      </x:c>
      <x:c r="F362" s="19" t="str">
        <x:v>HYST(MAGN,MAGH,TM)</x:v>
      </x:c>
      <x:c r="G362" s="19" t="str">
        <x:v>METADATA_UNIQUE</x:v>
      </x:c>
      <x:c r="H362" s="19" t="str">
        <x:v>carrier</x:v>
      </x:c>
      <x:c r="I362" s="19" t="n">
        <x:v>5</x:v>
      </x:c>
      <x:c r="J362" s="19" t="str">
        <x:v>near_target</x:v>
      </x:c>
      <x:c r="K362" s="19" t="str">
        <x:v>magnetite</x:v>
      </x:c>
      <x:c r="L362" s="19" t="str">
        <x:v>/Users/lihd/discovery/paleomagnetic-r3-workflow/dist/paleomagnetic-r357-calibrated-workflow-full/data/parsed_mds/4324.txt</x:v>
      </x:c>
    </x:row>
    <x:row r="363" ht="52" customHeight="1">
      <x:c r="A363" s="19" t="str">
        <x:v>4324</x:v>
      </x:c>
      <x:c r="B363" s="19" t="str">
        <x:v>10240</x:v>
      </x:c>
      <x:c r="C363" s="19" t="str">
        <x:v>Jalokoski Gabbro</x:v>
      </x:c>
      <x:c r="D363" s="19" t="str"/>
      <x:c r="E363" s="19" t="str">
        <x:v>PRESENT</x:v>
      </x:c>
      <x:c r="F363" s="19" t="str">
        <x:v>HYST(MAGN,MAGH,TM)</x:v>
      </x:c>
      <x:c r="G363" s="19" t="str">
        <x:v>METADATA_UNIQUE</x:v>
      </x:c>
      <x:c r="H363" s="19" t="str">
        <x:v>carrier</x:v>
      </x:c>
      <x:c r="I363" s="19" t="n">
        <x:v>4</x:v>
      </x:c>
      <x:c r="J363" s="19" t="str">
        <x:v>same_target_page</x:v>
      </x:c>
      <x:c r="K363" s="19" t="str">
        <x:v>magnetite</x:v>
      </x:c>
      <x:c r="L363" s="19" t="str">
        <x:v>/Users/lihd/discovery/paleomagnetic-r3-workflow/dist/paleomagnetic-r357-calibrated-workflow-full/data/parsed_mds/4324.txt</x:v>
      </x:c>
    </x:row>
    <x:row r="364" ht="52" customHeight="1">
      <x:c r="A364" s="19" t="str">
        <x:v>4324</x:v>
      </x:c>
      <x:c r="B364" s="19" t="str">
        <x:v>10240</x:v>
      </x:c>
      <x:c r="C364" s="19" t="str">
        <x:v>Jalokoski Gabbro</x:v>
      </x:c>
      <x:c r="D364" s="19" t="str"/>
      <x:c r="E364" s="19" t="str">
        <x:v>PRESENT</x:v>
      </x:c>
      <x:c r="F364" s="19" t="str">
        <x:v>HYST(MAGN,MAGH,TM)</x:v>
      </x:c>
      <x:c r="G364" s="19" t="str">
        <x:v>METADATA_UNIQUE</x:v>
      </x:c>
      <x:c r="H364" s="19" t="str">
        <x:v>carrier</x:v>
      </x:c>
      <x:c r="I364" s="19" t="n">
        <x:v>4</x:v>
      </x:c>
      <x:c r="J364" s="19" t="str">
        <x:v>same_target_page</x:v>
      </x:c>
      <x:c r="K364" s="19" t="str">
        <x:v>maghemite</x:v>
      </x:c>
      <x:c r="L364" s="19" t="str">
        <x:v>/Users/lihd/discovery/paleomagnetic-r3-workflow/dist/paleomagnetic-r357-calibrated-workflow-full/data/parsed_mds/4324.txt</x:v>
      </x:c>
    </x:row>
    <x:row r="365" ht="52" customHeight="1">
      <x:c r="A365" s="19" t="str">
        <x:v>4324</x:v>
      </x:c>
      <x:c r="B365" s="19" t="str">
        <x:v>10240</x:v>
      </x:c>
      <x:c r="C365" s="19" t="str">
        <x:v>Jalokoski Gabbro</x:v>
      </x:c>
      <x:c r="D365" s="19" t="str"/>
      <x:c r="E365" s="19" t="str">
        <x:v>PRESENT</x:v>
      </x:c>
      <x:c r="F365" s="19" t="str">
        <x:v>HYST(MAGN,MAGH,TM)</x:v>
      </x:c>
      <x:c r="G365" s="19" t="str">
        <x:v>METADATA_UNIQUE</x:v>
      </x:c>
      <x:c r="H365" s="19" t="str">
        <x:v>carrier</x:v>
      </x:c>
      <x:c r="I365" s="19" t="n">
        <x:v>4</x:v>
      </x:c>
      <x:c r="J365" s="19" t="str">
        <x:v>same_target_page</x:v>
      </x:c>
      <x:c r="K365" s="19" t="str">
        <x:v>titanomagnetite</x:v>
      </x:c>
      <x:c r="L365" s="19" t="str">
        <x:v>/Users/lihd/discovery/paleomagnetic-r3-workflow/dist/paleomagnetic-r357-calibrated-workflow-full/data/parsed_mds/4324.txt</x:v>
      </x:c>
    </x:row>
    <x:row r="366" ht="52" customHeight="1">
      <x:c r="A366" s="19" t="str">
        <x:v>4324</x:v>
      </x:c>
      <x:c r="B366" s="19" t="str">
        <x:v>10241</x:v>
      </x:c>
      <x:c r="C366" s="19" t="str">
        <x:v>Nilsiä Lamprophyre Dyke</x:v>
      </x:c>
      <x:c r="D366" s="19" t="str"/>
      <x:c r="E366" s="19" t="str">
        <x:v>ABSTAIN_INSUFFICIENT</x:v>
      </x:c>
      <x:c r="F366" s="19" t="str"/>
      <x:c r="G366" s="19" t="str">
        <x:v>PAPER_ROW_MATCH</x:v>
      </x:c>
      <x:c r="H366" s="19" t="str">
        <x:v>locator_direction</x:v>
      </x:c>
      <x:c r="I366" s="19" t="n">
        <x:v>5</x:v>
      </x:c>
      <x:c r="J366" s="19" t="str">
        <x:v>result_locator</x:v>
      </x:c>
      <x:c r="K366" s="19" t="str">
        <x:v>ad- downward inclination ( D = 339 ◦, I = 44 ◦ with α95 = 5 ◦ and dition, their behaviour during AF demagnetization was typical for k = 106), similar to Ylivieska and Kiuruvesi gabbros (Figs 5 (titano)magnetite (Fig. 5 ). These curves indicate that the magnetic and 6 , Table 1 ). The remanent magnetization of the samples carrier is probably titanomagnetite with a low to medium Ti con- from the Mertuanoja gabbro behaved similarly to the samples tent. The dated 1790 ±3 Ma (Woodard et al. 2014 ) lamprophyre from the Ylivieska gabbro during thermal and alternating field dyke in Nilsi a¨ displayed a ChRM direction with a NNW declination demagnetization. and intermediate downward inclination ( D = 343 ◦, I = 41 ◦, α95 = Downloaded from https://academic.oup.com/gji/article/235/2/1810/7208013 by Curtin University Library user on 15 January 2024</x:v>
      </x:c>
      <x:c r="L366" s="19" t="str">
        <x:v>/Users/lihd/discovery/paleomagnetic-r3-workflow/dist/paleomagnetic-r357-calibrated-workflow-full/data/parsed_mds/4324.txt</x:v>
      </x:c>
    </x:row>
    <x:row r="367" ht="52" customHeight="1">
      <x:c r="A367" s="19" t="str">
        <x:v>4324</x:v>
      </x:c>
      <x:c r="B367" s="19" t="str">
        <x:v>10242</x:v>
      </x:c>
      <x:c r="C367" s="19" t="str">
        <x:v>Nilsiä Microtonalite Dykes</x:v>
      </x:c>
      <x:c r="D367" s="19" t="str"/>
      <x:c r="E367" s="19" t="str">
        <x:v>ABSTAIN_INSUFFICIENT</x:v>
      </x:c>
      <x:c r="F367" s="19" t="str"/>
      <x:c r="G367" s="19" t="str">
        <x:v>PAPER_ROW_MATCH</x:v>
      </x:c>
      <x:c r="H367" s="19" t="str">
        <x:v>locator_direction</x:v>
      </x:c>
      <x:c r="I367" s="19" t="n">
        <x:v>5</x:v>
      </x:c>
      <x:c r="J367" s="19" t="str">
        <x:v>result_locator</x:v>
      </x:c>
      <x:c r="K367" s="19" t="str">
        <x:v>ating SD magnetite (Fig. 5 ). AF demagnetized specimens dis- played typical coercivities of SD magnetite, with an MDF be- low 50 mT, and no sign of a higher coercivity component with 4.4 Pa laeomagnetic re sults fo r the Nilsi a¨ 1860–1790 Ma a different magnetization direction. Most of the samples from microtonalite and 1790 Ma lamprophyre dykes the Ylivieska gabbro displayed remanence with a viscous com- Palaeomagnetic data from 13 microtonalite dykes in the Nilsi a¨ study ponent, probably carried by MD magnetite. This component was area display a ChRM direction with a NNW declination and inter- isolated below 10 mT or 300 ◦C, with highly scattered direc- mediate downward inclination ( D = 345 ◦, I = 35 ◦ with α95 = 2 ◦ tions. and k = 320; Figs 5 and 6 , Table 1 ). Thermally demagnetized micro- Palaeomagnetic data from the undated Mertuanoja gabbro dis- tonalite specimens yielded decay</x:v>
      </x:c>
      <x:c r="L367" s="19" t="str">
        <x:v>/Users/lihd/discovery/paleomagnetic-r3-workflow/dist/paleomagnetic-r357-calibrated-workflow-full/data/parsed_mds/4324.txt</x:v>
      </x:c>
    </x:row>
  </x:sheetData>
  <x:pageMargins left="0.7" right="0.7" top="0.75" bottom="0.75" header="0.3" footer="0.3"/>
  <x:tableParts count="1">
    <x:tablePart xmlns:r="http://schemas.openxmlformats.org/officeDocument/2006/relationships" r:id="R4a9864e56a11449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31" hidden="0" customWidth="1"/>
    <x:col min="2" max="2" width="105" hidden="0" customWidth="1"/>
  </x:cols>
  <x:sheetData>
    <x:row r="1">
      <x:c r="A1" s="21" t="str">
        <x:v>Item</x:v>
      </x:c>
      <x:c r="B1" s="21" t="str">
        <x:v>Definition</x:v>
      </x:c>
    </x:row>
    <x:row r="2" ht="46" customHeight="1">
      <x:c r="A2" s="19" t="str">
        <x:v>Objective</x:v>
      </x:c>
      <x:c r="B2" s="19" t="str">
        <x:v>Retest the same 10 difficult multi-target papers using non-label result locators before reconstructing target-specific PMAGRESULT-style ROCKMAG.</x:v>
      </x:c>
    </x:row>
    <x:row r="3" ht="46" customHeight="1">
      <x:c r="A3" s="19" t="str">
        <x:v>Validation status</x:v>
      </x:c>
      <x:c r="B3" s="19" t="str">
        <x:v>Source-isolated retest, not an independent blind validation: the paper set and historical labels were already examined in pilot v1.</x:v>
      </x:c>
    </x:row>
    <x:row r="4" ht="46" customHeight="1">
      <x:c r="A4" s="19" t="str">
        <x:v>Prediction boundary</x:v>
      </x:c>
      <x:c r="B4" s="19" t="str">
        <x:v>The v2.2 predictor reads only identity_manifest.locators.json and data/parsed_mds/&lt;REFNO&gt;.txt.</x:v>
      </x:c>
    </x:row>
    <x:row r="5" ht="46" customHeight="1">
      <x:c r="A5" s="19" t="str">
        <x:v>Allowed PMAGRESULT fields</x:v>
      </x:c>
      <x:c r="B5" s="19" t="str">
        <x:v>ROCKUNITNO, RESULTNO, COMPONENT, SLAT, SLONG, DEC, INC, PLAT, PLONG, PTYPE.</x:v>
      </x:c>
    </x:row>
    <x:row r="6" ht="46" customHeight="1">
      <x:c r="A6" s="19" t="str">
        <x:v>Allowed ROCKUNIT fields</x:v>
      </x:c>
      <x:c r="B6" s="19" t="str">
        <x:v>REFNO, ROCKUNITNO, ROCKNAME, RLAT, RLONG.</x:v>
      </x:c>
    </x:row>
    <x:row r="7" ht="46" customHeight="1">
      <x:c r="A7" s="19" t="str">
        <x:v>Forbidden fields</x:v>
      </x:c>
      <x:c r="B7" s="19" t="str">
        <x:v>PMAGRESULT.ROCKMAG; PMAGRESULT.TESTS; historical R3; PMAGRESULT.LABDETAILS; PMAGRESULT.COMMENTS; prior predictions; evaluation reports</x:v>
      </x:c>
    </x:row>
    <x:row r="8" ht="46" customHeight="1">
      <x:c r="A8" s="19" t="str">
        <x:v>RLAT/RLONG role</x:v>
      </x:c>
      <x:c r="B8" s="19" t="str">
        <x:v>Regional retrieval prior only. Rows under the same ROCKUNITNO inherit the same RLAT/RLONG and are not separated by these fields.</x:v>
      </x:c>
    </x:row>
    <x:row r="9" ht="46" customHeight="1">
      <x:c r="A9" s="19" t="str">
        <x:v>Result binding</x:v>
      </x:c>
      <x:c r="B9" s="19" t="str">
        <x:v>COMPONENT is preferred; DEC/INC and PLAT/PLONG provide table-row locators. Pole matching includes antipodal equivalence.</x:v>
      </x:c>
    </x:row>
    <x:row r="10" ht="46" customHeight="1">
      <x:c r="A10" s="19" t="str">
        <x:v>Layout guard</x:v>
      </x:c>
      <x:c r="B10" s="19" t="str">
        <x:v>A component reused by multiple ROCKNAME values in one paper can promote evidence only when the evidence window also contains the target name.</x:v>
      </x:c>
    </x:row>
    <x:row r="11" ht="46" customHeight="1">
      <x:c r="A11" s="19" t="str">
        <x:v>ROCKMAG rule</x:v>
      </x:c>
      <x:c r="B11" s="19" t="str">
        <x:v>PRESENT requires a performed rock-magnetic method plus carrier or diagnostic evidence. R3 compatibility value is 1 iff PRESENT.</x:v>
      </x:c>
    </x:row>
    <x:row r="12" ht="46" customHeight="1">
      <x:c r="A12" s="19" t="str">
        <x:v>Preflight v2.0</x:v>
      </x:c>
      <x:c r="B12" s="19" t="str">
        <x:v>Hash b37ebc2313de52ca2fd9f4daf18193f4f7daaa5379ac72298262569f32b17ffe was invalidated before scoring because component context changed non-duplicate strong-anchor rows.</x:v>
      </x:c>
    </x:row>
    <x:row r="13" ht="46" customHeight="1">
      <x:c r="A13" s="19" t="str">
        <x:v>Preflight v2.1</x:v>
      </x:c>
      <x:c r="B13" s="19" t="str">
        <x:v>Hash 3226c6894c47f6d5a0e76592877a428cae95d89a5df68cc62fdbc833c2d3f9b6 was invalidated before scoring after evidence review found a dual-column component leakage case.</x:v>
      </x:c>
    </x:row>
    <x:row r="14" ht="46" customHeight="1">
      <x:c r="A14" s="19" t="str">
        <x:v>Scored v2.2 prediction SHA-256</x:v>
      </x:c>
      <x:c r="B14" s="19" t="str">
        <x:v>296bdf5ad7d12898773376c754444de024269f9706a1aba99e671e6f2ba26d49</x:v>
      </x:c>
    </x:row>
    <x:row r="15" ht="46" customHeight="1">
      <x:c r="A15" s="19" t="str">
        <x:v>Baseline practical SHA-256</x:v>
      </x:c>
      <x:c r="B15" s="19" t="str">
        <x:v>965d64135e89674ced06a3f952befd0dd79a164f5fe9d783657f1930f1c1132c</x:v>
      </x:c>
    </x:row>
    <x:row r="16" ht="46" customHeight="1">
      <x:c r="A16" s="19" t="str">
        <x:v>Locator manifest SHA-256</x:v>
      </x:c>
      <x:c r="B16" s="19" t="str">
        <x:v>52eb631acdd7df717f3bf0d4166ac59ad1221234cf0f24c2855407d46690dc48</x:v>
      </x:c>
    </x:row>
    <x:row r="17" ht="46" customHeight="1">
      <x:c r="A17" s="19" t="str">
        <x:v>Selected REFNO</x:v>
      </x:c>
      <x:c r="B17" s="19" t="str">
        <x:v>1152, 3434, 3765, 3774, 3792, 4168, 4181, 4298, 4324, 4339</x:v>
      </x:c>
    </x:row>
    <x:row r="18" ht="46" customHeight="1">
      <x:c r="A18" s="19" t="str">
        <x:v>Gold limitation</x:v>
      </x:c>
      <x:c r="B18" s="19" t="str">
        <x:v>Historical ROCKMAG and historical R3 are related but not equivalent; historical ROCKMAG-presence versus R3 is reported as an oracle ceiling.</x:v>
      </x:c>
    </x:row>
  </x:sheetData>
  <x:pageMargins left="0.7" right="0.7" top="0.75" bottom="0.75" header="0.3" footer="0.3"/>
</x:worksheet>
</file>